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rX\trunk\ResConv\xls\"/>
    </mc:Choice>
  </mc:AlternateContent>
  <bookViews>
    <workbookView xWindow="0" yWindow="0" windowWidth="24075" windowHeight="13050"/>
  </bookViews>
  <sheets>
    <sheet name="科技表" sheetId="1" r:id="rId1"/>
    <sheet name="基地升级科技效果" sheetId="3" r:id="rId2"/>
    <sheet name="攻防科技效果" sheetId="2" r:id="rId3"/>
    <sheet name="推荐建造表" sheetId="5" r:id="rId4"/>
    <sheet name="科技表配表说明" sheetId="4" r:id="rId5"/>
  </sheets>
  <calcPr calcId="152511"/>
</workbook>
</file>

<file path=xl/calcChain.xml><?xml version="1.0" encoding="utf-8"?>
<calcChain xmlns="http://schemas.openxmlformats.org/spreadsheetml/2006/main">
  <c r="C2" i="4" l="1"/>
  <c r="V28" i="3"/>
  <c r="T28" i="3"/>
  <c r="R28" i="3"/>
  <c r="P28" i="3"/>
  <c r="N28" i="3"/>
  <c r="L28" i="3"/>
  <c r="J28" i="3"/>
  <c r="H28" i="3"/>
  <c r="AH27" i="3"/>
  <c r="AF27" i="3"/>
  <c r="AD27" i="3"/>
  <c r="AB27" i="3"/>
  <c r="Z27" i="3"/>
  <c r="X27" i="3"/>
  <c r="V27" i="3"/>
  <c r="T27" i="3"/>
  <c r="R27" i="3"/>
  <c r="P27" i="3"/>
  <c r="N27" i="3"/>
  <c r="L27" i="3"/>
  <c r="J27" i="3"/>
  <c r="H27" i="3"/>
  <c r="L26" i="3"/>
  <c r="J26" i="3"/>
  <c r="H26" i="3"/>
  <c r="T25" i="3"/>
  <c r="R25" i="3"/>
  <c r="P25" i="3"/>
  <c r="N25" i="3"/>
  <c r="L25" i="3"/>
  <c r="J25" i="3"/>
  <c r="H25" i="3"/>
  <c r="AN24" i="3"/>
  <c r="AL24" i="3"/>
  <c r="AJ24" i="3"/>
  <c r="AH24" i="3"/>
  <c r="AF24" i="3"/>
  <c r="AD24" i="3"/>
  <c r="AB24" i="3"/>
  <c r="Z24" i="3"/>
  <c r="X24" i="3"/>
  <c r="V24" i="3"/>
  <c r="T24" i="3"/>
  <c r="R24" i="3"/>
  <c r="P24" i="3"/>
  <c r="N24" i="3"/>
  <c r="L24" i="3"/>
  <c r="J24" i="3"/>
  <c r="H24" i="3"/>
  <c r="N23" i="3"/>
  <c r="L23" i="3"/>
  <c r="J23" i="3"/>
  <c r="H23" i="3"/>
  <c r="AJ22" i="3"/>
  <c r="AD22" i="3"/>
  <c r="Z22" i="3"/>
  <c r="X22" i="3"/>
  <c r="V22" i="3"/>
  <c r="T22" i="3"/>
  <c r="R22" i="3"/>
  <c r="P22" i="3"/>
  <c r="N22" i="3"/>
  <c r="L22" i="3"/>
  <c r="J22" i="3"/>
  <c r="H22" i="3"/>
  <c r="AF21" i="3"/>
  <c r="AD21" i="3"/>
  <c r="AB21" i="3"/>
  <c r="Z21" i="3"/>
  <c r="X21" i="3"/>
  <c r="V21" i="3"/>
  <c r="T21" i="3"/>
  <c r="R21" i="3"/>
  <c r="P21" i="3"/>
  <c r="N21" i="3"/>
  <c r="L21" i="3"/>
  <c r="J21" i="3"/>
  <c r="H21" i="3"/>
  <c r="L20" i="3"/>
  <c r="J20" i="3"/>
  <c r="H20" i="3"/>
  <c r="T19" i="3"/>
  <c r="R19" i="3"/>
  <c r="P19" i="3"/>
  <c r="N19" i="3"/>
  <c r="L19" i="3"/>
  <c r="J19" i="3"/>
  <c r="H19" i="3"/>
  <c r="AR18" i="3"/>
  <c r="AL18" i="3"/>
  <c r="AJ18" i="3"/>
  <c r="AH18" i="3"/>
  <c r="AF18" i="3"/>
  <c r="AD18" i="3"/>
  <c r="AB18" i="3"/>
  <c r="Z18" i="3"/>
  <c r="X18" i="3"/>
  <c r="V18" i="3"/>
  <c r="T18" i="3"/>
  <c r="R18" i="3"/>
  <c r="P18" i="3"/>
  <c r="N18" i="3"/>
  <c r="L18" i="3"/>
  <c r="J18" i="3"/>
  <c r="H18" i="3"/>
  <c r="J17" i="3"/>
  <c r="H17" i="3"/>
  <c r="V16" i="3"/>
  <c r="T16" i="3"/>
  <c r="R16" i="3"/>
  <c r="P16" i="3"/>
  <c r="N16" i="3"/>
  <c r="L16" i="3"/>
  <c r="J16" i="3"/>
  <c r="H16" i="3"/>
  <c r="AH15" i="3"/>
  <c r="AF15" i="3"/>
  <c r="AD15" i="3"/>
  <c r="AB15" i="3"/>
  <c r="Z15" i="3"/>
  <c r="X15" i="3"/>
  <c r="V15" i="3"/>
  <c r="T15" i="3"/>
  <c r="R15" i="3"/>
  <c r="P15" i="3"/>
  <c r="N15" i="3"/>
  <c r="L15" i="3"/>
  <c r="J15" i="3"/>
  <c r="H15" i="3"/>
  <c r="L14" i="3"/>
  <c r="J14" i="3"/>
  <c r="H14" i="3"/>
  <c r="T13" i="3"/>
  <c r="R13" i="3"/>
  <c r="P13" i="3"/>
  <c r="N13" i="3"/>
  <c r="L13" i="3"/>
  <c r="J13" i="3"/>
  <c r="H13" i="3"/>
  <c r="AN12" i="3"/>
  <c r="AL12" i="3"/>
  <c r="AJ12" i="3"/>
  <c r="AH12" i="3"/>
  <c r="AF12" i="3"/>
  <c r="AD12" i="3"/>
  <c r="AB12" i="3"/>
  <c r="Z12" i="3"/>
  <c r="X12" i="3"/>
  <c r="V12" i="3"/>
  <c r="T12" i="3"/>
  <c r="R12" i="3"/>
  <c r="P12" i="3"/>
  <c r="N12" i="3"/>
  <c r="L12" i="3"/>
  <c r="J12" i="3"/>
  <c r="H12" i="3"/>
  <c r="N11" i="3"/>
  <c r="L11" i="3"/>
  <c r="J11" i="3"/>
  <c r="H11" i="3"/>
  <c r="AJ10" i="3"/>
  <c r="AD10" i="3"/>
  <c r="Z10" i="3"/>
  <c r="X10" i="3"/>
  <c r="V10" i="3"/>
  <c r="T10" i="3"/>
  <c r="R10" i="3"/>
  <c r="P10" i="3"/>
  <c r="N10" i="3"/>
  <c r="L10" i="3"/>
  <c r="J10" i="3"/>
  <c r="H10" i="3"/>
  <c r="AF9" i="3"/>
  <c r="AD9" i="3"/>
  <c r="AB9" i="3"/>
  <c r="Z9" i="3"/>
  <c r="X9" i="3"/>
  <c r="V9" i="3"/>
  <c r="T9" i="3"/>
  <c r="R9" i="3"/>
  <c r="P9" i="3"/>
  <c r="N9" i="3"/>
  <c r="L9" i="3"/>
  <c r="J9" i="3"/>
  <c r="H9" i="3"/>
  <c r="L8" i="3"/>
  <c r="J8" i="3"/>
  <c r="H8" i="3"/>
  <c r="T7" i="3"/>
  <c r="R7" i="3"/>
  <c r="P7" i="3"/>
  <c r="N7" i="3"/>
  <c r="L7" i="3"/>
  <c r="J7" i="3"/>
  <c r="H7" i="3"/>
  <c r="AR6" i="3"/>
  <c r="AL6" i="3"/>
  <c r="AJ6" i="3"/>
  <c r="AH6" i="3"/>
  <c r="AF6" i="3"/>
  <c r="AD6" i="3"/>
  <c r="AB6" i="3"/>
  <c r="Z6" i="3"/>
  <c r="X6" i="3"/>
  <c r="V6" i="3"/>
  <c r="T6" i="3"/>
  <c r="R6" i="3"/>
  <c r="P6" i="3"/>
  <c r="N6" i="3"/>
  <c r="L6" i="3"/>
  <c r="J6" i="3"/>
  <c r="H6" i="3"/>
  <c r="J5" i="3"/>
  <c r="H5" i="3"/>
  <c r="V4" i="3"/>
  <c r="T4" i="3"/>
  <c r="R4" i="3"/>
  <c r="P4" i="3"/>
  <c r="N4" i="3"/>
  <c r="L4" i="3"/>
  <c r="J4" i="3"/>
  <c r="H4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L2" i="3"/>
  <c r="J2" i="3"/>
  <c r="H2" i="3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L301" i="1"/>
  <c r="E301" i="1"/>
  <c r="D301" i="1"/>
  <c r="E300" i="1"/>
  <c r="D300" i="1"/>
  <c r="L299" i="1"/>
  <c r="E299" i="1"/>
  <c r="D299" i="1"/>
  <c r="E298" i="1"/>
  <c r="D298" i="1"/>
  <c r="L297" i="1"/>
  <c r="E297" i="1"/>
  <c r="D297" i="1"/>
  <c r="E296" i="1"/>
  <c r="D296" i="1"/>
  <c r="L295" i="1"/>
  <c r="E295" i="1"/>
  <c r="D295" i="1"/>
  <c r="E294" i="1"/>
  <c r="D294" i="1"/>
  <c r="L293" i="1"/>
  <c r="E293" i="1"/>
  <c r="D293" i="1"/>
  <c r="E292" i="1"/>
  <c r="D292" i="1"/>
  <c r="E291" i="1"/>
  <c r="D291" i="1"/>
  <c r="E290" i="1"/>
  <c r="D290" i="1"/>
  <c r="L289" i="1"/>
  <c r="E289" i="1"/>
  <c r="D289" i="1"/>
  <c r="E288" i="1"/>
  <c r="D288" i="1"/>
  <c r="E287" i="1"/>
  <c r="D287" i="1"/>
  <c r="L286" i="1"/>
  <c r="E286" i="1"/>
  <c r="D286" i="1"/>
  <c r="E285" i="1"/>
  <c r="D285" i="1"/>
  <c r="E284" i="1"/>
  <c r="D284" i="1"/>
  <c r="L283" i="1"/>
  <c r="E283" i="1"/>
  <c r="D283" i="1"/>
  <c r="E282" i="1"/>
  <c r="D282" i="1"/>
  <c r="L281" i="1"/>
  <c r="E281" i="1"/>
  <c r="D281" i="1"/>
  <c r="E280" i="1"/>
  <c r="D280" i="1"/>
  <c r="L279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L257" i="1"/>
  <c r="E257" i="1"/>
  <c r="D257" i="1"/>
  <c r="E256" i="1"/>
  <c r="D256" i="1"/>
  <c r="L255" i="1"/>
  <c r="E255" i="1"/>
  <c r="D255" i="1"/>
  <c r="E254" i="1"/>
  <c r="D254" i="1"/>
  <c r="L253" i="1"/>
  <c r="E253" i="1"/>
  <c r="D253" i="1"/>
  <c r="E252" i="1"/>
  <c r="D252" i="1"/>
  <c r="L251" i="1"/>
  <c r="E251" i="1"/>
  <c r="D251" i="1"/>
  <c r="E250" i="1"/>
  <c r="D250" i="1"/>
  <c r="E249" i="1"/>
  <c r="D249" i="1"/>
  <c r="E248" i="1"/>
  <c r="D248" i="1"/>
  <c r="L247" i="1"/>
  <c r="E247" i="1"/>
  <c r="D247" i="1"/>
  <c r="E246" i="1"/>
  <c r="D246" i="1"/>
  <c r="L245" i="1"/>
  <c r="E245" i="1"/>
  <c r="D245" i="1"/>
  <c r="E244" i="1"/>
  <c r="D244" i="1"/>
  <c r="E243" i="1"/>
  <c r="D243" i="1"/>
  <c r="E242" i="1"/>
  <c r="D242" i="1"/>
  <c r="L241" i="1"/>
  <c r="E241" i="1"/>
  <c r="D241" i="1"/>
  <c r="E240" i="1"/>
  <c r="D240" i="1"/>
  <c r="E239" i="1"/>
  <c r="D239" i="1"/>
  <c r="L238" i="1"/>
  <c r="E238" i="1"/>
  <c r="D238" i="1"/>
  <c r="E237" i="1"/>
  <c r="D237" i="1"/>
  <c r="L236" i="1"/>
  <c r="E236" i="1"/>
  <c r="D236" i="1"/>
  <c r="E235" i="1"/>
  <c r="D235" i="1"/>
  <c r="L234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L211" i="1"/>
  <c r="E211" i="1"/>
  <c r="D211" i="1"/>
  <c r="E210" i="1"/>
  <c r="D210" i="1"/>
  <c r="E209" i="1"/>
  <c r="D209" i="1"/>
  <c r="L208" i="1"/>
  <c r="E208" i="1"/>
  <c r="D208" i="1"/>
  <c r="E207" i="1"/>
  <c r="D207" i="1"/>
  <c r="L206" i="1"/>
  <c r="E206" i="1"/>
  <c r="D206" i="1"/>
  <c r="E205" i="1"/>
  <c r="D205" i="1"/>
  <c r="E204" i="1"/>
  <c r="D204" i="1"/>
  <c r="E203" i="1"/>
  <c r="D203" i="1"/>
  <c r="L202" i="1"/>
  <c r="E202" i="1"/>
  <c r="D202" i="1"/>
  <c r="E201" i="1"/>
  <c r="D201" i="1"/>
  <c r="L200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L193" i="1"/>
  <c r="E193" i="1"/>
  <c r="D193" i="1"/>
  <c r="E192" i="1"/>
  <c r="D192" i="1"/>
  <c r="E191" i="1"/>
  <c r="D191" i="1"/>
  <c r="L190" i="1"/>
  <c r="E190" i="1"/>
  <c r="D190" i="1"/>
  <c r="E189" i="1"/>
  <c r="D189" i="1"/>
  <c r="L188" i="1"/>
  <c r="E188" i="1"/>
  <c r="D188" i="1"/>
  <c r="E187" i="1"/>
  <c r="D187" i="1"/>
  <c r="E186" i="1"/>
  <c r="D186" i="1"/>
  <c r="L185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L150" i="1"/>
  <c r="E150" i="1"/>
  <c r="D150" i="1"/>
  <c r="E149" i="1"/>
  <c r="D149" i="1"/>
  <c r="L148" i="1"/>
  <c r="E148" i="1"/>
  <c r="D148" i="1"/>
  <c r="E147" i="1"/>
  <c r="D147" i="1"/>
  <c r="E146" i="1"/>
  <c r="D146" i="1"/>
  <c r="L145" i="1"/>
  <c r="E145" i="1"/>
  <c r="D145" i="1"/>
  <c r="E144" i="1"/>
  <c r="D144" i="1"/>
  <c r="L143" i="1"/>
  <c r="E143" i="1"/>
  <c r="D143" i="1"/>
  <c r="E142" i="1"/>
  <c r="D142" i="1"/>
  <c r="E141" i="1"/>
  <c r="D141" i="1"/>
  <c r="L140" i="1"/>
  <c r="E140" i="1"/>
  <c r="D140" i="1"/>
  <c r="L139" i="1"/>
  <c r="E139" i="1"/>
  <c r="D139" i="1"/>
  <c r="E138" i="1"/>
  <c r="D138" i="1"/>
  <c r="E137" i="1"/>
  <c r="D137" i="1"/>
  <c r="L136" i="1"/>
  <c r="E136" i="1"/>
  <c r="D136" i="1"/>
  <c r="E135" i="1"/>
  <c r="D135" i="1"/>
  <c r="E134" i="1"/>
  <c r="D134" i="1"/>
  <c r="L133" i="1"/>
  <c r="E133" i="1"/>
  <c r="D133" i="1"/>
  <c r="E132" i="1"/>
  <c r="D132" i="1"/>
  <c r="L131" i="1"/>
  <c r="E131" i="1"/>
  <c r="D131" i="1"/>
  <c r="E130" i="1"/>
  <c r="D130" i="1"/>
  <c r="E129" i="1"/>
  <c r="D129" i="1"/>
  <c r="L128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L99" i="1"/>
  <c r="E99" i="1"/>
  <c r="D99" i="1"/>
  <c r="E98" i="1"/>
  <c r="D98" i="1"/>
  <c r="L97" i="1"/>
  <c r="E97" i="1"/>
  <c r="D97" i="1"/>
  <c r="E96" i="1"/>
  <c r="D96" i="1"/>
  <c r="L95" i="1"/>
  <c r="E95" i="1"/>
  <c r="D95" i="1"/>
  <c r="E94" i="1"/>
  <c r="D94" i="1"/>
  <c r="L93" i="1"/>
  <c r="E93" i="1"/>
  <c r="D93" i="1"/>
  <c r="E92" i="1"/>
  <c r="D92" i="1"/>
  <c r="E91" i="1"/>
  <c r="D91" i="1"/>
  <c r="L90" i="1"/>
  <c r="E90" i="1"/>
  <c r="D90" i="1"/>
  <c r="E89" i="1"/>
  <c r="D89" i="1"/>
  <c r="E88" i="1"/>
  <c r="D88" i="1"/>
  <c r="E87" i="1"/>
  <c r="D87" i="1"/>
  <c r="L86" i="1"/>
  <c r="E86" i="1"/>
  <c r="D86" i="1"/>
  <c r="E85" i="1"/>
  <c r="D85" i="1"/>
  <c r="E84" i="1"/>
  <c r="D84" i="1"/>
  <c r="L83" i="1"/>
  <c r="E83" i="1"/>
  <c r="D83" i="1"/>
  <c r="E82" i="1"/>
  <c r="D82" i="1"/>
  <c r="E81" i="1"/>
  <c r="D81" i="1"/>
  <c r="E80" i="1"/>
  <c r="D80" i="1"/>
  <c r="L79" i="1"/>
  <c r="E79" i="1"/>
  <c r="D79" i="1"/>
  <c r="E78" i="1"/>
  <c r="D78" i="1"/>
  <c r="L77" i="1"/>
  <c r="E77" i="1"/>
  <c r="D77" i="1"/>
  <c r="E76" i="1"/>
  <c r="D76" i="1"/>
  <c r="L75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L46" i="1"/>
  <c r="E46" i="1"/>
  <c r="D46" i="1"/>
  <c r="E45" i="1"/>
  <c r="D45" i="1"/>
  <c r="L44" i="1"/>
  <c r="E44" i="1"/>
  <c r="D44" i="1"/>
  <c r="E43" i="1"/>
  <c r="D43" i="1"/>
  <c r="L42" i="1"/>
  <c r="E42" i="1"/>
  <c r="D42" i="1"/>
  <c r="E41" i="1"/>
  <c r="D41" i="1"/>
  <c r="L40" i="1"/>
  <c r="E40" i="1"/>
  <c r="D40" i="1"/>
  <c r="E39" i="1"/>
  <c r="D39" i="1"/>
  <c r="E38" i="1"/>
  <c r="D38" i="1"/>
  <c r="E37" i="1"/>
  <c r="D37" i="1"/>
  <c r="L36" i="1"/>
  <c r="E36" i="1"/>
  <c r="D36" i="1"/>
  <c r="E35" i="1"/>
  <c r="D35" i="1"/>
  <c r="L34" i="1"/>
  <c r="E34" i="1"/>
  <c r="D34" i="1"/>
  <c r="E33" i="1"/>
  <c r="D33" i="1"/>
  <c r="E32" i="1"/>
  <c r="D32" i="1"/>
  <c r="E31" i="1"/>
  <c r="D31" i="1"/>
  <c r="L30" i="1"/>
  <c r="E30" i="1"/>
  <c r="D30" i="1"/>
  <c r="E29" i="1"/>
  <c r="D29" i="1"/>
  <c r="E28" i="1"/>
  <c r="D28" i="1"/>
  <c r="L27" i="1"/>
  <c r="E27" i="1"/>
  <c r="D27" i="1"/>
  <c r="E26" i="1"/>
  <c r="D26" i="1"/>
  <c r="L25" i="1"/>
  <c r="E25" i="1"/>
  <c r="D25" i="1"/>
  <c r="E24" i="1"/>
  <c r="D24" i="1"/>
  <c r="L23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<sst xmlns="http://schemas.openxmlformats.org/spreadsheetml/2006/main" count="2953" uniqueCount="433">
  <si>
    <t>科技ID</t>
  </si>
  <si>
    <t>备注</t>
  </si>
  <si>
    <t>描述</t>
  </si>
  <si>
    <t>科技组</t>
  </si>
  <si>
    <t>科技等级</t>
  </si>
  <si>
    <t>最大升级等级</t>
  </si>
  <si>
    <t>种族</t>
  </si>
  <si>
    <t>科技类型</t>
  </si>
  <si>
    <t>科技子类型</t>
  </si>
  <si>
    <t>时间开销</t>
  </si>
  <si>
    <t>金币开销</t>
  </si>
  <si>
    <t>遣返金币</t>
  </si>
  <si>
    <t>解锁训练建造金币</t>
  </si>
  <si>
    <t>所需基地等级</t>
  </si>
  <si>
    <t>建造CD时间</t>
  </si>
  <si>
    <t>建造最大数量</t>
  </si>
  <si>
    <t>建造初始血量百分比</t>
  </si>
  <si>
    <t>建造中护甲衰减万分比</t>
  </si>
  <si>
    <t>变身新单位ID</t>
  </si>
  <si>
    <t>科技效果1类型</t>
  </si>
  <si>
    <t>科技效果1参数1</t>
  </si>
  <si>
    <t>科技效果1参数2</t>
  </si>
  <si>
    <t>科技效果1参数3</t>
  </si>
  <si>
    <t>科技效果1参数4</t>
  </si>
  <si>
    <t>科技效果2类型</t>
  </si>
  <si>
    <t>科技效果2参数1</t>
  </si>
  <si>
    <t>科技效果2参数2</t>
  </si>
  <si>
    <t>科技效果2参数3</t>
  </si>
  <si>
    <t>科技效果2参数4</t>
  </si>
  <si>
    <t>科技图标</t>
  </si>
  <si>
    <t>科技名称_简中</t>
  </si>
  <si>
    <t>科技名称_英文</t>
  </si>
  <si>
    <t>科技名称_繁中</t>
  </si>
  <si>
    <t>描述_简中</t>
  </si>
  <si>
    <t>描述_英文</t>
  </si>
  <si>
    <t>描述_繁中</t>
  </si>
  <si>
    <t>建造拖动特效</t>
  </si>
  <si>
    <t>延时建造特效</t>
  </si>
  <si>
    <t>3v3升级一级基地</t>
  </si>
  <si>
    <t>人族</t>
  </si>
  <si>
    <t>单位科技</t>
  </si>
  <si>
    <t>单位基地升级科技</t>
  </si>
  <si>
    <t>科技效果_基地科技升级</t>
  </si>
  <si>
    <t>科技效果_提升最大人口</t>
  </si>
  <si>
    <t>UITexture/Charactar/renlei/hum_base01</t>
  </si>
  <si>
    <t>一级城堡</t>
  </si>
  <si>
    <t>可以升级至二级城堡，升级后可解锁中级兵种和中级科技，提升基地等级可提高基地和副基地、防御塔的战斗力，提升金矿防御力。保护基地不被摧毁对获得战争的胜利至关重要！</t>
  </si>
  <si>
    <t>Can be upgraded to level 2 castle, after upgrading intermediate Troops and Tech will be unlocked. It also increases combat effectiveness of base and secondary base. Protecting your base is vital to winning!</t>
  </si>
  <si>
    <t>3v3升级二级基地</t>
  </si>
  <si>
    <t>UITexture/Charactar/renlei/hum_base02</t>
  </si>
  <si>
    <t>二级城堡</t>
  </si>
  <si>
    <t>可以升级至三级城堡，升级后可解锁高级兵种和高级科技，可提高基地和副基地、防御塔的战斗力，提升金矿防御力。保护基地不被摧毁对获得战争的胜利至关重要！</t>
  </si>
  <si>
    <t>Can be upgraded to level 3 castle. After upgrading, advanced Troops and Tech will be unlocked. It also increases combat effectiveness of base and secondary base. Protecting your base is vital to winning!</t>
  </si>
  <si>
    <t>3v3升级三级基地</t>
  </si>
  <si>
    <t>UITexture/Charactar/renlei/hum_base03</t>
  </si>
  <si>
    <t>三级城堡</t>
  </si>
  <si>
    <t>可训练高级兵种和研究高级科技，可提高基地和副基地、防御塔的战斗力，提升金矿防御力。保护基地不被摧毁对获得战争的胜利至关重要！</t>
  </si>
  <si>
    <t>Can train high level Troops and research high level Tech. It also increases combat effectiveness of base and secondary base. Protecting your base is vital to winning!</t>
  </si>
  <si>
    <t>1v1人口升级1</t>
  </si>
  <si>
    <t>团队科技</t>
  </si>
  <si>
    <t>团队人口升级科技</t>
  </si>
  <si>
    <t>UITexture/Charactar/keji/food_1</t>
  </si>
  <si>
    <t>人口升级</t>
  </si>
  <si>
    <t>研究后增加5人口。</t>
  </si>
  <si>
    <t>Increases Supply Cap by 5</t>
  </si>
  <si>
    <t>1v1人口升级2</t>
  </si>
  <si>
    <t>1v1人口升级3</t>
  </si>
  <si>
    <t>1v1人口升级4</t>
  </si>
  <si>
    <t>攻击升级1</t>
  </si>
  <si>
    <t>团队攻击升级科技</t>
  </si>
  <si>
    <t>科技效果_提升单位攻防属性</t>
  </si>
  <si>
    <t>攻击力</t>
  </si>
  <si>
    <t>UITexture/Charactar/keji/hum_tech_attack1</t>
  </si>
  <si>
    <t>初级攻击</t>
  </si>
  <si>
    <t>攻击升级2</t>
  </si>
  <si>
    <t>UITexture/Charactar/keji/hum_tech_attack2</t>
  </si>
  <si>
    <t>中级攻击</t>
  </si>
  <si>
    <t>攻击升级3</t>
  </si>
  <si>
    <t>UITexture/Charactar/keji/hum_tech_attack3</t>
  </si>
  <si>
    <t>高级攻击</t>
  </si>
  <si>
    <t>防御升级1</t>
  </si>
  <si>
    <t>团队防御升级科技</t>
  </si>
  <si>
    <t>护甲值</t>
  </si>
  <si>
    <t>UITexture/Charactar/keji/hum_tech_defence1</t>
  </si>
  <si>
    <t>初级防御</t>
  </si>
  <si>
    <t>防御升级2</t>
  </si>
  <si>
    <t>UITexture/Charactar/keji/hum_tech_defence2</t>
  </si>
  <si>
    <t>中级防御</t>
  </si>
  <si>
    <t>防御升级3</t>
  </si>
  <si>
    <t>UITexture/Charactar/keji/hum_tech_defence3</t>
  </si>
  <si>
    <t>高级防御</t>
  </si>
  <si>
    <t>初始步兵</t>
  </si>
  <si>
    <t>科技效果_孵化单位</t>
  </si>
  <si>
    <t>3v3人口升级1</t>
  </si>
  <si>
    <t>3v3人口升级2</t>
  </si>
  <si>
    <t>3v3人口升级3</t>
  </si>
  <si>
    <t>3v3人口升级4</t>
  </si>
  <si>
    <t>1v1升级一级基地</t>
  </si>
  <si>
    <t>可以升级至二级城堡，升级后可解锁中级兵种和中级科技，可提高基地和副基地、防御塔的战斗力，提升金矿防御力。保护基地不被摧毁对获得战争的胜利至关重要！</t>
  </si>
  <si>
    <t>1v1升级二级基地</t>
  </si>
  <si>
    <t>1v1升级三级基地</t>
  </si>
  <si>
    <t>army01建造</t>
  </si>
  <si>
    <t>科技树类型1</t>
  </si>
  <si>
    <t>单位训练科技</t>
  </si>
  <si>
    <t>army01技能Q</t>
  </si>
  <si>
    <t>科技效果_解锁单位技能</t>
  </si>
  <si>
    <t>技能栏Q</t>
  </si>
  <si>
    <t>army02建造</t>
  </si>
  <si>
    <t>army02技能Q</t>
  </si>
  <si>
    <t>army03建造</t>
  </si>
  <si>
    <t>army03技能Q</t>
  </si>
  <si>
    <t>army03技能W</t>
  </si>
  <si>
    <t>技能栏W</t>
  </si>
  <si>
    <t>army04建造</t>
  </si>
  <si>
    <t>army04技能Q</t>
  </si>
  <si>
    <t>army04技能W</t>
  </si>
  <si>
    <t>army04技能E</t>
  </si>
  <si>
    <t>技能栏E</t>
  </si>
  <si>
    <t>army05建造</t>
  </si>
  <si>
    <t>科技树类型2</t>
  </si>
  <si>
    <t>army05技能Q</t>
  </si>
  <si>
    <t>army06建造</t>
  </si>
  <si>
    <t>科技树类型3</t>
  </si>
  <si>
    <t>army06技能Q</t>
  </si>
  <si>
    <t>army06技能W</t>
  </si>
  <si>
    <t>army06技能E</t>
  </si>
  <si>
    <t>army07建造</t>
  </si>
  <si>
    <t>科技树类型4</t>
  </si>
  <si>
    <t>army07技能Q</t>
  </si>
  <si>
    <t>army08建造</t>
  </si>
  <si>
    <t>army08技能Q</t>
  </si>
  <si>
    <t>army09建造</t>
  </si>
  <si>
    <t>army09技能Q</t>
  </si>
  <si>
    <t>army10建造</t>
  </si>
  <si>
    <t>army10技能Q</t>
  </si>
  <si>
    <t>箭塔建造</t>
  </si>
  <si>
    <t>单位防御塔建造科技</t>
  </si>
  <si>
    <t>UITexture/Charactar/renlei/hum_tower01</t>
  </si>
  <si>
    <t>防御塔建造</t>
  </si>
  <si>
    <t>可建造防御建筑。</t>
  </si>
  <si>
    <t>prefab/dldeffect/hum_tower_guard</t>
  </si>
  <si>
    <t>prefab/dldeffect/hum_tower_delayguard</t>
  </si>
  <si>
    <t>箭塔技能Q</t>
  </si>
  <si>
    <t>箭塔技能W</t>
  </si>
  <si>
    <t>金矿建造</t>
  </si>
  <si>
    <t>单位金矿建造科技</t>
  </si>
  <si>
    <t>金矿技能Q</t>
  </si>
  <si>
    <t>金矿技能W</t>
  </si>
  <si>
    <t>兽族</t>
  </si>
  <si>
    <t>UITexture/Charactar/shouzu/orc_base01</t>
  </si>
  <si>
    <t>一级要塞</t>
  </si>
  <si>
    <t>可以升级至二级要塞，升级后可解锁中级兵种和中级科技，可提高基地和副基地、防御塔的战斗力，提升金矿防御力。保护基地不被摧毁对获得战争的胜利至关重要！</t>
  </si>
  <si>
    <t>Can be upgraded to level 2 fortress, after upgrading intermediate Troops and Tech will be unlocked. It also increases combat effectiveness of base and secondary base. Protecting your base is vital to winning!</t>
  </si>
  <si>
    <t>UITexture/Charactar/shouzu/orc_base02</t>
  </si>
  <si>
    <t>二级要塞</t>
  </si>
  <si>
    <t>可以升级至三级要塞，升级后可解锁高级兵种和高级科技，可提高基地和副基地、防御塔的战斗力，提升金矿防御力。保护基地不被摧毁对获得战争的胜利至关重要！</t>
  </si>
  <si>
    <t>Can be upgraded to level 3 fortress. After upgrading, advanced Troops and Tech will be unlocked. It also increases combat effectiveness of base and secondary base. Protecting your base is vital to winning!</t>
  </si>
  <si>
    <t>UITexture/Charactar/shouzu/orc_base03</t>
  </si>
  <si>
    <t>三级要塞</t>
  </si>
  <si>
    <t>初始战士</t>
  </si>
  <si>
    <t>army03技能E</t>
  </si>
  <si>
    <t>army05技能W</t>
  </si>
  <si>
    <t>army05技能E</t>
  </si>
  <si>
    <r>
      <rPr>
        <sz val="11"/>
        <color indexed="8"/>
        <rFont val="宋体"/>
        <family val="3"/>
        <charset val="134"/>
      </rPr>
      <t>army06技能</t>
    </r>
    <r>
      <rPr>
        <sz val="11"/>
        <color indexed="8"/>
        <rFont val="宋体"/>
        <family val="3"/>
        <charset val="134"/>
      </rPr>
      <t>W</t>
    </r>
  </si>
  <si>
    <t>army08技能普攻1</t>
  </si>
  <si>
    <t>技能栏普攻1</t>
  </si>
  <si>
    <r>
      <rPr>
        <sz val="11"/>
        <color indexed="8"/>
        <rFont val="宋体"/>
        <family val="3"/>
        <charset val="134"/>
      </rPr>
      <t>UITexture/Charactar/shouzu</t>
    </r>
    <r>
      <rPr>
        <sz val="11"/>
        <color indexed="8"/>
        <rFont val="宋体"/>
        <family val="3"/>
        <charset val="134"/>
      </rPr>
      <t>/</t>
    </r>
    <r>
      <rPr>
        <sz val="11"/>
        <color indexed="8"/>
        <rFont val="宋体"/>
        <family val="3"/>
        <charset val="134"/>
      </rPr>
      <t>orc_tower01</t>
    </r>
  </si>
  <si>
    <r>
      <rPr>
        <sz val="11"/>
        <color indexed="8"/>
        <rFont val="宋体"/>
        <family val="3"/>
        <charset val="134"/>
      </rPr>
      <t>prefab/dldeffect/</t>
    </r>
    <r>
      <rPr>
        <sz val="11"/>
        <color indexed="8"/>
        <rFont val="宋体"/>
        <family val="3"/>
        <charset val="134"/>
      </rPr>
      <t>orc_tower_guard</t>
    </r>
  </si>
  <si>
    <r>
      <rPr>
        <sz val="11"/>
        <color indexed="8"/>
        <rFont val="宋体"/>
        <family val="3"/>
        <charset val="134"/>
      </rPr>
      <t>prefab/dldeffect/</t>
    </r>
    <r>
      <rPr>
        <sz val="11"/>
        <color indexed="8"/>
        <rFont val="宋体"/>
        <family val="3"/>
        <charset val="134"/>
      </rPr>
      <t>orc_tower_delayguard</t>
    </r>
  </si>
  <si>
    <t>亡灵</t>
  </si>
  <si>
    <t>UITexture/Charactar/wangling/gho_base01</t>
  </si>
  <si>
    <t>一级墓地</t>
  </si>
  <si>
    <t>可以升级至二级墓地，升级后可解锁中级兵种和中级科技，可提高基地和副基地、防御塔的战斗力，提升金矿防御力。保护基地不被摧毁对获得战争的胜利至关重要！</t>
  </si>
  <si>
    <t>Can be upgraded to level 2 graveyard, after upgrading intermediate Troops and Tech will be unlocked. It also increases combat effectiveness of base and secondary base. Protecting your base is vital to winning!</t>
  </si>
  <si>
    <r>
      <rPr>
        <sz val="11"/>
        <color indexed="8"/>
        <rFont val="宋体"/>
        <family val="3"/>
        <charset val="134"/>
      </rPr>
      <t>UITexture/Charactar/</t>
    </r>
    <r>
      <rPr>
        <sz val="11"/>
        <color indexed="8"/>
        <rFont val="宋体"/>
        <family val="3"/>
        <charset val="134"/>
      </rPr>
      <t>wangling</t>
    </r>
    <r>
      <rPr>
        <sz val="11"/>
        <color indexed="8"/>
        <rFont val="宋体"/>
        <family val="3"/>
        <charset val="134"/>
      </rPr>
      <t>/</t>
    </r>
    <r>
      <rPr>
        <sz val="11"/>
        <color indexed="8"/>
        <rFont val="宋体"/>
        <family val="3"/>
        <charset val="134"/>
      </rPr>
      <t>gho</t>
    </r>
    <r>
      <rPr>
        <sz val="11"/>
        <color indexed="8"/>
        <rFont val="宋体"/>
        <family val="3"/>
        <charset val="134"/>
      </rPr>
      <t>_base02</t>
    </r>
  </si>
  <si>
    <t>二级墓地</t>
  </si>
  <si>
    <t>可以升级至三级墓地，升级后可解锁高级兵种和高级科技，可提高基地和副基地、防御塔的战斗力，提升金矿防御力。保护基地不被摧毁对获得战争的胜利至关重要！</t>
  </si>
  <si>
    <t>Can be upgraded to level 3 graveyard. After upgrading, advanced Troops and Tech will be unlocked. It also increases combat effectiveness of base and secondary base. Protecting your base is vital to winning!</t>
  </si>
  <si>
    <r>
      <rPr>
        <sz val="11"/>
        <color indexed="8"/>
        <rFont val="宋体"/>
        <family val="3"/>
        <charset val="134"/>
      </rPr>
      <t>UITexture/Charactar/</t>
    </r>
    <r>
      <rPr>
        <sz val="11"/>
        <color indexed="8"/>
        <rFont val="宋体"/>
        <family val="3"/>
        <charset val="134"/>
      </rPr>
      <t>wangling</t>
    </r>
    <r>
      <rPr>
        <sz val="11"/>
        <color indexed="8"/>
        <rFont val="宋体"/>
        <family val="3"/>
        <charset val="134"/>
      </rPr>
      <t>/</t>
    </r>
    <r>
      <rPr>
        <sz val="11"/>
        <color indexed="8"/>
        <rFont val="宋体"/>
        <family val="3"/>
        <charset val="134"/>
      </rPr>
      <t>gho</t>
    </r>
    <r>
      <rPr>
        <sz val="11"/>
        <color indexed="8"/>
        <rFont val="宋体"/>
        <family val="3"/>
        <charset val="134"/>
      </rPr>
      <t>_base03</t>
    </r>
  </si>
  <si>
    <t>三级墓地</t>
  </si>
  <si>
    <r>
      <rPr>
        <sz val="11"/>
        <color indexed="8"/>
        <rFont val="宋体"/>
        <family val="3"/>
        <charset val="134"/>
      </rPr>
      <t>army01技能</t>
    </r>
    <r>
      <rPr>
        <sz val="11"/>
        <color indexed="8"/>
        <rFont val="宋体"/>
        <family val="3"/>
        <charset val="134"/>
      </rPr>
      <t>W</t>
    </r>
  </si>
  <si>
    <t>army05变身科技</t>
  </si>
  <si>
    <t>单位变身科技</t>
  </si>
  <si>
    <t>army07技能W</t>
  </si>
  <si>
    <t>army09技能普攻1</t>
  </si>
  <si>
    <t>army10技能W</t>
  </si>
  <si>
    <t>army10技能E</t>
  </si>
  <si>
    <t>UITexture/Charactar/wangling/gho_tower01</t>
  </si>
  <si>
    <t>prefab/dldeffect/gho_tower01</t>
  </si>
  <si>
    <t>prefab/dldeffect/gho_tower01_delay</t>
  </si>
  <si>
    <t>骷髅战士技能Q</t>
  </si>
  <si>
    <t>骷髅弓箭手技能Q</t>
  </si>
  <si>
    <t>精灵</t>
  </si>
  <si>
    <t>UITexture/Charactar/jingling/elf_base01</t>
  </si>
  <si>
    <t>一级圣地</t>
  </si>
  <si>
    <t>可以升级至二级圣地，升级后可解锁中级兵种和中级科技，可提高基地和副基地、防御塔的战斗力，提升金矿防御力。保护基地不被摧毁对获得战争的胜利至关重要！</t>
  </si>
  <si>
    <t>Can be upgraded to level 2 shrine, after upgrading intermediate Troops and Tech will be unlocked. It also increases combat effectiveness of base and secondary base. Protecting your base is vital to winning!</t>
  </si>
  <si>
    <t>UITexture/Charactar/jingling/elf_base02</t>
  </si>
  <si>
    <t>二级圣地</t>
  </si>
  <si>
    <t>可以升级至三级圣地，升级后可解锁高级兵种和高级科技，可提高基地和副基地、防御塔的战斗力，提升金矿防御力。保护基地不被摧毁对获得战争的胜利至关重要！</t>
  </si>
  <si>
    <t>Can be upgraded to level 3 shrine. After upgrading, advanced Troops and Tech will be unlocked. It also increases combat effectiveness of base and secondary base. Protecting your base is vital to winning!</t>
  </si>
  <si>
    <t>UITexture/Charactar/jingling/elf_base03</t>
  </si>
  <si>
    <t>三级圣地</t>
  </si>
  <si>
    <t>army01技能W</t>
  </si>
  <si>
    <t>army02技能普攻1</t>
  </si>
  <si>
    <t>army07技能E</t>
  </si>
  <si>
    <t>army09技能W</t>
  </si>
  <si>
    <t>UITexture/Charactar/jingling/elf_tower01</t>
  </si>
  <si>
    <t>prefab/dldeffect/elf_tower_guard</t>
  </si>
  <si>
    <t>prefab/dldeffect/elf_tower_delayguard</t>
  </si>
  <si>
    <t>精灵英雄种族技能</t>
  </si>
  <si>
    <t>科技效果_增加英雄技能</t>
  </si>
  <si>
    <t>升级一级基地</t>
  </si>
  <si>
    <t>一级城堡，可以升级至主城，升级后可解锁中级兵种和中级科技，可提高基地和副基地、防御塔的战斗力，提升金矿防御力。保护基地不被摧毁对获得战争的胜利至关重要！</t>
  </si>
  <si>
    <t>升级二级基地</t>
  </si>
  <si>
    <t>二级城堡，可以升级至城堡，升级后可解锁高级兵种和高级科技，可提高基地和副基地、防御塔的战斗力，提升金矿防御力。保护基地不被摧毁对获得战争的胜利至关重要！</t>
  </si>
  <si>
    <t>升级三级基地</t>
  </si>
  <si>
    <t>三级城堡，可建造高级兵种和高级科技，可提高基地和副基地、防御塔的战斗力，提升金矿防御力。保护基地不被摧毁对获得战争的胜利至关重要！</t>
  </si>
  <si>
    <t>人口升级1</t>
  </si>
  <si>
    <r>
      <rPr>
        <sz val="11"/>
        <color indexed="8"/>
        <rFont val="宋体"/>
        <family val="3"/>
        <charset val="134"/>
      </rPr>
      <t>UITexture/Charactar/keji/</t>
    </r>
    <r>
      <rPr>
        <sz val="11"/>
        <color indexed="8"/>
        <rFont val="宋体"/>
        <family val="3"/>
        <charset val="134"/>
      </rPr>
      <t>food_1</t>
    </r>
  </si>
  <si>
    <t>人口升级2</t>
  </si>
  <si>
    <t>人口升级3</t>
  </si>
  <si>
    <t>人口升级4</t>
  </si>
  <si>
    <t>研究后增加士兵攻击力。</t>
  </si>
  <si>
    <t>Increases troop damage。</t>
  </si>
  <si>
    <t>研究后增加士兵防御力。</t>
  </si>
  <si>
    <t>Increases troop defense。</t>
  </si>
  <si>
    <r>
      <rPr>
        <sz val="11"/>
        <color indexed="8"/>
        <rFont val="宋体"/>
        <family val="3"/>
        <charset val="134"/>
      </rPr>
      <t>army05技能</t>
    </r>
    <r>
      <rPr>
        <sz val="11"/>
        <color indexed="8"/>
        <rFont val="宋体"/>
        <family val="3"/>
        <charset val="134"/>
      </rPr>
      <t>Q</t>
    </r>
  </si>
  <si>
    <t>初级人口</t>
  </si>
  <si>
    <t>研究后增加10人口。</t>
  </si>
  <si>
    <t>Increases Supply Cap by 10</t>
  </si>
  <si>
    <t>高级人口</t>
  </si>
  <si>
    <t>主基地ID</t>
  </si>
  <si>
    <t>主基地科技图标</t>
  </si>
  <si>
    <t>基地等级类型</t>
  </si>
  <si>
    <t>副基地ID</t>
  </si>
  <si>
    <t>科技入口ID</t>
  </si>
  <si>
    <t>科技研究完成1ID</t>
  </si>
  <si>
    <t>科技研究完成1科技树类型</t>
  </si>
  <si>
    <t>科技研究完成2ID</t>
  </si>
  <si>
    <t>科技研究完成2科技树类型</t>
  </si>
  <si>
    <t>科技研究完成3ID</t>
  </si>
  <si>
    <t>科技研究完成3科技树类型</t>
  </si>
  <si>
    <t>科技研究完成4ID</t>
  </si>
  <si>
    <t>科技研究完成4科技树类型</t>
  </si>
  <si>
    <t>科技研究完成5ID</t>
  </si>
  <si>
    <t>科技研究完成5科技树类型</t>
  </si>
  <si>
    <t>科技研究完成6ID</t>
  </si>
  <si>
    <t>科技研究完成6科技树类型</t>
  </si>
  <si>
    <t>科技研究完成7ID</t>
  </si>
  <si>
    <t>科技研究完成7科技树类型</t>
  </si>
  <si>
    <t>科技研究完成8ID</t>
  </si>
  <si>
    <t>科技研究完成8科技树类型</t>
  </si>
  <si>
    <t>科技研究完成9ID</t>
  </si>
  <si>
    <t>科技研究完成9科技树类型</t>
  </si>
  <si>
    <t>科技研究完成10ID</t>
  </si>
  <si>
    <t>科技研究完成10科技树类型</t>
  </si>
  <si>
    <t>科技研究完成11ID</t>
  </si>
  <si>
    <t>科技研究完成11科技树类型</t>
  </si>
  <si>
    <t>科技研究完成12ID</t>
  </si>
  <si>
    <t>科技研究完成12科技树类型</t>
  </si>
  <si>
    <t>科技研究完成13ID</t>
  </si>
  <si>
    <t>科技研究完成13科技树类型</t>
  </si>
  <si>
    <t>科技研究完成14ID</t>
  </si>
  <si>
    <t>科技研究完成14科技树类型</t>
  </si>
  <si>
    <t>科技研究完成15ID</t>
  </si>
  <si>
    <t>科技研究完成15科技树类型</t>
  </si>
  <si>
    <t>科技研究完成16ID</t>
  </si>
  <si>
    <t>科技研究完成16科技树类型</t>
  </si>
  <si>
    <t>科技研究完成17ID</t>
  </si>
  <si>
    <t>科技研究完成17科技树类型</t>
  </si>
  <si>
    <t>科技研究完成18ID</t>
  </si>
  <si>
    <t>科技研究完成18科技树类型</t>
  </si>
  <si>
    <t>科技研究完成19ID</t>
  </si>
  <si>
    <t>科技研究完成19科技树类型</t>
  </si>
  <si>
    <t>科技研究完成20ID</t>
  </si>
  <si>
    <t>科技研究完成20科技树类型</t>
  </si>
  <si>
    <t>科技解锁1ID</t>
  </si>
  <si>
    <t>科技解锁1科技树类型</t>
  </si>
  <si>
    <t>科技解锁2ID</t>
  </si>
  <si>
    <t>科技解锁2科技树类型</t>
  </si>
  <si>
    <t>科技解锁3ID</t>
  </si>
  <si>
    <t>科技解锁3科技树类型</t>
  </si>
  <si>
    <t>科技解锁4ID</t>
  </si>
  <si>
    <t>科技解锁4科技树类型</t>
  </si>
  <si>
    <t>科技解锁5ID</t>
  </si>
  <si>
    <t>科技解锁5科技树类型</t>
  </si>
  <si>
    <t>科技解锁6ID</t>
  </si>
  <si>
    <t>科技解锁6科技树类型</t>
  </si>
  <si>
    <t>科技解锁7ID</t>
  </si>
  <si>
    <t>科技解锁7科技树类型</t>
  </si>
  <si>
    <t>科技解锁8ID</t>
  </si>
  <si>
    <t>科技解锁8科技树类型</t>
  </si>
  <si>
    <r>
      <rPr>
        <sz val="11"/>
        <color indexed="8"/>
        <rFont val="宋体"/>
        <family val="3"/>
        <charset val="134"/>
      </rPr>
      <t>3</t>
    </r>
    <r>
      <rPr>
        <sz val="11"/>
        <color indexed="8"/>
        <rFont val="宋体"/>
        <family val="3"/>
        <charset val="134"/>
      </rPr>
      <t>v3</t>
    </r>
  </si>
  <si>
    <t>一本科技基地</t>
  </si>
  <si>
    <t>二本科技基地</t>
  </si>
  <si>
    <t>三本科技基地</t>
  </si>
  <si>
    <r>
      <rPr>
        <sz val="11"/>
        <color indexed="8"/>
        <rFont val="宋体"/>
        <family val="3"/>
        <charset val="134"/>
      </rPr>
      <t>UITexture/Charactar/</t>
    </r>
    <r>
      <rPr>
        <sz val="11"/>
        <color indexed="8"/>
        <rFont val="宋体"/>
        <family val="3"/>
        <charset val="134"/>
      </rPr>
      <t>wangling</t>
    </r>
    <r>
      <rPr>
        <sz val="11"/>
        <color indexed="8"/>
        <rFont val="宋体"/>
        <family val="3"/>
        <charset val="134"/>
      </rPr>
      <t>/</t>
    </r>
    <r>
      <rPr>
        <sz val="11"/>
        <color indexed="8"/>
        <rFont val="宋体"/>
        <family val="3"/>
        <charset val="134"/>
      </rPr>
      <t>gho</t>
    </r>
    <r>
      <rPr>
        <sz val="11"/>
        <color indexed="8"/>
        <rFont val="宋体"/>
        <family val="3"/>
        <charset val="134"/>
      </rPr>
      <t>_base01</t>
    </r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</si>
  <si>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v1</t>
    </r>
  </si>
  <si>
    <t>1v1</t>
  </si>
  <si>
    <r>
      <rPr>
        <sz val="11"/>
        <color indexed="8"/>
        <rFont val="宋体"/>
        <family val="3"/>
        <charset val="134"/>
      </rPr>
      <t>新手1</t>
    </r>
    <r>
      <rPr>
        <sz val="11"/>
        <color indexed="8"/>
        <rFont val="宋体"/>
        <family val="3"/>
        <charset val="134"/>
      </rPr>
      <t>v1</t>
    </r>
  </si>
  <si>
    <t>怪物ID</t>
  </si>
  <si>
    <t>科技属性1效果</t>
  </si>
  <si>
    <t>科技属性1类型</t>
  </si>
  <si>
    <t>科技属性1数值</t>
  </si>
  <si>
    <t>科技属性2效果</t>
  </si>
  <si>
    <t>科技属性2类型</t>
  </si>
  <si>
    <t>科技属性2数值</t>
  </si>
  <si>
    <t>加成属性</t>
  </si>
  <si>
    <t>ID</t>
  </si>
  <si>
    <t>一本推荐兵种1</t>
  </si>
  <si>
    <t>一本推荐兵种2</t>
  </si>
  <si>
    <t>二本推荐兵种1</t>
  </si>
  <si>
    <t>二本推荐兵种2</t>
  </si>
  <si>
    <t>三本推荐兵种1</t>
  </si>
  <si>
    <t>三本推荐兵种2</t>
  </si>
  <si>
    <t>人口科技1场景ID</t>
  </si>
  <si>
    <t>人口科技1科技ID</t>
  </si>
  <si>
    <t>人口科技2场景ID</t>
  </si>
  <si>
    <t>人口科技2科技ID</t>
  </si>
  <si>
    <t>人口科技3场景ID</t>
  </si>
  <si>
    <t>人口科技3科技ID</t>
  </si>
  <si>
    <t>人口科技4场景ID</t>
  </si>
  <si>
    <t>人口科技4科技ID</t>
  </si>
  <si>
    <t>人口科技5场景ID</t>
  </si>
  <si>
    <t>人口科技5科技ID</t>
  </si>
  <si>
    <t>人口科技6场景ID</t>
  </si>
  <si>
    <t>人口科技6科技ID</t>
  </si>
  <si>
    <t>人族新手出兵方案1</t>
  </si>
  <si>
    <t>人族出兵方案1</t>
  </si>
  <si>
    <t>人族出兵方案2</t>
  </si>
  <si>
    <t>兽族出兵方案1</t>
  </si>
  <si>
    <t>兽族出兵方案2</t>
  </si>
  <si>
    <t>亡灵出兵方案1</t>
  </si>
  <si>
    <t>亡灵出兵方案2</t>
  </si>
  <si>
    <t>精灵出兵方案1</t>
  </si>
  <si>
    <t>精灵出兵方案2</t>
  </si>
  <si>
    <t>初始科技状态</t>
  </si>
  <si>
    <t>升级时间开销</t>
  </si>
  <si>
    <t>升级金币开销</t>
  </si>
  <si>
    <t>升级所需基地等级</t>
  </si>
  <si>
    <t>等级=数值</t>
  </si>
  <si>
    <t>0=中立种族</t>
  </si>
  <si>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family val="3"/>
        <charset val="134"/>
      </rPr>
      <t>=</t>
    </r>
    <r>
      <rPr>
        <sz val="11"/>
        <color indexed="8"/>
        <rFont val="宋体"/>
        <family val="3"/>
        <charset val="134"/>
      </rPr>
      <t>单位科技</t>
    </r>
  </si>
  <si>
    <t>0=科技子类型_NONE</t>
  </si>
  <si>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family val="3"/>
        <charset val="134"/>
      </rPr>
      <t>=科技状态_不可用</t>
    </r>
  </si>
  <si>
    <t>时间=毫秒</t>
  </si>
  <si>
    <t>金币=数值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</si>
  <si>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=</t>
    </r>
    <r>
      <rPr>
        <sz val="11"/>
        <color indexed="8"/>
        <rFont val="宋体"/>
        <family val="3"/>
        <charset val="134"/>
      </rPr>
      <t>科技效果</t>
    </r>
    <r>
      <rPr>
        <sz val="11"/>
        <color indexed="8"/>
        <rFont val="宋体"/>
        <family val="3"/>
        <charset val="134"/>
      </rPr>
      <t>_</t>
    </r>
    <r>
      <rPr>
        <sz val="11"/>
        <color indexed="8"/>
        <rFont val="宋体"/>
        <family val="3"/>
        <charset val="134"/>
      </rPr>
      <t>解锁单位技能</t>
    </r>
  </si>
  <si>
    <t>单位资源ID(怪物表)</t>
  </si>
  <si>
    <t>技能栏位ID</t>
  </si>
  <si>
    <t>图标路径</t>
  </si>
  <si>
    <t>城镇，可以升级至主城，升级后可解锁中级兵种和中级科技，提升基地等级可提高基地和副基地的战斗力。保护基地不被摧毁对获得战争的胜利至关重要！</t>
  </si>
  <si>
    <t>100010为组ID，01为等级</t>
  </si>
  <si>
    <t>只有团队科技有科技等级，房子，攻防等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</si>
  <si>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=</t>
    </r>
    <r>
      <rPr>
        <sz val="11"/>
        <color indexed="8"/>
        <rFont val="宋体"/>
        <family val="3"/>
        <charset val="134"/>
      </rPr>
      <t>人族</t>
    </r>
  </si>
  <si>
    <t>1=团队科技</t>
  </si>
  <si>
    <t>1=单位基地升级科技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</si>
  <si>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=科技状态_可研究</t>
    </r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</si>
  <si>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=</t>
    </r>
    <r>
      <rPr>
        <sz val="11"/>
        <color indexed="8"/>
        <rFont val="宋体"/>
        <family val="3"/>
        <charset val="134"/>
      </rPr>
      <t>科技效果_提升最大人口</t>
    </r>
  </si>
  <si>
    <t>人口增加数目</t>
  </si>
  <si>
    <t>100为人族科技组，010第一个科技</t>
  </si>
  <si>
    <t>2=兽族</t>
  </si>
  <si>
    <t>2=单位变身科技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</si>
  <si>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=科技状态_研究中</t>
    </r>
  </si>
  <si>
    <r>
      <rPr>
        <sz val="11"/>
        <color indexed="8"/>
        <rFont val="宋体"/>
        <family val="3"/>
        <charset val="134"/>
      </rPr>
      <t>3</t>
    </r>
    <r>
      <rPr>
        <sz val="11"/>
        <color indexed="8"/>
        <rFont val="宋体"/>
        <family val="3"/>
        <charset val="134"/>
      </rPr>
      <t>=科技效果_提升单位攻防属性</t>
    </r>
  </si>
  <si>
    <t>属性类型</t>
  </si>
  <si>
    <t>110为兽族科技</t>
  </si>
  <si>
    <t>3=亡灵</t>
  </si>
  <si>
    <r>
      <rPr>
        <sz val="11"/>
        <color indexed="8"/>
        <rFont val="宋体"/>
        <family val="3"/>
        <charset val="134"/>
      </rPr>
      <t>3</t>
    </r>
    <r>
      <rPr>
        <sz val="11"/>
        <color indexed="8"/>
        <rFont val="宋体"/>
        <family val="3"/>
        <charset val="134"/>
      </rPr>
      <t>=团队攻击升级科技</t>
    </r>
  </si>
  <si>
    <r>
      <rPr>
        <sz val="11"/>
        <color indexed="8"/>
        <rFont val="宋体"/>
        <family val="3"/>
        <charset val="134"/>
      </rPr>
      <t>3</t>
    </r>
    <r>
      <rPr>
        <sz val="11"/>
        <color indexed="8"/>
        <rFont val="宋体"/>
        <family val="3"/>
        <charset val="134"/>
      </rPr>
      <t>=科技状态_研究完成</t>
    </r>
  </si>
  <si>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family val="3"/>
        <charset val="134"/>
      </rPr>
      <t>=科技效果_基地科技升级</t>
    </r>
  </si>
  <si>
    <t>技能升级资源ID（基地升级科技效果表ID）</t>
  </si>
  <si>
    <t>120为亡灵科技</t>
  </si>
  <si>
    <t>4=精灵</t>
  </si>
  <si>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family val="3"/>
        <charset val="134"/>
      </rPr>
      <t>=团队防御升级科技</t>
    </r>
  </si>
  <si>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=科技效果_孵化单位</t>
    </r>
  </si>
  <si>
    <t>单位资源ID（怪物表）</t>
  </si>
  <si>
    <t>数目</t>
  </si>
  <si>
    <t>130为精灵科技</t>
  </si>
  <si>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=团队人口升级科技</t>
    </r>
  </si>
  <si>
    <t>6=科技效果_增加英雄技能</t>
  </si>
  <si>
    <r>
      <rPr>
        <sz val="11"/>
        <color indexed="8"/>
        <rFont val="宋体"/>
        <family val="3"/>
        <charset val="134"/>
      </rPr>
      <t>技能I</t>
    </r>
    <r>
      <rPr>
        <sz val="11"/>
        <color indexed="8"/>
        <rFont val="宋体"/>
        <family val="3"/>
        <charset val="134"/>
      </rPr>
      <t>D</t>
    </r>
  </si>
  <si>
    <t>研究后增加士兵攻击力。</t>
    <phoneticPr fontId="8" type="noConversion"/>
  </si>
  <si>
    <t>研究后增加士兵攻击力。</t>
    <phoneticPr fontId="8" type="noConversion"/>
  </si>
  <si>
    <t xml:space="preserve">研究后增加士兵攻击力。@矮人步兵\n\n弩手\n\n矮人直升机\n\n魔法守卫\n\n鹰骑士\n\n骑士\n\n炮车\n\n龙骑士@130 &lt;color=#00ff00&gt;+13&lt;/color&gt;\n\n230 &lt;color=#00ff00&gt;+23&lt;/color&gt;\n\n180 &lt;color=#00ff00&gt;+18&lt;/color&gt;\n\n190 &lt;color=#00ff00&gt;+19&lt;/color&gt;\n\n230 &lt;color=#00ff00&gt;+23&lt;/color&gt;\n\n300 &lt;color=#00ff00&gt;+30&lt;/color&gt;\n\n520 &lt;color=#00ff00&gt;+52&lt;/color&gt;\n\n400 &lt;color=#00ff00&gt;+40&lt;/color&gt;  </t>
  </si>
  <si>
    <t xml:space="preserve">Increases troop damage。@Dwarf Infantry\n\nCrossbowman\n\nDwarf Bomber\n\nMagic Guard\n\nEagle Rider\n\nHeavy Knight\n\nCannon\n\nDragon Knight@130 &lt;color=#00ff00&gt;+13&lt;/color&gt;\n\n230 &lt;color=#00ff00&gt;+23&lt;/color&gt;\n\n180 &lt;color=#00ff00&gt;+18&lt;/color&gt;\n\n190 &lt;color=#00ff00&gt;+19&lt;/color&gt;\n\n230 &lt;color=#00ff00&gt;+23&lt;/color&gt;\n\n300 &lt;color=#00ff00&gt;+30&lt;/color&gt;\n\n520 &lt;color=#00ff00&gt;+52&lt;/color&gt;\n\n400 &lt;color=#00ff00&gt;+40&lt;/color&gt;  </t>
  </si>
  <si>
    <t xml:space="preserve">研究后增加士兵攻击力。@矮人步兵\n\n弩手\n\n矮人直升机\n\n魔法守卫\n\n鹰骑士\n\n骑士\n\n炮车\n\n龙骑士@143 &lt;color=#00ff00&gt;+13&lt;/color&gt;\n\n253 &lt;color=#00ff00&gt;+23&lt;/color&gt;\n\n198 &lt;color=#00ff00&gt;+18&lt;/color&gt;\n\n209 &lt;color=#00ff00&gt;+19&lt;/color&gt;\n\n253 &lt;color=#00ff00&gt;+23&lt;/color&gt;\n\n330 &lt;color=#00ff00&gt;+30&lt;/color&gt;\n\n572 &lt;color=#00ff00&gt;+52&lt;/color&gt;\n\n440 &lt;color=#00ff00&gt;+40&lt;/color&gt;  </t>
  </si>
  <si>
    <t xml:space="preserve">Increases troop damage。@Dwarf Infantry\n\nCrossbowman\n\nDwarf Bomber\n\nMagic Guard\n\nEagle Rider\n\nHeavy Knight\n\nCannon\n\nDragon Knight@143 &lt;color=#00ff00&gt;+13&lt;/color&gt;\n\n253 &lt;color=#00ff00&gt;+23&lt;/color&gt;\n\n198 &lt;color=#00ff00&gt;+18&lt;/color&gt;\n\n209 &lt;color=#00ff00&gt;+19&lt;/color&gt;\n\n253 &lt;color=#00ff00&gt;+23&lt;/color&gt;\n\n330 &lt;color=#00ff00&gt;+30&lt;/color&gt;\n\n572 &lt;color=#00ff00&gt;+52&lt;/color&gt;\n\n440 &lt;color=#00ff00&gt;+40&lt;/color&gt;  </t>
  </si>
  <si>
    <t xml:space="preserve">研究后增加士兵攻击力。@矮人步兵\n\n弩手\n\n矮人直升机\n\n魔法守卫\n\n鹰骑士\n\n骑士\n\n炮车\n\n龙骑士@156 &lt;color=#00ff00&gt;+13&lt;/color&gt;\n\n276 &lt;color=#00ff00&gt;+23&lt;/color&gt;\n\n216 &lt;color=#00ff00&gt;+18&lt;/color&gt;\n\n228 &lt;color=#00ff00&gt;+19&lt;/color&gt;\n\n276 &lt;color=#00ff00&gt;+23&lt;/color&gt;\n\n360 &lt;color=#00ff00&gt;+30&lt;/color&gt;\n\n624 &lt;color=#00ff00&gt;+52&lt;/color&gt;\n\n480 &lt;color=#00ff00&gt;+40&lt;/color&gt;  </t>
  </si>
  <si>
    <t xml:space="preserve">Increases troop damage。@Dwarf Infantry\n\nCrossbowman\n\nDwarf Bomber\n\nMagic Guard\n\nEagle Rider\n\nHeavy Knight\n\nCannon\n\nDragon Knight@156 &lt;color=#00ff00&gt;+13&lt;/color&gt;\n\n276 &lt;color=#00ff00&gt;+23&lt;/color&gt;\n\n216 &lt;color=#00ff00&gt;+18&lt;/color&gt;\n\n228 &lt;color=#00ff00&gt;+19&lt;/color&gt;\n\n276 &lt;color=#00ff00&gt;+23&lt;/color&gt;\n\n360 &lt;color=#00ff00&gt;+30&lt;/color&gt;\n\n624 &lt;color=#00ff00&gt;+52&lt;/color&gt;\n\n480 &lt;color=#00ff00&gt;+40&lt;/color&gt;  </t>
  </si>
  <si>
    <t>研究后增加士兵防御力。@矮人步兵\n\n弩手\n\n矮人直升机\n\n魔法守卫\n\n鹰骑士\n\n骑士\n\n炮车\n\n龙骑士@72 &lt;color=#00ff00&gt;+72&lt;/color&gt;\n\n0 &lt;color=#00ff00&gt;+72&lt;/color&gt;\n\n72 &lt;color=#00ff00&gt;+72&lt;/color&gt;\n\n108 &lt;color=#00ff00&gt;+72&lt;/color&gt;\n\n36 &lt;color=#00ff00&gt;+72&lt;/color&gt;\n\n180 &lt;color=#00ff00&gt;+72&lt;/color&gt;\n\n72 &lt;color=#00ff00&gt;+72&lt;/color&gt;\n\n0 &lt;color=#00ff00&gt;+72&lt;/color&gt;</t>
  </si>
  <si>
    <t>Increases troop defense。@Dwarf Infantry\n\nCrossbowman\n\nDwarf Bomber\n\nMagic Guard\n\nEagle Rider\n\nHeavy Knight\n\nCannon\n\nDragon Knight@72 &lt;color=#00ff00&gt;+72&lt;/color&gt;\n\n0 &lt;color=#00ff00&gt;+72&lt;/color&gt;\n\n72 &lt;color=#00ff00&gt;+72&lt;/color&gt;\n\n108 &lt;color=#00ff00&gt;+72&lt;/color&gt;\n\n36 &lt;color=#00ff00&gt;+72&lt;/color&gt;\n\n180 &lt;color=#00ff00&gt;+72&lt;/color&gt;\n\n72 &lt;color=#00ff00&gt;+72&lt;/color&gt;\n\n0 &lt;color=#00ff00&gt;+72&lt;/color&gt;</t>
  </si>
  <si>
    <t>研究后增加士兵防御力。@矮人步兵\n\n弩手\n\n矮人直升机\n\n魔法守卫\n\n鹰骑士\n\n骑士\n\n炮车\n\n龙骑士@144 &lt;color=#00ff00&gt;+72&lt;/color&gt;\n\n72 &lt;color=#00ff00&gt;+72&lt;/color&gt;\n\n144 &lt;color=#00ff00&gt;+72&lt;/color&gt;\n\n180 &lt;color=#00ff00&gt;+72&lt;/color&gt;\n\n108 &lt;color=#00ff00&gt;+72&lt;/color&gt;\n\n252 &lt;color=#00ff00&gt;+72&lt;/color&gt;\n\n144 &lt;color=#00ff00&gt;+72&lt;/color&gt;\n\n72 &lt;color=#00ff00&gt;+72&lt;/color&gt;</t>
  </si>
  <si>
    <t>Increases troop defense。@Dwarf Infantry\n\nCrossbowman\n\nDwarf Bomber\n\nMagic Guard\n\nEagle Rider\n\nHeavy Knight\n\nCannon\n\nDragon Knight@144 &lt;color=#00ff00&gt;+72&lt;/color&gt;\n\n72 &lt;color=#00ff00&gt;+72&lt;/color&gt;\n\n144 &lt;color=#00ff00&gt;+72&lt;/color&gt;\n\n180 &lt;color=#00ff00&gt;+72&lt;/color&gt;\n\n108 &lt;color=#00ff00&gt;+72&lt;/color&gt;\n\n252 &lt;color=#00ff00&gt;+72&lt;/color&gt;\n\n144 &lt;color=#00ff00&gt;+72&lt;/color&gt;\n\n72 &lt;color=#00ff00&gt;+72&lt;/color&gt;</t>
  </si>
  <si>
    <t>研究后增加士兵防御力。@矮人步兵\n\n弩手\n\n矮人直升机\n\n魔法守卫\n\n鹰骑士\n\n骑士\n\n炮车\n\n龙骑士@216 &lt;color=#00ff00&gt;+72&lt;/color&gt;\n\n144 &lt;color=#00ff00&gt;+72&lt;/color&gt;\n\n216 &lt;color=#00ff00&gt;+72&lt;/color&gt;\n\n252 &lt;color=#00ff00&gt;+72&lt;/color&gt;\n\n180 &lt;color=#00ff00&gt;+72&lt;/color&gt;\n\n324 &lt;color=#00ff00&gt;+72&lt;/color&gt;\n\n216 &lt;color=#00ff00&gt;+72&lt;/color&gt;\n\n144 &lt;color=#00ff00&gt;+72&lt;/color&gt;</t>
  </si>
  <si>
    <t>Increases troop defense。@Dwarf Infantry\n\nCrossbowman\n\nDwarf Bomber\n\nMagic Guard\n\nEagle Rider\n\nHeavy Knight\n\nCannon\n\nDragon Knight@216 &lt;color=#00ff00&gt;+72&lt;/color&gt;\n\n144 &lt;color=#00ff00&gt;+72&lt;/color&gt;\n\n216 &lt;color=#00ff00&gt;+72&lt;/color&gt;\n\n252 &lt;color=#00ff00&gt;+72&lt;/color&gt;\n\n180 &lt;color=#00ff00&gt;+72&lt;/color&gt;\n\n324 &lt;color=#00ff00&gt;+72&lt;/color&gt;\n\n216 &lt;color=#00ff00&gt;+72&lt;/color&gt;\n\n144 &lt;color=#00ff00&gt;+72&lt;/color&gt;</t>
  </si>
  <si>
    <t xml:space="preserve">研究后增加士兵攻击力。@兽人战士\n\n地精炮手\n\n巨狼骑士\n\n蝙蝠骑士\n\n巨翼飞龙\n\n投石车\n\n兽人战将@200 &lt;color=#00ff00&gt;+20&lt;/color&gt;\n\n190 &lt;color=#00ff00&gt;+19&lt;/color&gt;\n\n210 &lt;color=#00ff00&gt;+21&lt;/color&gt;\n\n150 &lt;color=#00ff00&gt;+15&lt;/color&gt;\n\n410 &lt;color=#00ff00&gt;+41&lt;/color&gt;\n\n600 &lt;color=#00ff00&gt;+60&lt;/color&gt;\n\n330 &lt;color=#00ff00&gt;+33&lt;/color&gt;
</t>
  </si>
  <si>
    <t xml:space="preserve">Increases troop damage。@Orc Warrior\n\nGoblin Gunner\n\nWolf Knight\n\nBat Master\n\nCombat Dragon\n\nCatapult\n\nOrc Centurion@200 &lt;color=#00ff00&gt;+20&lt;/color&gt;\n\n190 &lt;color=#00ff00&gt;+19&lt;/color&gt;\n\n210 &lt;color=#00ff00&gt;+21&lt;/color&gt;\n\n150 &lt;color=#00ff00&gt;+15&lt;/color&gt;\n\n410 &lt;color=#00ff00&gt;+41&lt;/color&gt;\n\n600 &lt;color=#00ff00&gt;+60&lt;/color&gt;\n\n330 &lt;color=#00ff00&gt;+33&lt;/color&gt;
</t>
  </si>
  <si>
    <t xml:space="preserve">研究后增加士兵攻击力。@兽人战士\n\n地精炮手\n\n巨狼骑士\n\n蝙蝠骑士\n\n巨翼飞龙\n\n投石车\n\n兽人战将@220 &lt;color=#00ff00&gt;+20&lt;/color&gt;\n\n209 &lt;color=#00ff00&gt;+19&lt;/color&gt;\n\n231 &lt;color=#00ff00&gt;+21&lt;/color&gt;\n\n165 &lt;color=#00ff00&gt;+15&lt;/color&gt;\n\n451 &lt;color=#00ff00&gt;+41&lt;/color&gt;\n\n660 &lt;color=#00ff00&gt;+60&lt;/color&gt;\n\n363 &lt;color=#00ff00&gt;+33&lt;/color&gt;
</t>
  </si>
  <si>
    <t xml:space="preserve">Increases troop damage。@Orc Warrior\n\nGoblin Gunner\n\nWolf Knight\n\nBat Master\n\nCombat Dragon\n\nCatapult\n\nOrc Centurion@220 &lt;color=#00ff00&gt;+20&lt;/color&gt;\n\n209 &lt;color=#00ff00&gt;+19&lt;/color&gt;\n\n231 &lt;color=#00ff00&gt;+21&lt;/color&gt;\n\n165 &lt;color=#00ff00&gt;+15&lt;/color&gt;\n\n451 &lt;color=#00ff00&gt;+41&lt;/color&gt;\n\n660 &lt;color=#00ff00&gt;+60&lt;/color&gt;\n\n363 &lt;color=#00ff00&gt;+33&lt;/color&gt;
</t>
  </si>
  <si>
    <t xml:space="preserve">研究后增加士兵攻击力。@兽人战士\n\n地精炮手\n\n巨狼骑士\n\n蝙蝠骑士\n\n巨翼飞龙\n\n投石车\n\n兽人战将@240 &lt;color=#00ff00&gt;+20&lt;/color&gt;\n\n238 &lt;color=#00ff00&gt;+19&lt;/color&gt;\n\n252 &lt;color=#00ff00&gt;+21&lt;/color&gt;\n\n180 &lt;color=#00ff00&gt;+15&lt;/color&gt;\n\n492 &lt;color=#00ff00&gt;+41&lt;/color&gt;\n\n720 &lt;color=#00ff00&gt;+60&lt;/color&gt;\n\n396 &lt;color=#00ff00&gt;+33&lt;/color&gt;
</t>
  </si>
  <si>
    <t xml:space="preserve">Increases troop damage。@Orc Warrior\n\nGoblin Gunner\n\nWolf Knight\n\nBat Master\n\nCombat Dragon\n\nCatapult\n\nOrc Centurion@240 &lt;color=#00ff00&gt;+20&lt;/color&gt;\n\n238 &lt;color=#00ff00&gt;+19&lt;/color&gt;\n\n252 &lt;color=#00ff00&gt;+21&lt;/color&gt;\n\n180 &lt;color=#00ff00&gt;+15&lt;/color&gt;\n\n492 &lt;color=#00ff00&gt;+41&lt;/color&gt;\n\n720 &lt;color=#00ff00&gt;+60&lt;/color&gt;\n\n396 &lt;color=#00ff00&gt;+33&lt;/color&gt;
</t>
  </si>
  <si>
    <t>研究后增加士兵防御力。@兽人战士\n\n地精炮手\n\n巨狼骑士\n\n蝙蝠骑士\n\n巨翼飞龙\n\n投石车\n\n兽人战将@36 &lt;color=#00ff00&gt;+72&lt;/color&gt;\n\n0 &lt;color=#00ff00&gt;+72&lt;/color&gt;\n\n36 &lt;color=#00ff00&gt;+72&lt;/color&gt;\n\n0 &lt;color=#00ff00&gt;+72&lt;/color&gt;\n\n0 &lt;color=#00ff00&gt;+72&lt;/color&gt;\n\n72 &lt;color=#00ff00&gt;+72&lt;/color&gt;\n\n108 &lt;color=#00ff00&gt;+72&lt;/color&gt;</t>
  </si>
  <si>
    <t>Increases troop defense。@Orc Warrior\n\nGoblin Gunner\n\nWolf Knight\n\nBat Master\n\nCombat Dragon\n\nCatapult\n\nOrc Centurion@36 &lt;color=#00ff00&gt;+72&lt;/color&gt;\n\n0 &lt;color=#00ff00&gt;+72&lt;/color&gt;\n\n36 &lt;color=#00ff00&gt;+72&lt;/color&gt;\n\n0 &lt;color=#00ff00&gt;+72&lt;/color&gt;\n\n0 &lt;color=#00ff00&gt;+72&lt;/color&gt;\n\n72 &lt;color=#00ff00&gt;+72&lt;/color&gt;\n\n108 &lt;color=#00ff00&gt;+72&lt;/color&gt;</t>
  </si>
  <si>
    <t>研究后增加士兵防御力。@兽人战士\n\n地精炮手\n\n巨狼骑士\n\n蝙蝠骑士\n\n巨翼飞龙\n\n投石车\n\n兽人战将@108 &lt;color=#00ff00&gt;+72&lt;/color&gt;\n\n72 &lt;color=#00ff00&gt;+72&lt;/color&gt;\n\n108 &lt;color=#00ff00&gt;+72&lt;/color&gt;\n\n72 &lt;color=#00ff00&gt;+72&lt;/color&gt;\n\n72 &lt;color=#00ff00&gt;+72&lt;/color&gt;\n\n144 &lt;color=#00ff00&gt;+72&lt;/color&gt;\n\n180 &lt;color=#00ff00&gt;+72&lt;/color&gt;</t>
  </si>
  <si>
    <t>Increases troop defense。@Orc Warrior\n\nGoblin Gunner\n\nWolf Knight\n\nBat Master\n\nCombat Dragon\n\nCatapult\n\nOrc Centurion@108 &lt;color=#00ff00&gt;+72&lt;/color&gt;\n\n72 &lt;color=#00ff00&gt;+72&lt;/color&gt;\n\n108 &lt;color=#00ff00&gt;+72&lt;/color&gt;\n\n72 &lt;color=#00ff00&gt;+72&lt;/color&gt;\n\n72 &lt;color=#00ff00&gt;+72&lt;/color&gt;\n\n144 &lt;color=#00ff00&gt;+72&lt;/color&gt;\n\n180 &lt;color=#00ff00&gt;+72&lt;/color&gt;</t>
  </si>
  <si>
    <t>研究后增加士兵防御力。@兽人战士\n\n地精炮手\n\n巨狼骑士\n\n蝙蝠骑士\n\n巨翼飞龙\n\n投石车\n\n兽人战将@180 &lt;color=#00ff00&gt;+72&lt;/color&gt;\n\n144 &lt;color=#00ff00&gt;+72&lt;/color&gt;\n\n180 &lt;color=#00ff00&gt;+72&lt;/color&gt;\n\n144 &lt;color=#00ff00&gt;+72&lt;/color&gt;\n\n144 &lt;color=#00ff00&gt;+72&lt;/color&gt;\n\n216 &lt;color=#00ff00&gt;+72&lt;/color&gt;\n\n252 &lt;color=#00ff00&gt;+72&lt;/color&gt;</t>
  </si>
  <si>
    <t>Increases troop defense。@Orc Warrior\n\nGoblin Gunner\n\nWolf Knight\n\nBat Master\n\nCombat Dragon\n\nCatapult\n\nOrc Centurion@180 &lt;color=#00ff00&gt;+72&lt;/color&gt;\n\n144 &lt;color=#00ff00&gt;+72&lt;/color&gt;\n\n180 &lt;color=#00ff00&gt;+72&lt;/color&gt;\n\n144 &lt;color=#00ff00&gt;+72&lt;/color&gt;\n\n144 &lt;color=#00ff00&gt;+72&lt;/color&gt;\n\n216 &lt;color=#00ff00&gt;+72&lt;/color&gt;\n\n252 &lt;color=#00ff00&gt;+72&lt;/color&gt;</t>
  </si>
  <si>
    <t>研究后增加士兵攻击力。@地狱犬\n\n巨型蚂蚁\n\n噬魂鬼\n\n鬼面兽\n\n瘟疫战车\n\n巨锤恶魔\n\n幽暗骨龙\n\n噬魂恶魔@130 &lt;color=#00ff00&gt;+13&lt;/color&gt;\n\n290 &lt;color=#00ff00&gt;+29&lt;/color&gt;\n\n250 &lt;color=#00ff00&gt;+25&lt;/color&gt;\n\n300 &lt;color=#00ff00&gt;+30&lt;/color&gt;\n\n435 &lt;color=#00ff00&gt;+43&lt;/color&gt;\n\n380 &lt;color=#00ff00&gt;+38&lt;/color&gt;\n\n700 &lt;color=#00ff00&gt;+70&lt;/color&gt;\n\n175 &lt;color=#00ff00&gt;+17&lt;/color&gt;</t>
  </si>
  <si>
    <t>Increases troop damage。@Cerberus\n\nGiant Ant\n\nDark Mystic\n\nGhost Wing\n\nPlague Chariot\n\nSledgehammer\n\nDark Behemoth\n\nSoul Reaper@130 &lt;color=#00ff00&gt;+13&lt;/color&gt;\n\n290 &lt;color=#00ff00&gt;+29&lt;/color&gt;\n\n250 &lt;color=#00ff00&gt;+25&lt;/color&gt;\n\n300 &lt;color=#00ff00&gt;+30&lt;/color&gt;\n\n435 &lt;color=#00ff00&gt;+43&lt;/color&gt;\n\n380 &lt;color=#00ff00&gt;+38&lt;/color&gt;\n\n700 &lt;color=#00ff00&gt;+70&lt;/color&gt;\n\n175 &lt;color=#00ff00&gt;+17&lt;/color&gt;</t>
  </si>
  <si>
    <t>研究后增加士兵攻击力。@地狱犬\n\n巨型蚂蚁\n\n噬魂鬼\n\n鬼面兽\n\n瘟疫战车\n\n巨锤恶魔\n\n幽暗骨龙\n\n噬魂恶魔@143 &lt;color=#00ff00&gt;+13&lt;/color&gt;\n\n319 &lt;color=#00ff00&gt;+29&lt;/color&gt;\n\n275 &lt;color=#00ff00&gt;+25&lt;/color&gt;\n\n330 &lt;color=#00ff00&gt;+30&lt;/color&gt;\n\n478 &lt;color=#00ff00&gt;+43&lt;/color&gt;\n\n418 &lt;color=#00ff00&gt;+38&lt;/color&gt;\n\n770 &lt;color=#00ff00&gt;+70&lt;/color&gt;\n\n192 &lt;color=#00ff00&gt;+17&lt;/color&gt;</t>
  </si>
  <si>
    <t>Increases troop damage。@Cerberus\n\nGiant Ant\n\nDark Mystic\n\nGhost Wing\n\nPlague Chariot\n\nSledgehammer\n\nDark Behemoth\n\nSoul Reaper@143 &lt;color=#00ff00&gt;+13&lt;/color&gt;\n\n319 &lt;color=#00ff00&gt;+29&lt;/color&gt;\n\n275 &lt;color=#00ff00&gt;+25&lt;/color&gt;\n\n330 &lt;color=#00ff00&gt;+30&lt;/color&gt;\n\n478 &lt;color=#00ff00&gt;+43&lt;/color&gt;\n\n418 &lt;color=#00ff00&gt;+38&lt;/color&gt;\n\n770 &lt;color=#00ff00&gt;+70&lt;/color&gt;\n\n192 &lt;color=#00ff00&gt;+17&lt;/color&gt;</t>
  </si>
  <si>
    <t>研究后增加士兵攻击力。@地狱犬\n\n巨型蚂蚁\n\n噬魂鬼\n\n鬼面兽\n\n瘟疫战车\n\n巨锤恶魔\n\n幽暗骨龙\n\n噬魂恶魔@156 &lt;color=#00ff00&gt;+13&lt;/color&gt;\n\n348 &lt;color=#00ff00&gt;+29&lt;/color&gt;\n\n300 &lt;color=#00ff00&gt;+25&lt;/color&gt;\n\n360 &lt;color=#00ff00&gt;+30&lt;/color&gt;\n\n521 &lt;color=#00ff00&gt;+43&lt;/color&gt;\n\n456 &lt;color=#00ff00&gt;+38&lt;/color&gt;\n\n840 &lt;color=#00ff00&gt;+70&lt;/color&gt;\n\n209 &lt;color=#00ff00&gt;+17&lt;/color&gt;</t>
  </si>
  <si>
    <t>Increases troop damage。@Cerberus\n\nGiant Ant\n\nDark Mystic\n\nGhost Wing\n\nPlague Chariot\n\nSledgehammer\n\nDark Behemoth\n\nSoul Reaper@156 &lt;color=#00ff00&gt;+13&lt;/color&gt;\n\n348 &lt;color=#00ff00&gt;+29&lt;/color&gt;\n\n300 &lt;color=#00ff00&gt;+25&lt;/color&gt;\n\n360 &lt;color=#00ff00&gt;+30&lt;/color&gt;\n\n521 &lt;color=#00ff00&gt;+43&lt;/color&gt;\n\n456 &lt;color=#00ff00&gt;+38&lt;/color&gt;\n\n840 &lt;color=#00ff00&gt;+70&lt;/color&gt;\n\n209 &lt;color=#00ff00&gt;+17&lt;/color&gt;</t>
  </si>
  <si>
    <t>研究后增加士兵防御力。@地狱犬\n\n巨型蚂蚁\n\n噬魂鬼\n\n鬼面兽\n\n瘟疫战车\n\n巨锤恶魔\n\n幽暗骨龙\n\n噬魂恶魔@72 &lt;color=#00ff00&gt;+72&lt;/color&gt;\n\n0 &lt;color=#00ff00&gt;+72&lt;/color&gt;\n\n0 &lt;color=#00ff00&gt;+72&lt;/color&gt;\n\n108 &lt;color=#00ff00&gt;+72&lt;/color&gt;\n\n72 &lt;color=#00ff00&gt;+72&lt;/color&gt;\n\n72 &lt;color=#00ff00&gt;+72&lt;/color&gt;\n\n0 &lt;color=#00ff00&gt;+72&lt;/color&gt;\n\n144 &lt;color=#00ff00&gt;+72&lt;/color&gt;</t>
  </si>
  <si>
    <t>Increases troop defense。@Cerberus\n\nGiant Ant\n\nDark Mystic\n\nGhost Wing\n\nPlague Chariot\n\nSledgehammer\n\nDark Behemoth\n\nSoul Reaper@72 &lt;color=#00ff00&gt;+72&lt;/color&gt;\n\n0 &lt;color=#00ff00&gt;+72&lt;/color&gt;\n\n0 &lt;color=#00ff00&gt;+72&lt;/color&gt;\n\n108 &lt;color=#00ff00&gt;+72&lt;/color&gt;\n\n72 &lt;color=#00ff00&gt;+72&lt;/color&gt;\n\n72 &lt;color=#00ff00&gt;+72&lt;/color&gt;\n\n0 &lt;color=#00ff00&gt;+72&lt;/color&gt;\n\n144 &lt;color=#00ff00&gt;+72&lt;/color&gt;</t>
  </si>
  <si>
    <t>研究后增加士兵防御力。@地狱犬\n\n巨型蚂蚁\n\n噬魂鬼\n\n鬼面兽\n\n瘟疫战车\n\n巨锤恶魔\n\n幽暗骨龙\n\n噬魂恶魔@144 &lt;color=#00ff00&gt;+72&lt;/color&gt;\n\n72 &lt;color=#00ff00&gt;+72&lt;/color&gt;\n\n72 &lt;color=#00ff00&gt;+72&lt;/color&gt;\n\n180 &lt;color=#00ff00&gt;+72&lt;/color&gt;\n\n144 &lt;color=#00ff00&gt;+72&lt;/color&gt;\n\n144 &lt;color=#00ff00&gt;+72&lt;/color&gt;\n\n72 &lt;color=#00ff00&gt;+72&lt;/color&gt;\n\n216 &lt;color=#00ff00&gt;+72&lt;/color&gt;</t>
  </si>
  <si>
    <t>Increases troop defense。@Cerberus\n\nGiant Ant\n\nDark Mystic\n\nGhost Wing\n\nPlague Chariot\n\nSledgehammer\n\nDark Behemoth\n\nSoul Reaper@144 &lt;color=#00ff00&gt;+72&lt;/color&gt;\n\n72 &lt;color=#00ff00&gt;+72&lt;/color&gt;\n\n72 &lt;color=#00ff00&gt;+72&lt;/color&gt;\n\n180 &lt;color=#00ff00&gt;+72&lt;/color&gt;\n\n144 &lt;color=#00ff00&gt;+72&lt;/color&gt;\n\n144 &lt;color=#00ff00&gt;+72&lt;/color&gt;\n\n72 &lt;color=#00ff00&gt;+72&lt;/color&gt;\n\n216 &lt;color=#00ff00&gt;+72&lt;/color&gt;</t>
  </si>
  <si>
    <t>研究后增加士兵防御力。@地狱犬\n\n巨型蚂蚁\n\n噬魂鬼\n\n鬼面兽\n\n瘟疫战车\n\n巨锤恶魔\n\n幽暗骨龙\n\n噬魂恶魔@216 &lt;color=#00ff00&gt;+72&lt;/color&gt;\n\n144 &lt;color=#00ff00&gt;+72&lt;/color&gt;\n\n144 &lt;color=#00ff00&gt;+72&lt;/color&gt;\n\n252 &lt;color=#00ff00&gt;+72&lt;/color&gt;\n\n216 &lt;color=#00ff00&gt;+72&lt;/color&gt;\n\n216 &lt;color=#00ff00&gt;+72&lt;/color&gt;\n\n144 &lt;color=#00ff00&gt;+72&lt;/color&gt;\n\n288 &lt;color=#00ff00&gt;+72&lt;/color&gt;</t>
  </si>
  <si>
    <t>Increases troop defense。@Cerberus\n\nGiant Ant\n\nDark Mystic\n\nGhost Wing\n\nPlague Chariot\n\nSledgehammer\n\nDark Behemoth\n\nSoul Reaper@216 &lt;color=#00ff00&gt;+72&lt;/color&gt;\n\n144 &lt;color=#00ff00&gt;+72&lt;/color&gt;\n\n144 &lt;color=#00ff00&gt;+72&lt;/color&gt;\n\n252 &lt;color=#00ff00&gt;+72&lt;/color&gt;\n\n216 &lt;color=#00ff00&gt;+72&lt;/color&gt;\n\n216 &lt;color=#00ff00&gt;+72&lt;/color&gt;\n\n144 &lt;color=#00ff00&gt;+72&lt;/color&gt;\n\n288 &lt;color=#00ff00&gt;+72&lt;/color&gt;</t>
  </si>
  <si>
    <t>研究后增加士兵攻击力。@精灵射手\n\n精灵战士\n\n魔力幽龙\n\n鹰身兽\n\n森林魔女\n\n弩车\n\n巨型树人\n\n双头龙@140 &lt;color=#00ff00&gt;+14&lt;/color&gt;\n\n170 &lt;color=#00ff00&gt;+17&lt;/color&gt;\n\n160 &lt;color=#00ff00&gt;+16&lt;/color&gt;\n\n300 &lt;color=#00ff00&gt;+30&lt;/color&gt;\n\n240 &lt;color=#00ff00&gt;+24&lt;/color&gt;\n\n385 &lt;color=#00ff00&gt;+38&lt;/color&gt;\n\n450 &lt;color=#00ff00&gt;+45&lt;/color&gt;\n\n430 &lt;color=#00ff00&gt;+43&lt;/color&gt;</t>
  </si>
  <si>
    <t>Increases troop damage。@Elf Archer\n\nElf Warrior\n\nRune Dragon\n\nGryphon\n\nForest Witch\n\nAncient Mechanism\n\nTree Giant\n\nDouble-Headed Dragon@140 &lt;color=#00ff00&gt;+14&lt;/color&gt;\n\n170 &lt;color=#00ff00&gt;+17&lt;/color&gt;\n\n160 &lt;color=#00ff00&gt;+16&lt;/color&gt;\n\n300 &lt;color=#00ff00&gt;+30&lt;/color&gt;\n\n240 &lt;color=#00ff00&gt;+24&lt;/color&gt;\n\n385 &lt;color=#00ff00&gt;+38&lt;/color&gt;\n\n450 &lt;color=#00ff00&gt;+45&lt;/color&gt;\n\n430 &lt;color=#00ff00&gt;+43&lt;/color&gt;</t>
  </si>
  <si>
    <t>研究后增加士兵攻击力。@精灵射手\n\n精灵战士\n\n魔力幽龙\n\n鹰身兽\n\n森林魔女\n\n弩车\n\n巨型树人\n\n双头龙@154 &lt;color=#00ff00&gt;+14&lt;/color&gt;\n\n187 &lt;color=#00ff00&gt;+17&lt;/color&gt;\n\n176 &lt;color=#00ff00&gt;+16&lt;/color&gt;\n\n330 &lt;color=#00ff00&gt;+30&lt;/color&gt;\n\n264 &lt;color=#00ff00&gt;+24&lt;/color&gt;\n\n423 &lt;color=#00ff00&gt;+38&lt;/color&gt;\n\n495 &lt;color=#00ff00&gt;+45&lt;/color&gt;\n\n473 &lt;color=#00ff00&gt;+43&lt;/color&gt;</t>
  </si>
  <si>
    <t>Increases troop damage。@Elf Archer\n\nElf Warrior\n\nRune Dragon\n\nGryphon\n\nForest Witch\n\nAncient Mechanism\n\nTree Giant\n\nDouble-Headed Dragon@154 &lt;color=#00ff00&gt;+14&lt;/color&gt;\n\n187 &lt;color=#00ff00&gt;+17&lt;/color&gt;\n\n176 &lt;color=#00ff00&gt;+16&lt;/color&gt;\n\n330 &lt;color=#00ff00&gt;+30&lt;/color&gt;\n\n264 &lt;color=#00ff00&gt;+24&lt;/color&gt;\n\n423 &lt;color=#00ff00&gt;+38&lt;/color&gt;\n\n495 &lt;color=#00ff00&gt;+45&lt;/color&gt;\n\n473 &lt;color=#00ff00&gt;+43&lt;/color&gt;</t>
  </si>
  <si>
    <t>研究后增加士兵攻击力。@精灵射手\n\n精灵战士\n\n魔力幽龙\n\n鹰身兽\n\n森林魔女\n\n弩车\n\n巨型树人\n\n双头龙@168 &lt;color=#00ff00&gt;+14&lt;/color&gt;\n\n204 &lt;color=#00ff00&gt;+17&lt;/color&gt;\n\n192 &lt;color=#00ff00&gt;+16&lt;/color&gt;\n\n360 &lt;color=#00ff00&gt;+30&lt;/color&gt;\n\n288 &lt;color=#00ff00&gt;+24&lt;/color&gt;\n\n461 &lt;color=#00ff00&gt;+38&lt;/color&gt;\n\n540 &lt;color=#00ff00&gt;+45&lt;/color&gt;\n\n516 &lt;color=#00ff00&gt;+43&lt;/color&gt;</t>
  </si>
  <si>
    <t>Increases troop damage。@Elf Archer\n\nElf Warrior\n\nRune Dragon\n\nGryphon\n\nForest Witch\n\nAncient Mechanism\n\nTree Giant\n\nDouble-Headed Dragon@168 &lt;color=#00ff00&gt;+14&lt;/color&gt;\n\n204 &lt;color=#00ff00&gt;+17&lt;/color&gt;\n\n192 &lt;color=#00ff00&gt;+16&lt;/color&gt;\n\n360 &lt;color=#00ff00&gt;+30&lt;/color&gt;\n\n288 &lt;color=#00ff00&gt;+24&lt;/color&gt;\n\n461 &lt;color=#00ff00&gt;+38&lt;/color&gt;\n\n540 &lt;color=#00ff00&gt;+45&lt;/color&gt;\n\n516 &lt;color=#00ff00&gt;+43&lt;/color&gt;</t>
  </si>
  <si>
    <t>研究后增加士兵防御力。@精灵射手\n\n精灵战士\n\n魔力幽龙\n\n鹰身兽\n\n森林魔女\n\n弩车\n\n巨型树人\n\n双头龙@0 &lt;color=#00ff00&gt;+72&lt;/color&gt;\n\n72 &lt;color=#00ff00&gt;+72&lt;/color&gt;\n\n0 &lt;color=#00ff00&gt;+72&lt;/color&gt;\n\n0 &lt;color=#00ff00&gt;+72&lt;/color&gt;\n\n0 &lt;color=#00ff00&gt;+72&lt;/color&gt;\n\n72 &lt;color=#00ff00&gt;+72&lt;/color&gt;\n\n108 &lt;color=#00ff00&gt;+72&lt;/color&gt;\n\n72 &lt;color=#00ff00&gt;+72&lt;/color&gt;</t>
  </si>
  <si>
    <t>Increases troop defense。@Elf Archer\n\nElf Warrior\n\nRune Dragon\n\nGryphon\n\nForest Witch\n\nAncient Mechanism\n\nTree Giant\n\nDouble-Headed Dragon@0 &lt;color=#00ff00&gt;+72&lt;/color&gt;\n\n72 &lt;color=#00ff00&gt;+72&lt;/color&gt;\n\n0 &lt;color=#00ff00&gt;+72&lt;/color&gt;\n\n0 &lt;color=#00ff00&gt;+72&lt;/color&gt;\n\n0 &lt;color=#00ff00&gt;+72&lt;/color&gt;\n\n72 &lt;color=#00ff00&gt;+72&lt;/color&gt;\n\n108 &lt;color=#00ff00&gt;+72&lt;/color&gt;\n\n72 &lt;color=#00ff00&gt;+72&lt;/color&gt;</t>
  </si>
  <si>
    <t>研究后增加士兵防御力。@精灵射手\n\n精灵战士\n\n魔力幽龙\n\n鹰身兽\n\n森林魔女\n\n弩车\n\n巨型树人\n\n双头龙@72 &lt;color=#00ff00&gt;+72&lt;/color&gt;\n\n144 &lt;color=#00ff00&gt;+72&lt;/color&gt;\n\n72 &lt;color=#00ff00&gt;+72&lt;/color&gt;\n\n72 &lt;color=#00ff00&gt;+72&lt;/color&gt;\n\n72 &lt;color=#00ff00&gt;+72&lt;/color&gt;\n\n144 &lt;color=#00ff00&gt;+72&lt;/color&gt;\n\n180 &lt;color=#00ff00&gt;+72&lt;/color&gt;\n\n144 &lt;color=#00ff00&gt;+72&lt;/color&gt;</t>
  </si>
  <si>
    <t>Increases troop defense。@Elf Archer\n\nElf Warrior\n\nRune Dragon\n\nGryphon\n\nForest Witch\n\nAncient Mechanism\n\nTree Giant\n\nDouble-Headed Dragon@72 &lt;color=#00ff00&gt;+72&lt;/color&gt;\n\n144 &lt;color=#00ff00&gt;+72&lt;/color&gt;\n\n72 &lt;color=#00ff00&gt;+72&lt;/color&gt;\n\n72 &lt;color=#00ff00&gt;+72&lt;/color&gt;\n\n72 &lt;color=#00ff00&gt;+72&lt;/color&gt;\n\n144 &lt;color=#00ff00&gt;+72&lt;/color&gt;\n\n180 &lt;color=#00ff00&gt;+72&lt;/color&gt;\n\n144 &lt;color=#00ff00&gt;+72&lt;/color&gt;</t>
  </si>
  <si>
    <t>研究后增加士兵防御力。@精灵射手\n\n精灵战士\n\n魔力幽龙\n\n鹰身兽\n\n森林魔女\n\n弩车\n\n巨型树人\n\n双头龙@144 &lt;color=#00ff00&gt;+72&lt;/color&gt;\n\n216 &lt;color=#00ff00&gt;+72&lt;/color&gt;\n\n144 &lt;color=#00ff00&gt;+72&lt;/color&gt;\n\n144 &lt;color=#00ff00&gt;+72&lt;/color&gt;\n\n144 &lt;color=#00ff00&gt;+72&lt;/color&gt;\n\n216 &lt;color=#00ff00&gt;+72&lt;/color&gt;\n\n252 &lt;color=#00ff00&gt;+72&lt;/color&gt;\n\n216 &lt;color=#00ff00&gt;+72&lt;/color&gt;</t>
  </si>
  <si>
    <t>Increases troop defense。@Elf Archer\n\nElf Warrior\n\nRune Dragon\n\nGryphon\n\nForest Witch\n\nAncient Mechanism\n\nTree Giant\n\nDouble-Headed Dragon@144 &lt;color=#00ff00&gt;+72&lt;/color&gt;\n\n216 &lt;color=#00ff00&gt;+72&lt;/color&gt;\n\n144 &lt;color=#00ff00&gt;+72&lt;/color&gt;\n\n144 &lt;color=#00ff00&gt;+72&lt;/color&gt;\n\n144 &lt;color=#00ff00&gt;+72&lt;/color&gt;\n\n216 &lt;color=#00ff00&gt;+72&lt;/color&gt;\n\n252 &lt;color=#00ff00&gt;+72&lt;/color&gt;\n\n216 &lt;color=#00ff00&gt;+72&lt;/color&gt;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</si>
</sst>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宋体"/>
      <charset val="134"/>
    </font>
    <font>
      <b/>
      <sz val="11"/>
      <color indexed="9"/>
      <name val="宋体"/>
      <family val="3"/>
      <charset val="134"/>
    </font>
    <font>
      <b/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theme="3" tint="0.39902951139866327"/>
        <bgColor indexed="64"/>
      </patternFill>
    </fill>
    <fill>
      <patternFill patternType="solid">
        <fgColor theme="3" tint="0.39902951139866327"/>
        <bgColor indexed="62"/>
      </patternFill>
    </fill>
    <fill>
      <patternFill patternType="solid">
        <fgColor theme="2" tint="-0.249977111117893"/>
        <bgColor indexed="62"/>
      </patternFill>
    </fill>
    <fill>
      <patternFill patternType="solid">
        <fgColor theme="4" tint="-0.249977111117893"/>
        <bgColor indexed="62"/>
      </patternFill>
    </fill>
    <fill>
      <patternFill patternType="solid">
        <fgColor theme="4" tint="0.59999389629810485"/>
        <bgColor indexed="6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43235572374649"/>
        <bgColor indexed="64"/>
      </patternFill>
    </fill>
    <fill>
      <patternFill patternType="solid">
        <fgColor theme="8" tint="0.79943235572374649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3" tint="0.39899899288918728"/>
        <bgColor indexed="62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theme="7" tint="0.7997375408185064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7" fillId="0" borderId="0">
      <alignment vertical="center"/>
    </xf>
  </cellStyleXfs>
  <cellXfs count="89">
    <xf numFmtId="0" fontId="0" fillId="0" borderId="0" xfId="0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2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>
      <alignment vertical="center"/>
    </xf>
    <xf numFmtId="0" fontId="2" fillId="3" borderId="1" xfId="2" applyFont="1" applyFill="1" applyBorder="1" applyAlignment="1">
      <alignment horizontal="center" vertical="center" wrapText="1"/>
    </xf>
    <xf numFmtId="0" fontId="2" fillId="3" borderId="2" xfId="2" applyFont="1" applyFill="1" applyBorder="1" applyAlignment="1">
      <alignment horizontal="center" vertical="center" wrapText="1"/>
    </xf>
    <xf numFmtId="0" fontId="2" fillId="6" borderId="0" xfId="2" applyFont="1" applyFill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8" borderId="3" xfId="0" applyFont="1" applyFill="1" applyBorder="1" applyAlignment="1">
      <alignment horizontal="center" vertical="center" wrapText="1"/>
    </xf>
    <xf numFmtId="0" fontId="0" fillId="13" borderId="3" xfId="0" applyFont="1" applyFill="1" applyBorder="1" applyAlignment="1">
      <alignment horizontal="center" vertical="center"/>
    </xf>
    <xf numFmtId="0" fontId="0" fillId="13" borderId="3" xfId="0" applyFont="1" applyFill="1" applyBorder="1" applyAlignment="1">
      <alignment horizontal="left" vertical="center"/>
    </xf>
    <xf numFmtId="0" fontId="0" fillId="14" borderId="3" xfId="0" applyFont="1" applyFill="1" applyBorder="1" applyAlignment="1">
      <alignment horizontal="center" vertical="center"/>
    </xf>
    <xf numFmtId="0" fontId="0" fillId="14" borderId="3" xfId="0" applyFont="1" applyFill="1" applyBorder="1" applyAlignment="1">
      <alignment horizontal="left" vertical="center"/>
    </xf>
    <xf numFmtId="0" fontId="0" fillId="10" borderId="3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left" vertical="center"/>
    </xf>
    <xf numFmtId="0" fontId="0" fillId="11" borderId="3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left" vertical="center"/>
    </xf>
    <xf numFmtId="0" fontId="0" fillId="15" borderId="3" xfId="0" applyFill="1" applyBorder="1" applyAlignment="1">
      <alignment horizontal="left" vertical="center"/>
    </xf>
    <xf numFmtId="0" fontId="0" fillId="15" borderId="3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left" vertical="center"/>
    </xf>
    <xf numFmtId="0" fontId="0" fillId="16" borderId="3" xfId="0" applyFont="1" applyFill="1" applyBorder="1" applyAlignment="1">
      <alignment horizontal="center" vertical="center"/>
    </xf>
    <xf numFmtId="0" fontId="0" fillId="17" borderId="3" xfId="0" applyFont="1" applyFill="1" applyBorder="1" applyAlignment="1">
      <alignment horizontal="left" vertical="center"/>
    </xf>
    <xf numFmtId="0" fontId="0" fillId="12" borderId="3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3" borderId="0" xfId="0" applyFont="1" applyFill="1" applyAlignment="1">
      <alignment horizontal="left" vertical="center"/>
    </xf>
    <xf numFmtId="0" fontId="0" fillId="14" borderId="0" xfId="0" applyFont="1" applyFill="1" applyAlignment="1">
      <alignment horizontal="left" vertical="center"/>
    </xf>
    <xf numFmtId="0" fontId="0" fillId="14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left" vertical="center"/>
    </xf>
    <xf numFmtId="0" fontId="0" fillId="10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left" vertical="center"/>
    </xf>
    <xf numFmtId="0" fontId="0" fillId="11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13" borderId="0" xfId="0" applyFont="1" applyFill="1" applyAlignment="1">
      <alignment horizontal="center" vertical="center"/>
    </xf>
    <xf numFmtId="0" fontId="0" fillId="13" borderId="0" xfId="1" applyFont="1" applyFill="1" applyAlignment="1">
      <alignment horizontal="center" vertical="center"/>
    </xf>
    <xf numFmtId="0" fontId="0" fillId="14" borderId="0" xfId="1" applyFont="1" applyFill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0" fillId="20" borderId="0" xfId="1" applyFont="1" applyFill="1" applyAlignment="1">
      <alignment horizontal="center" vertical="center"/>
    </xf>
    <xf numFmtId="0" fontId="0" fillId="10" borderId="0" xfId="1" applyFont="1" applyFill="1" applyAlignment="1">
      <alignment horizontal="center" vertical="center"/>
    </xf>
    <xf numFmtId="0" fontId="0" fillId="21" borderId="0" xfId="1" applyFont="1" applyFill="1" applyAlignment="1">
      <alignment horizontal="center" vertical="center"/>
    </xf>
    <xf numFmtId="0" fontId="0" fillId="21" borderId="0" xfId="0" applyFont="1" applyFill="1" applyAlignment="1">
      <alignment horizontal="center" vertical="center"/>
    </xf>
    <xf numFmtId="0" fontId="0" fillId="11" borderId="0" xfId="1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23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left" vertical="center"/>
    </xf>
    <xf numFmtId="0" fontId="0" fillId="23" borderId="0" xfId="1" applyFont="1" applyFill="1" applyAlignment="1">
      <alignment horizontal="center" vertical="center"/>
    </xf>
    <xf numFmtId="0" fontId="0" fillId="12" borderId="0" xfId="0" applyFont="1" applyFill="1" applyAlignment="1">
      <alignment vertical="center"/>
    </xf>
    <xf numFmtId="0" fontId="9" fillId="13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0" fontId="9" fillId="22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vertical="center"/>
    </xf>
    <xf numFmtId="0" fontId="0" fillId="0" borderId="0" xfId="0" applyFont="1" applyAlignment="1">
      <alignment horizontal="left" vertical="center" wrapText="1"/>
    </xf>
  </cellXfs>
  <cellStyles count="3">
    <cellStyle name="常规" xfId="0" builtinId="0"/>
    <cellStyle name="常规 2" xfId="1"/>
    <cellStyle name="常规 3" xfId="2"/>
  </cellStyles>
  <dxfs count="2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/>
  <colors>
    <mruColors>
      <color rgb="FFFFE699"/>
      <color rgb="FFFFFF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08"/>
  <sheetViews>
    <sheetView tabSelected="1" workbookViewId="0">
      <pane xSplit="7" ySplit="1" topLeftCell="S262" activePane="bottomRight" state="frozenSplit"/>
      <selection pane="topRight"/>
      <selection pane="bottomLeft"/>
      <selection pane="bottomRight" activeCell="U282" sqref="U282"/>
    </sheetView>
  </sheetViews>
  <sheetFormatPr defaultColWidth="9" defaultRowHeight="13.5" x14ac:dyDescent="0.15"/>
  <cols>
    <col min="1" max="1" width="9.5" style="64" customWidth="1"/>
    <col min="2" max="3" width="15.5" style="64" customWidth="1"/>
    <col min="4" max="4" width="7.75" style="64" customWidth="1"/>
    <col min="5" max="5" width="9.75" style="65" customWidth="1"/>
    <col min="6" max="6" width="13.75" style="65" customWidth="1"/>
    <col min="7" max="7" width="5.75" style="65" customWidth="1"/>
    <col min="8" max="8" width="9.75" style="65" customWidth="1"/>
    <col min="9" max="9" width="17.25" style="65" customWidth="1"/>
    <col min="10" max="11" width="14.125" style="65" customWidth="1"/>
    <col min="12" max="13" width="14" style="65" customWidth="1"/>
    <col min="14" max="14" width="18.625" style="65" customWidth="1"/>
    <col min="15" max="16" width="11.125" style="65" customWidth="1"/>
    <col min="17" max="17" width="20.375" style="65" customWidth="1"/>
    <col min="18" max="19" width="23" style="65" customWidth="1"/>
    <col min="20" max="20" width="26.625" style="65" customWidth="1"/>
    <col min="21" max="24" width="16.625" style="65" customWidth="1"/>
    <col min="25" max="25" width="18.375" style="65" customWidth="1"/>
    <col min="26" max="29" width="16.625" style="65" customWidth="1"/>
    <col min="30" max="30" width="49.75" style="2" customWidth="1"/>
    <col min="31" max="33" width="11.375" style="65" customWidth="1"/>
    <col min="34" max="35" width="56.125" style="2" customWidth="1"/>
    <col min="36" max="36" width="52" style="2" customWidth="1"/>
    <col min="37" max="37" width="36.125" style="66" customWidth="1"/>
    <col min="38" max="38" width="14.125" style="66" customWidth="1"/>
    <col min="39" max="16384" width="9" style="66"/>
  </cols>
  <sheetData>
    <row r="1" spans="1:45" s="1" customFormat="1" ht="13.5" customHeight="1" x14ac:dyDescent="0.15">
      <c r="A1" s="6" t="s">
        <v>0</v>
      </c>
      <c r="B1" s="67" t="s">
        <v>1</v>
      </c>
      <c r="C1" s="6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1" t="s">
        <v>30</v>
      </c>
      <c r="AF1" s="71" t="s">
        <v>31</v>
      </c>
      <c r="AG1" s="71" t="s">
        <v>32</v>
      </c>
      <c r="AH1" s="71" t="s">
        <v>33</v>
      </c>
      <c r="AI1" s="71" t="s">
        <v>34</v>
      </c>
      <c r="AJ1" s="71" t="s">
        <v>35</v>
      </c>
      <c r="AK1" s="6" t="s">
        <v>36</v>
      </c>
      <c r="AL1" s="6" t="s">
        <v>37</v>
      </c>
    </row>
    <row r="2" spans="1:45" s="56" customFormat="1" ht="13.5" customHeight="1" x14ac:dyDescent="0.15">
      <c r="A2" s="68">
        <v>10000001</v>
      </c>
      <c r="B2" s="68" t="s">
        <v>38</v>
      </c>
      <c r="C2" s="68"/>
      <c r="D2" s="68" t="str">
        <f>LEFT(A2,6)</f>
        <v>100000</v>
      </c>
      <c r="E2" s="68" t="str">
        <f t="shared" ref="E2:E12" si="0">RIGHT(A2,1)</f>
        <v>1</v>
      </c>
      <c r="F2" s="68">
        <v>1</v>
      </c>
      <c r="G2" s="68" t="s">
        <v>39</v>
      </c>
      <c r="H2" s="68" t="s">
        <v>40</v>
      </c>
      <c r="I2" s="68" t="s">
        <v>41</v>
      </c>
      <c r="J2" s="69">
        <v>0</v>
      </c>
      <c r="K2" s="69">
        <v>0</v>
      </c>
      <c r="L2" s="69"/>
      <c r="M2" s="69"/>
      <c r="N2" s="69">
        <v>1</v>
      </c>
      <c r="O2" s="69"/>
      <c r="P2" s="69"/>
      <c r="Q2" s="69"/>
      <c r="R2" s="69"/>
      <c r="S2" s="69"/>
      <c r="T2" s="68" t="s">
        <v>42</v>
      </c>
      <c r="U2" s="68">
        <v>20000117</v>
      </c>
      <c r="V2" s="68"/>
      <c r="W2" s="68"/>
      <c r="X2" s="68"/>
      <c r="Y2" s="68" t="s">
        <v>43</v>
      </c>
      <c r="Z2" s="68">
        <v>10</v>
      </c>
      <c r="AA2" s="68"/>
      <c r="AB2" s="68"/>
      <c r="AC2" s="68"/>
      <c r="AD2" s="56" t="s">
        <v>44</v>
      </c>
      <c r="AE2" s="68" t="s">
        <v>45</v>
      </c>
      <c r="AF2" s="68" t="s">
        <v>45</v>
      </c>
      <c r="AG2" s="68" t="s">
        <v>45</v>
      </c>
      <c r="AH2" s="56" t="s">
        <v>46</v>
      </c>
      <c r="AI2" s="56" t="s">
        <v>47</v>
      </c>
      <c r="AJ2" s="56" t="s">
        <v>46</v>
      </c>
      <c r="AK2" s="68"/>
      <c r="AL2" s="68"/>
      <c r="AM2" s="68"/>
      <c r="AN2" s="68"/>
      <c r="AO2" s="68"/>
      <c r="AP2" s="68"/>
      <c r="AQ2" s="68"/>
      <c r="AR2" s="68"/>
    </row>
    <row r="3" spans="1:45" s="56" customFormat="1" ht="13.5" customHeight="1" x14ac:dyDescent="0.15">
      <c r="A3" s="68">
        <v>10001001</v>
      </c>
      <c r="B3" s="68" t="s">
        <v>48</v>
      </c>
      <c r="C3" s="68"/>
      <c r="D3" s="68" t="str">
        <f t="shared" ref="D3:D85" si="1">LEFT(A3,6)</f>
        <v>100010</v>
      </c>
      <c r="E3" s="68" t="str">
        <f t="shared" si="0"/>
        <v>1</v>
      </c>
      <c r="F3" s="68">
        <v>1</v>
      </c>
      <c r="G3" s="68" t="s">
        <v>39</v>
      </c>
      <c r="H3" s="68" t="s">
        <v>40</v>
      </c>
      <c r="I3" s="68" t="s">
        <v>41</v>
      </c>
      <c r="J3" s="69">
        <v>75000</v>
      </c>
      <c r="K3" s="69">
        <v>1000</v>
      </c>
      <c r="L3" s="69"/>
      <c r="M3" s="69"/>
      <c r="N3" s="69">
        <v>1</v>
      </c>
      <c r="O3" s="69"/>
      <c r="P3" s="69"/>
      <c r="Q3" s="69"/>
      <c r="R3" s="69"/>
      <c r="S3" s="69"/>
      <c r="T3" s="68" t="s">
        <v>42</v>
      </c>
      <c r="U3" s="68">
        <v>20000118</v>
      </c>
      <c r="V3" s="68"/>
      <c r="W3" s="68"/>
      <c r="X3" s="68"/>
      <c r="Y3" s="68"/>
      <c r="Z3" s="68"/>
      <c r="AA3" s="68"/>
      <c r="AB3" s="68"/>
      <c r="AC3" s="68"/>
      <c r="AD3" s="56" t="s">
        <v>49</v>
      </c>
      <c r="AE3" s="68" t="s">
        <v>50</v>
      </c>
      <c r="AF3" s="68" t="s">
        <v>50</v>
      </c>
      <c r="AG3" s="68" t="s">
        <v>50</v>
      </c>
      <c r="AH3" s="56" t="s">
        <v>51</v>
      </c>
      <c r="AI3" s="56" t="s">
        <v>52</v>
      </c>
      <c r="AJ3" s="56" t="s">
        <v>51</v>
      </c>
      <c r="AK3" s="68"/>
      <c r="AL3" s="68"/>
      <c r="AM3" s="68"/>
      <c r="AN3" s="68"/>
      <c r="AO3" s="68"/>
      <c r="AP3" s="68"/>
      <c r="AQ3" s="68"/>
      <c r="AR3" s="68"/>
    </row>
    <row r="4" spans="1:45" s="56" customFormat="1" ht="13.5" customHeight="1" x14ac:dyDescent="0.15">
      <c r="A4" s="68">
        <v>10002001</v>
      </c>
      <c r="B4" s="68" t="s">
        <v>53</v>
      </c>
      <c r="C4" s="68"/>
      <c r="D4" s="68" t="str">
        <f t="shared" si="1"/>
        <v>100020</v>
      </c>
      <c r="E4" s="68" t="str">
        <f t="shared" si="0"/>
        <v>1</v>
      </c>
      <c r="F4" s="68">
        <v>1</v>
      </c>
      <c r="G4" s="68" t="s">
        <v>39</v>
      </c>
      <c r="H4" s="68" t="s">
        <v>40</v>
      </c>
      <c r="I4" s="68" t="s">
        <v>41</v>
      </c>
      <c r="J4" s="69">
        <v>90000</v>
      </c>
      <c r="K4" s="69">
        <v>1000</v>
      </c>
      <c r="L4" s="69"/>
      <c r="M4" s="69"/>
      <c r="N4" s="69">
        <v>2</v>
      </c>
      <c r="O4" s="69"/>
      <c r="P4" s="69"/>
      <c r="Q4" s="69"/>
      <c r="R4" s="69"/>
      <c r="S4" s="69"/>
      <c r="T4" s="68" t="s">
        <v>42</v>
      </c>
      <c r="U4" s="68">
        <v>20000119</v>
      </c>
      <c r="V4" s="68"/>
      <c r="W4" s="68"/>
      <c r="X4" s="68"/>
      <c r="Y4" s="68"/>
      <c r="Z4" s="68"/>
      <c r="AA4" s="68"/>
      <c r="AB4" s="68"/>
      <c r="AC4" s="68"/>
      <c r="AD4" s="56" t="s">
        <v>54</v>
      </c>
      <c r="AE4" s="68" t="s">
        <v>55</v>
      </c>
      <c r="AF4" s="68" t="s">
        <v>55</v>
      </c>
      <c r="AG4" s="68" t="s">
        <v>55</v>
      </c>
      <c r="AH4" s="56" t="s">
        <v>56</v>
      </c>
      <c r="AI4" s="56" t="s">
        <v>57</v>
      </c>
      <c r="AJ4" s="56" t="s">
        <v>56</v>
      </c>
      <c r="AK4" s="68"/>
      <c r="AL4" s="68"/>
      <c r="AM4" s="68"/>
      <c r="AN4" s="68"/>
      <c r="AO4" s="68"/>
      <c r="AP4" s="68"/>
      <c r="AQ4" s="68"/>
      <c r="AR4" s="68"/>
    </row>
    <row r="5" spans="1:45" s="56" customFormat="1" ht="13.5" customHeight="1" x14ac:dyDescent="0.15">
      <c r="A5" s="68">
        <v>10003001</v>
      </c>
      <c r="B5" s="68" t="s">
        <v>58</v>
      </c>
      <c r="C5" s="68"/>
      <c r="D5" s="68" t="str">
        <f t="shared" si="1"/>
        <v>100030</v>
      </c>
      <c r="E5" s="68" t="str">
        <f t="shared" si="0"/>
        <v>1</v>
      </c>
      <c r="F5" s="68">
        <v>4</v>
      </c>
      <c r="G5" s="68" t="s">
        <v>39</v>
      </c>
      <c r="H5" s="68" t="s">
        <v>59</v>
      </c>
      <c r="I5" s="68" t="s">
        <v>60</v>
      </c>
      <c r="J5" s="69">
        <v>20000</v>
      </c>
      <c r="K5" s="69">
        <v>250</v>
      </c>
      <c r="L5" s="69"/>
      <c r="M5" s="69"/>
      <c r="N5" s="69">
        <v>1</v>
      </c>
      <c r="O5" s="69"/>
      <c r="P5" s="69"/>
      <c r="Q5" s="69"/>
      <c r="R5" s="69"/>
      <c r="S5" s="69"/>
      <c r="T5" s="68" t="s">
        <v>43</v>
      </c>
      <c r="U5" s="68">
        <v>5</v>
      </c>
      <c r="V5" s="68"/>
      <c r="W5" s="68"/>
      <c r="X5" s="68"/>
      <c r="Y5" s="68"/>
      <c r="Z5" s="68"/>
      <c r="AA5" s="68"/>
      <c r="AB5" s="68"/>
      <c r="AC5" s="68"/>
      <c r="AD5" s="56" t="s">
        <v>61</v>
      </c>
      <c r="AE5" s="68" t="s">
        <v>62</v>
      </c>
      <c r="AF5" s="68" t="s">
        <v>62</v>
      </c>
      <c r="AG5" s="68" t="s">
        <v>62</v>
      </c>
      <c r="AH5" s="56" t="s">
        <v>63</v>
      </c>
      <c r="AI5" s="56" t="s">
        <v>64</v>
      </c>
      <c r="AJ5" s="56" t="s">
        <v>63</v>
      </c>
      <c r="AK5" s="68"/>
      <c r="AL5" s="68"/>
      <c r="AM5" s="68"/>
      <c r="AN5" s="68"/>
      <c r="AO5" s="68"/>
      <c r="AP5" s="68"/>
      <c r="AQ5" s="68"/>
      <c r="AR5" s="68"/>
    </row>
    <row r="6" spans="1:45" s="56" customFormat="1" ht="13.5" customHeight="1" x14ac:dyDescent="0.15">
      <c r="A6" s="68">
        <v>10003002</v>
      </c>
      <c r="B6" s="68" t="s">
        <v>65</v>
      </c>
      <c r="C6" s="68"/>
      <c r="D6" s="68" t="str">
        <f t="shared" si="1"/>
        <v>100030</v>
      </c>
      <c r="E6" s="68" t="str">
        <f t="shared" si="0"/>
        <v>2</v>
      </c>
      <c r="F6" s="68">
        <v>4</v>
      </c>
      <c r="G6" s="68" t="s">
        <v>39</v>
      </c>
      <c r="H6" s="68" t="s">
        <v>59</v>
      </c>
      <c r="I6" s="68" t="s">
        <v>60</v>
      </c>
      <c r="J6" s="69">
        <v>20000</v>
      </c>
      <c r="K6" s="69">
        <v>250</v>
      </c>
      <c r="L6" s="69"/>
      <c r="M6" s="69"/>
      <c r="N6" s="69">
        <v>1</v>
      </c>
      <c r="O6" s="69"/>
      <c r="P6" s="69"/>
      <c r="Q6" s="69"/>
      <c r="R6" s="69"/>
      <c r="S6" s="69"/>
      <c r="T6" s="68" t="s">
        <v>43</v>
      </c>
      <c r="U6" s="68">
        <v>5</v>
      </c>
      <c r="V6" s="68"/>
      <c r="W6" s="68"/>
      <c r="X6" s="68"/>
      <c r="Y6" s="68"/>
      <c r="Z6" s="68"/>
      <c r="AA6" s="68"/>
      <c r="AB6" s="68"/>
      <c r="AC6" s="68"/>
      <c r="AD6" s="56" t="s">
        <v>61</v>
      </c>
      <c r="AE6" s="68" t="s">
        <v>62</v>
      </c>
      <c r="AF6" s="68" t="s">
        <v>62</v>
      </c>
      <c r="AG6" s="68" t="s">
        <v>62</v>
      </c>
      <c r="AH6" s="56" t="s">
        <v>63</v>
      </c>
      <c r="AI6" s="56" t="s">
        <v>64</v>
      </c>
      <c r="AJ6" s="56" t="s">
        <v>63</v>
      </c>
      <c r="AK6" s="68"/>
      <c r="AL6" s="68"/>
    </row>
    <row r="7" spans="1:45" s="56" customFormat="1" ht="13.5" customHeight="1" x14ac:dyDescent="0.15">
      <c r="A7" s="68">
        <v>10003003</v>
      </c>
      <c r="B7" s="68" t="s">
        <v>66</v>
      </c>
      <c r="C7" s="68"/>
      <c r="D7" s="68" t="str">
        <f t="shared" si="1"/>
        <v>100030</v>
      </c>
      <c r="E7" s="68" t="str">
        <f t="shared" si="0"/>
        <v>3</v>
      </c>
      <c r="F7" s="68">
        <v>4</v>
      </c>
      <c r="G7" s="68" t="s">
        <v>39</v>
      </c>
      <c r="H7" s="68" t="s">
        <v>59</v>
      </c>
      <c r="I7" s="68" t="s">
        <v>60</v>
      </c>
      <c r="J7" s="69">
        <v>20000</v>
      </c>
      <c r="K7" s="69">
        <v>250</v>
      </c>
      <c r="L7" s="69"/>
      <c r="M7" s="69"/>
      <c r="N7" s="69">
        <v>1</v>
      </c>
      <c r="O7" s="69"/>
      <c r="P7" s="69"/>
      <c r="Q7" s="69"/>
      <c r="R7" s="69"/>
      <c r="S7" s="69"/>
      <c r="T7" s="68" t="s">
        <v>43</v>
      </c>
      <c r="U7" s="68">
        <v>5</v>
      </c>
      <c r="V7" s="68"/>
      <c r="W7" s="68"/>
      <c r="X7" s="68"/>
      <c r="Y7" s="68"/>
      <c r="Z7" s="68"/>
      <c r="AA7" s="68"/>
      <c r="AB7" s="68"/>
      <c r="AC7" s="68"/>
      <c r="AD7" s="56" t="s">
        <v>61</v>
      </c>
      <c r="AE7" s="68" t="s">
        <v>62</v>
      </c>
      <c r="AF7" s="68" t="s">
        <v>62</v>
      </c>
      <c r="AG7" s="68" t="s">
        <v>62</v>
      </c>
      <c r="AH7" s="56" t="s">
        <v>63</v>
      </c>
      <c r="AI7" s="56" t="s">
        <v>64</v>
      </c>
      <c r="AJ7" s="56" t="s">
        <v>63</v>
      </c>
      <c r="AK7" s="68"/>
      <c r="AL7" s="68"/>
      <c r="AM7" s="68"/>
      <c r="AN7" s="68"/>
      <c r="AO7" s="68"/>
      <c r="AP7" s="68"/>
      <c r="AQ7" s="68"/>
      <c r="AR7" s="68"/>
    </row>
    <row r="8" spans="1:45" s="56" customFormat="1" ht="13.5" customHeight="1" x14ac:dyDescent="0.15">
      <c r="A8" s="68">
        <v>10003004</v>
      </c>
      <c r="B8" s="68" t="s">
        <v>67</v>
      </c>
      <c r="C8" s="68"/>
      <c r="D8" s="68" t="str">
        <f t="shared" si="1"/>
        <v>100030</v>
      </c>
      <c r="E8" s="68" t="str">
        <f t="shared" si="0"/>
        <v>4</v>
      </c>
      <c r="F8" s="68">
        <v>4</v>
      </c>
      <c r="G8" s="68" t="s">
        <v>39</v>
      </c>
      <c r="H8" s="68" t="s">
        <v>59</v>
      </c>
      <c r="I8" s="68" t="s">
        <v>60</v>
      </c>
      <c r="J8" s="69">
        <v>20000</v>
      </c>
      <c r="K8" s="69">
        <v>250</v>
      </c>
      <c r="L8" s="69"/>
      <c r="M8" s="69"/>
      <c r="N8" s="69">
        <v>1</v>
      </c>
      <c r="O8" s="69"/>
      <c r="P8" s="69"/>
      <c r="Q8" s="69"/>
      <c r="R8" s="69"/>
      <c r="S8" s="69"/>
      <c r="T8" s="68" t="s">
        <v>43</v>
      </c>
      <c r="U8" s="68">
        <v>5</v>
      </c>
      <c r="V8" s="68"/>
      <c r="W8" s="68"/>
      <c r="X8" s="68"/>
      <c r="Y8" s="68"/>
      <c r="Z8" s="68"/>
      <c r="AA8" s="68"/>
      <c r="AB8" s="68"/>
      <c r="AC8" s="68"/>
      <c r="AD8" s="56" t="s">
        <v>61</v>
      </c>
      <c r="AE8" s="68" t="s">
        <v>62</v>
      </c>
      <c r="AF8" s="68" t="s">
        <v>62</v>
      </c>
      <c r="AG8" s="68" t="s">
        <v>62</v>
      </c>
      <c r="AH8" s="56" t="s">
        <v>63</v>
      </c>
      <c r="AI8" s="56" t="s">
        <v>64</v>
      </c>
      <c r="AJ8" s="56" t="s">
        <v>63</v>
      </c>
      <c r="AK8" s="68"/>
      <c r="AL8" s="68"/>
    </row>
    <row r="9" spans="1:45" s="56" customFormat="1" ht="13.5" customHeight="1" x14ac:dyDescent="0.15">
      <c r="A9" s="68">
        <v>10004001</v>
      </c>
      <c r="B9" s="68" t="s">
        <v>68</v>
      </c>
      <c r="C9" s="68"/>
      <c r="D9" s="68" t="str">
        <f t="shared" si="1"/>
        <v>100040</v>
      </c>
      <c r="E9" s="68" t="str">
        <f t="shared" si="0"/>
        <v>1</v>
      </c>
      <c r="F9" s="68">
        <v>3</v>
      </c>
      <c r="G9" s="68" t="s">
        <v>39</v>
      </c>
      <c r="H9" s="68" t="s">
        <v>59</v>
      </c>
      <c r="I9" s="68" t="s">
        <v>69</v>
      </c>
      <c r="J9" s="69">
        <v>30000</v>
      </c>
      <c r="K9" s="68">
        <v>250</v>
      </c>
      <c r="L9" s="68"/>
      <c r="M9" s="68"/>
      <c r="N9" s="69">
        <v>1</v>
      </c>
      <c r="O9" s="69"/>
      <c r="P9" s="69"/>
      <c r="Q9" s="69"/>
      <c r="R9" s="69"/>
      <c r="S9" s="69"/>
      <c r="T9" s="68" t="s">
        <v>70</v>
      </c>
      <c r="U9" s="68" t="s">
        <v>71</v>
      </c>
      <c r="V9" s="68"/>
      <c r="W9" s="68"/>
      <c r="X9" s="68"/>
      <c r="Y9" s="68"/>
      <c r="Z9" s="68"/>
      <c r="AA9" s="68"/>
      <c r="AB9" s="68"/>
      <c r="AC9" s="68"/>
      <c r="AD9" s="56" t="s">
        <v>72</v>
      </c>
      <c r="AE9" s="68" t="s">
        <v>73</v>
      </c>
      <c r="AF9" s="68" t="s">
        <v>73</v>
      </c>
      <c r="AG9" s="68" t="s">
        <v>73</v>
      </c>
      <c r="AH9" s="82" t="s">
        <v>385</v>
      </c>
      <c r="AI9" s="82" t="s">
        <v>386</v>
      </c>
      <c r="AJ9" s="82" t="s">
        <v>385</v>
      </c>
      <c r="AK9" s="68"/>
      <c r="AL9" s="68"/>
    </row>
    <row r="10" spans="1:45" s="56" customFormat="1" ht="13.5" customHeight="1" x14ac:dyDescent="0.15">
      <c r="A10" s="68">
        <v>10004002</v>
      </c>
      <c r="B10" s="68" t="s">
        <v>74</v>
      </c>
      <c r="C10" s="68"/>
      <c r="D10" s="68" t="str">
        <f t="shared" si="1"/>
        <v>100040</v>
      </c>
      <c r="E10" s="68" t="str">
        <f t="shared" si="0"/>
        <v>2</v>
      </c>
      <c r="F10" s="68">
        <v>3</v>
      </c>
      <c r="G10" s="68" t="s">
        <v>39</v>
      </c>
      <c r="H10" s="68" t="s">
        <v>59</v>
      </c>
      <c r="I10" s="68" t="s">
        <v>69</v>
      </c>
      <c r="J10" s="69">
        <v>45000</v>
      </c>
      <c r="K10" s="68">
        <v>500</v>
      </c>
      <c r="L10" s="68"/>
      <c r="M10" s="68"/>
      <c r="N10" s="69">
        <v>2</v>
      </c>
      <c r="O10" s="69"/>
      <c r="P10" s="69"/>
      <c r="Q10" s="69"/>
      <c r="R10" s="69"/>
      <c r="S10" s="69"/>
      <c r="T10" s="68" t="s">
        <v>70</v>
      </c>
      <c r="U10" s="68" t="s">
        <v>71</v>
      </c>
      <c r="V10" s="68"/>
      <c r="W10" s="68"/>
      <c r="X10" s="68"/>
      <c r="Y10" s="68"/>
      <c r="Z10" s="68"/>
      <c r="AA10" s="68"/>
      <c r="AB10" s="68"/>
      <c r="AC10" s="68"/>
      <c r="AD10" s="56" t="s">
        <v>75</v>
      </c>
      <c r="AE10" s="68" t="s">
        <v>76</v>
      </c>
      <c r="AF10" s="68" t="s">
        <v>76</v>
      </c>
      <c r="AG10" s="68" t="s">
        <v>76</v>
      </c>
      <c r="AH10" s="82" t="s">
        <v>387</v>
      </c>
      <c r="AI10" s="82" t="s">
        <v>388</v>
      </c>
      <c r="AJ10" s="82" t="s">
        <v>387</v>
      </c>
      <c r="AK10" s="68"/>
      <c r="AL10" s="68"/>
    </row>
    <row r="11" spans="1:45" s="56" customFormat="1" ht="13.5" customHeight="1" x14ac:dyDescent="0.15">
      <c r="A11" s="68">
        <v>10004003</v>
      </c>
      <c r="B11" s="68" t="s">
        <v>77</v>
      </c>
      <c r="C11" s="68"/>
      <c r="D11" s="68" t="str">
        <f t="shared" si="1"/>
        <v>100040</v>
      </c>
      <c r="E11" s="68" t="str">
        <f t="shared" si="0"/>
        <v>3</v>
      </c>
      <c r="F11" s="68">
        <v>3</v>
      </c>
      <c r="G11" s="68" t="s">
        <v>39</v>
      </c>
      <c r="H11" s="68" t="s">
        <v>59</v>
      </c>
      <c r="I11" s="68" t="s">
        <v>69</v>
      </c>
      <c r="J11" s="69">
        <v>60000</v>
      </c>
      <c r="K11" s="68">
        <v>800</v>
      </c>
      <c r="L11" s="68"/>
      <c r="M11" s="68"/>
      <c r="N11" s="69">
        <v>3</v>
      </c>
      <c r="O11" s="69"/>
      <c r="P11" s="69"/>
      <c r="Q11" s="69"/>
      <c r="R11" s="69"/>
      <c r="S11" s="69"/>
      <c r="T11" s="68" t="s">
        <v>70</v>
      </c>
      <c r="U11" s="68" t="s">
        <v>71</v>
      </c>
      <c r="V11" s="68"/>
      <c r="W11" s="68"/>
      <c r="X11" s="68"/>
      <c r="Y11" s="68"/>
      <c r="Z11" s="68"/>
      <c r="AA11" s="68"/>
      <c r="AB11" s="68"/>
      <c r="AC11" s="68"/>
      <c r="AD11" s="56" t="s">
        <v>78</v>
      </c>
      <c r="AE11" s="68" t="s">
        <v>79</v>
      </c>
      <c r="AF11" s="68" t="s">
        <v>79</v>
      </c>
      <c r="AG11" s="68" t="s">
        <v>79</v>
      </c>
      <c r="AH11" s="82" t="s">
        <v>389</v>
      </c>
      <c r="AI11" s="82" t="s">
        <v>390</v>
      </c>
      <c r="AJ11" s="82" t="s">
        <v>389</v>
      </c>
      <c r="AK11" s="68"/>
      <c r="AL11" s="68"/>
    </row>
    <row r="12" spans="1:45" s="56" customFormat="1" ht="13.5" customHeight="1" x14ac:dyDescent="0.15">
      <c r="A12" s="68">
        <v>10005001</v>
      </c>
      <c r="B12" s="68" t="s">
        <v>80</v>
      </c>
      <c r="C12" s="68"/>
      <c r="D12" s="68" t="str">
        <f t="shared" si="1"/>
        <v>100050</v>
      </c>
      <c r="E12" s="68" t="str">
        <f t="shared" si="0"/>
        <v>1</v>
      </c>
      <c r="F12" s="68">
        <v>3</v>
      </c>
      <c r="G12" s="68" t="s">
        <v>39</v>
      </c>
      <c r="H12" s="68" t="s">
        <v>59</v>
      </c>
      <c r="I12" s="68" t="s">
        <v>81</v>
      </c>
      <c r="J12" s="69">
        <v>30000</v>
      </c>
      <c r="K12" s="68">
        <v>250</v>
      </c>
      <c r="L12" s="68"/>
      <c r="M12" s="68"/>
      <c r="N12" s="69">
        <v>1</v>
      </c>
      <c r="O12" s="69"/>
      <c r="P12" s="69"/>
      <c r="Q12" s="69"/>
      <c r="R12" s="69"/>
      <c r="S12" s="69"/>
      <c r="T12" s="68" t="s">
        <v>70</v>
      </c>
      <c r="U12" s="68" t="s">
        <v>82</v>
      </c>
      <c r="V12" s="68"/>
      <c r="W12" s="68"/>
      <c r="X12" s="68"/>
      <c r="Y12" s="68"/>
      <c r="Z12" s="68"/>
      <c r="AA12" s="68"/>
      <c r="AB12" s="68"/>
      <c r="AC12" s="68"/>
      <c r="AD12" s="56" t="s">
        <v>83</v>
      </c>
      <c r="AE12" s="68" t="s">
        <v>84</v>
      </c>
      <c r="AF12" s="68" t="s">
        <v>84</v>
      </c>
      <c r="AG12" s="68" t="s">
        <v>84</v>
      </c>
      <c r="AH12" s="82" t="s">
        <v>391</v>
      </c>
      <c r="AI12" s="82" t="s">
        <v>392</v>
      </c>
      <c r="AJ12" s="82" t="s">
        <v>391</v>
      </c>
      <c r="AK12" s="68"/>
      <c r="AL12" s="68"/>
    </row>
    <row r="13" spans="1:45" s="56" customFormat="1" ht="13.5" customHeight="1" x14ac:dyDescent="0.15">
      <c r="A13" s="68">
        <v>10005002</v>
      </c>
      <c r="B13" s="68" t="s">
        <v>85</v>
      </c>
      <c r="C13" s="68"/>
      <c r="D13" s="68" t="str">
        <f t="shared" si="1"/>
        <v>100050</v>
      </c>
      <c r="E13" s="68" t="str">
        <f t="shared" ref="E13:E20" si="2">RIGHT(A13,1)</f>
        <v>2</v>
      </c>
      <c r="F13" s="68">
        <v>3</v>
      </c>
      <c r="G13" s="68" t="s">
        <v>39</v>
      </c>
      <c r="H13" s="68" t="s">
        <v>59</v>
      </c>
      <c r="I13" s="68" t="s">
        <v>81</v>
      </c>
      <c r="J13" s="69">
        <v>45000</v>
      </c>
      <c r="K13" s="68">
        <v>500</v>
      </c>
      <c r="L13" s="68"/>
      <c r="M13" s="68"/>
      <c r="N13" s="69">
        <v>2</v>
      </c>
      <c r="O13" s="69"/>
      <c r="P13" s="69"/>
      <c r="Q13" s="69"/>
      <c r="R13" s="69"/>
      <c r="S13" s="69"/>
      <c r="T13" s="68" t="s">
        <v>70</v>
      </c>
      <c r="U13" s="68" t="s">
        <v>82</v>
      </c>
      <c r="V13" s="68"/>
      <c r="W13" s="68"/>
      <c r="X13" s="68"/>
      <c r="Y13" s="68"/>
      <c r="Z13" s="68"/>
      <c r="AA13" s="68"/>
      <c r="AB13" s="68"/>
      <c r="AC13" s="68"/>
      <c r="AD13" s="56" t="s">
        <v>86</v>
      </c>
      <c r="AE13" s="68" t="s">
        <v>87</v>
      </c>
      <c r="AF13" s="68" t="s">
        <v>87</v>
      </c>
      <c r="AG13" s="68" t="s">
        <v>87</v>
      </c>
      <c r="AH13" s="82" t="s">
        <v>393</v>
      </c>
      <c r="AI13" s="82" t="s">
        <v>394</v>
      </c>
      <c r="AJ13" s="82" t="s">
        <v>393</v>
      </c>
      <c r="AK13" s="68"/>
      <c r="AL13" s="68"/>
    </row>
    <row r="14" spans="1:45" s="56" customFormat="1" ht="13.5" customHeight="1" x14ac:dyDescent="0.15">
      <c r="A14" s="68">
        <v>10005003</v>
      </c>
      <c r="B14" s="68" t="s">
        <v>88</v>
      </c>
      <c r="C14" s="68"/>
      <c r="D14" s="68" t="str">
        <f t="shared" si="1"/>
        <v>100050</v>
      </c>
      <c r="E14" s="68" t="str">
        <f t="shared" si="2"/>
        <v>3</v>
      </c>
      <c r="F14" s="68">
        <v>3</v>
      </c>
      <c r="G14" s="68" t="s">
        <v>39</v>
      </c>
      <c r="H14" s="68" t="s">
        <v>59</v>
      </c>
      <c r="I14" s="68" t="s">
        <v>81</v>
      </c>
      <c r="J14" s="69">
        <v>60000</v>
      </c>
      <c r="K14" s="68">
        <v>800</v>
      </c>
      <c r="L14" s="68"/>
      <c r="M14" s="68"/>
      <c r="N14" s="69">
        <v>3</v>
      </c>
      <c r="O14" s="69"/>
      <c r="P14" s="69"/>
      <c r="Q14" s="69"/>
      <c r="R14" s="69"/>
      <c r="S14" s="69"/>
      <c r="T14" s="68" t="s">
        <v>70</v>
      </c>
      <c r="U14" s="68" t="s">
        <v>82</v>
      </c>
      <c r="V14" s="68"/>
      <c r="W14" s="68"/>
      <c r="X14" s="68"/>
      <c r="Y14" s="68"/>
      <c r="Z14" s="68"/>
      <c r="AA14" s="68"/>
      <c r="AB14" s="68"/>
      <c r="AC14" s="68"/>
      <c r="AD14" s="56" t="s">
        <v>89</v>
      </c>
      <c r="AE14" s="68" t="s">
        <v>90</v>
      </c>
      <c r="AF14" s="68" t="s">
        <v>90</v>
      </c>
      <c r="AG14" s="68" t="s">
        <v>90</v>
      </c>
      <c r="AH14" s="82" t="s">
        <v>395</v>
      </c>
      <c r="AI14" s="82" t="s">
        <v>396</v>
      </c>
      <c r="AJ14" s="82" t="s">
        <v>395</v>
      </c>
      <c r="AK14" s="68"/>
      <c r="AL14" s="68"/>
    </row>
    <row r="15" spans="1:45" s="56" customFormat="1" ht="13.5" customHeight="1" x14ac:dyDescent="0.15">
      <c r="A15" s="68">
        <v>10006001</v>
      </c>
      <c r="B15" s="68" t="s">
        <v>91</v>
      </c>
      <c r="C15" s="68"/>
      <c r="D15" s="68" t="str">
        <f t="shared" si="1"/>
        <v>100060</v>
      </c>
      <c r="E15" s="68" t="str">
        <f t="shared" si="2"/>
        <v>1</v>
      </c>
      <c r="F15" s="68">
        <v>1</v>
      </c>
      <c r="G15" s="68" t="s">
        <v>39</v>
      </c>
      <c r="H15" s="68" t="s">
        <v>40</v>
      </c>
      <c r="I15" s="68"/>
      <c r="J15" s="69">
        <v>0</v>
      </c>
      <c r="K15" s="68">
        <v>0</v>
      </c>
      <c r="L15" s="68"/>
      <c r="M15" s="68"/>
      <c r="N15" s="69">
        <v>1</v>
      </c>
      <c r="O15" s="69"/>
      <c r="P15" s="69"/>
      <c r="Q15" s="69"/>
      <c r="R15" s="69"/>
      <c r="S15" s="69"/>
      <c r="T15" s="68" t="s">
        <v>92</v>
      </c>
      <c r="U15" s="68">
        <v>20000101</v>
      </c>
      <c r="V15" s="68">
        <v>1</v>
      </c>
      <c r="W15" s="68"/>
      <c r="X15" s="68"/>
      <c r="Y15" s="68"/>
      <c r="Z15" s="68"/>
      <c r="AA15" s="68"/>
      <c r="AB15" s="68"/>
      <c r="AC15" s="68"/>
      <c r="AE15" s="68"/>
      <c r="AF15" s="68"/>
      <c r="AG15" s="68"/>
      <c r="AK15" s="68"/>
      <c r="AL15" s="68"/>
    </row>
    <row r="16" spans="1:45" s="56" customFormat="1" ht="13.5" customHeight="1" x14ac:dyDescent="0.15">
      <c r="A16" s="68">
        <v>10007001</v>
      </c>
      <c r="B16" s="68" t="s">
        <v>93</v>
      </c>
      <c r="C16" s="68"/>
      <c r="D16" s="68" t="str">
        <f t="shared" ref="D16:D22" si="3">LEFT(A16,6)</f>
        <v>100070</v>
      </c>
      <c r="E16" s="68" t="str">
        <f t="shared" si="2"/>
        <v>1</v>
      </c>
      <c r="F16" s="68">
        <v>4</v>
      </c>
      <c r="G16" s="68" t="s">
        <v>39</v>
      </c>
      <c r="H16" s="68" t="s">
        <v>59</v>
      </c>
      <c r="I16" s="68" t="s">
        <v>60</v>
      </c>
      <c r="J16" s="69">
        <v>20000</v>
      </c>
      <c r="K16" s="69">
        <v>250</v>
      </c>
      <c r="L16" s="69"/>
      <c r="M16" s="69"/>
      <c r="N16" s="69">
        <v>1</v>
      </c>
      <c r="O16" s="69"/>
      <c r="P16" s="69"/>
      <c r="Q16" s="69"/>
      <c r="R16" s="69"/>
      <c r="S16" s="69"/>
      <c r="T16" s="68" t="s">
        <v>43</v>
      </c>
      <c r="U16" s="68">
        <v>5</v>
      </c>
      <c r="V16" s="68"/>
      <c r="W16" s="68"/>
      <c r="X16" s="68"/>
      <c r="Y16" s="68"/>
      <c r="Z16" s="68"/>
      <c r="AA16" s="68"/>
      <c r="AB16" s="68"/>
      <c r="AC16" s="68"/>
      <c r="AD16" s="56" t="s">
        <v>61</v>
      </c>
      <c r="AE16" s="68" t="s">
        <v>62</v>
      </c>
      <c r="AF16" s="68" t="s">
        <v>62</v>
      </c>
      <c r="AG16" s="68" t="s">
        <v>62</v>
      </c>
      <c r="AH16" s="56" t="s">
        <v>63</v>
      </c>
      <c r="AI16" s="56" t="s">
        <v>64</v>
      </c>
      <c r="AJ16" s="56" t="s">
        <v>63</v>
      </c>
      <c r="AK16" s="68"/>
      <c r="AL16" s="68"/>
      <c r="AM16" s="68"/>
      <c r="AN16" s="68"/>
      <c r="AO16" s="68"/>
      <c r="AP16" s="68"/>
      <c r="AQ16" s="68"/>
      <c r="AR16" s="68"/>
      <c r="AS16" s="68"/>
    </row>
    <row r="17" spans="1:45" s="56" customFormat="1" ht="13.5" customHeight="1" x14ac:dyDescent="0.15">
      <c r="A17" s="68">
        <v>10007002</v>
      </c>
      <c r="B17" s="68" t="s">
        <v>94</v>
      </c>
      <c r="C17" s="68"/>
      <c r="D17" s="68" t="str">
        <f t="shared" si="3"/>
        <v>100070</v>
      </c>
      <c r="E17" s="68" t="str">
        <f t="shared" si="2"/>
        <v>2</v>
      </c>
      <c r="F17" s="68">
        <v>4</v>
      </c>
      <c r="G17" s="68" t="s">
        <v>39</v>
      </c>
      <c r="H17" s="68" t="s">
        <v>59</v>
      </c>
      <c r="I17" s="68" t="s">
        <v>60</v>
      </c>
      <c r="J17" s="69">
        <v>20000</v>
      </c>
      <c r="K17" s="69">
        <v>250</v>
      </c>
      <c r="L17" s="69"/>
      <c r="M17" s="69"/>
      <c r="N17" s="69">
        <v>1</v>
      </c>
      <c r="O17" s="69"/>
      <c r="P17" s="69"/>
      <c r="Q17" s="69"/>
      <c r="R17" s="69"/>
      <c r="S17" s="69"/>
      <c r="T17" s="68" t="s">
        <v>43</v>
      </c>
      <c r="U17" s="68">
        <v>5</v>
      </c>
      <c r="V17" s="68"/>
      <c r="W17" s="68"/>
      <c r="X17" s="68"/>
      <c r="Y17" s="68"/>
      <c r="Z17" s="68"/>
      <c r="AA17" s="68"/>
      <c r="AB17" s="68"/>
      <c r="AC17" s="68"/>
      <c r="AD17" s="56" t="s">
        <v>61</v>
      </c>
      <c r="AE17" s="68" t="s">
        <v>62</v>
      </c>
      <c r="AF17" s="68" t="s">
        <v>62</v>
      </c>
      <c r="AG17" s="68" t="s">
        <v>62</v>
      </c>
      <c r="AH17" s="56" t="s">
        <v>63</v>
      </c>
      <c r="AI17" s="56" t="s">
        <v>64</v>
      </c>
      <c r="AJ17" s="56" t="s">
        <v>63</v>
      </c>
      <c r="AK17" s="68"/>
      <c r="AL17" s="68"/>
      <c r="AM17" s="68"/>
      <c r="AN17" s="68"/>
      <c r="AO17" s="68"/>
      <c r="AP17" s="68"/>
      <c r="AQ17" s="68"/>
      <c r="AR17" s="68"/>
      <c r="AS17" s="68"/>
    </row>
    <row r="18" spans="1:45" s="56" customFormat="1" ht="13.5" customHeight="1" x14ac:dyDescent="0.15">
      <c r="A18" s="68">
        <v>10007003</v>
      </c>
      <c r="B18" s="68" t="s">
        <v>95</v>
      </c>
      <c r="C18" s="68"/>
      <c r="D18" s="68" t="str">
        <f t="shared" si="3"/>
        <v>100070</v>
      </c>
      <c r="E18" s="68" t="str">
        <f t="shared" si="2"/>
        <v>3</v>
      </c>
      <c r="F18" s="68">
        <v>4</v>
      </c>
      <c r="G18" s="68" t="s">
        <v>39</v>
      </c>
      <c r="H18" s="68" t="s">
        <v>59</v>
      </c>
      <c r="I18" s="68" t="s">
        <v>60</v>
      </c>
      <c r="J18" s="69">
        <v>20000</v>
      </c>
      <c r="K18" s="69">
        <v>250</v>
      </c>
      <c r="L18" s="69"/>
      <c r="M18" s="69"/>
      <c r="N18" s="69">
        <v>1</v>
      </c>
      <c r="O18" s="69"/>
      <c r="P18" s="69"/>
      <c r="Q18" s="69"/>
      <c r="R18" s="69"/>
      <c r="S18" s="69"/>
      <c r="T18" s="68" t="s">
        <v>43</v>
      </c>
      <c r="U18" s="68">
        <v>5</v>
      </c>
      <c r="V18" s="68"/>
      <c r="W18" s="68"/>
      <c r="X18" s="68"/>
      <c r="Y18" s="68"/>
      <c r="Z18" s="68"/>
      <c r="AA18" s="68"/>
      <c r="AB18" s="68"/>
      <c r="AC18" s="68"/>
      <c r="AD18" s="56" t="s">
        <v>61</v>
      </c>
      <c r="AE18" s="68" t="s">
        <v>62</v>
      </c>
      <c r="AF18" s="68" t="s">
        <v>62</v>
      </c>
      <c r="AG18" s="68" t="s">
        <v>62</v>
      </c>
      <c r="AH18" s="56" t="s">
        <v>63</v>
      </c>
      <c r="AI18" s="56" t="s">
        <v>64</v>
      </c>
      <c r="AJ18" s="56" t="s">
        <v>63</v>
      </c>
      <c r="AK18" s="68"/>
      <c r="AL18" s="68"/>
      <c r="AM18" s="68"/>
      <c r="AN18" s="68"/>
      <c r="AO18" s="68"/>
      <c r="AP18" s="68"/>
      <c r="AQ18" s="68"/>
      <c r="AR18" s="68"/>
      <c r="AS18" s="68"/>
    </row>
    <row r="19" spans="1:45" s="56" customFormat="1" ht="13.5" customHeight="1" x14ac:dyDescent="0.15">
      <c r="A19" s="68">
        <v>10007004</v>
      </c>
      <c r="B19" s="68" t="s">
        <v>96</v>
      </c>
      <c r="C19" s="68"/>
      <c r="D19" s="68" t="str">
        <f t="shared" si="3"/>
        <v>100070</v>
      </c>
      <c r="E19" s="68" t="str">
        <f t="shared" si="2"/>
        <v>4</v>
      </c>
      <c r="F19" s="68">
        <v>4</v>
      </c>
      <c r="G19" s="68" t="s">
        <v>39</v>
      </c>
      <c r="H19" s="68" t="s">
        <v>59</v>
      </c>
      <c r="I19" s="68" t="s">
        <v>60</v>
      </c>
      <c r="J19" s="69">
        <v>20000</v>
      </c>
      <c r="K19" s="69">
        <v>250</v>
      </c>
      <c r="L19" s="69"/>
      <c r="M19" s="69"/>
      <c r="N19" s="69">
        <v>1</v>
      </c>
      <c r="O19" s="69"/>
      <c r="P19" s="69"/>
      <c r="Q19" s="69"/>
      <c r="R19" s="69"/>
      <c r="S19" s="69"/>
      <c r="T19" s="68" t="s">
        <v>43</v>
      </c>
      <c r="U19" s="68">
        <v>5</v>
      </c>
      <c r="V19" s="68"/>
      <c r="W19" s="68"/>
      <c r="X19" s="68"/>
      <c r="Y19" s="68"/>
      <c r="Z19" s="68"/>
      <c r="AA19" s="68"/>
      <c r="AB19" s="68"/>
      <c r="AC19" s="68"/>
      <c r="AD19" s="56" t="s">
        <v>61</v>
      </c>
      <c r="AE19" s="68" t="s">
        <v>62</v>
      </c>
      <c r="AF19" s="68" t="s">
        <v>62</v>
      </c>
      <c r="AG19" s="68" t="s">
        <v>62</v>
      </c>
      <c r="AH19" s="56" t="s">
        <v>63</v>
      </c>
      <c r="AI19" s="56" t="s">
        <v>64</v>
      </c>
      <c r="AJ19" s="56" t="s">
        <v>63</v>
      </c>
      <c r="AK19" s="68"/>
      <c r="AL19" s="68"/>
      <c r="AM19" s="68"/>
      <c r="AN19" s="68"/>
      <c r="AO19" s="68"/>
      <c r="AP19" s="68"/>
      <c r="AQ19" s="68"/>
      <c r="AR19" s="68"/>
      <c r="AS19" s="68"/>
    </row>
    <row r="20" spans="1:45" s="56" customFormat="1" ht="13.5" customHeight="1" x14ac:dyDescent="0.15">
      <c r="A20" s="68">
        <v>10008001</v>
      </c>
      <c r="B20" s="68" t="s">
        <v>97</v>
      </c>
      <c r="C20" s="68"/>
      <c r="D20" s="68" t="str">
        <f t="shared" si="3"/>
        <v>100080</v>
      </c>
      <c r="E20" s="68" t="str">
        <f t="shared" si="2"/>
        <v>1</v>
      </c>
      <c r="F20" s="68">
        <v>1</v>
      </c>
      <c r="G20" s="68" t="s">
        <v>39</v>
      </c>
      <c r="H20" s="68" t="s">
        <v>40</v>
      </c>
      <c r="I20" s="68" t="s">
        <v>41</v>
      </c>
      <c r="J20" s="69">
        <v>0</v>
      </c>
      <c r="K20" s="69">
        <v>0</v>
      </c>
      <c r="L20" s="69"/>
      <c r="M20" s="69"/>
      <c r="N20" s="69">
        <v>1</v>
      </c>
      <c r="O20" s="69"/>
      <c r="P20" s="69"/>
      <c r="Q20" s="69"/>
      <c r="R20" s="69"/>
      <c r="S20" s="69"/>
      <c r="T20" s="68" t="s">
        <v>42</v>
      </c>
      <c r="U20" s="68">
        <v>20000127</v>
      </c>
      <c r="V20" s="68"/>
      <c r="W20" s="68"/>
      <c r="X20" s="68"/>
      <c r="Y20" s="68" t="s">
        <v>43</v>
      </c>
      <c r="Z20" s="68">
        <v>10</v>
      </c>
      <c r="AA20" s="68"/>
      <c r="AB20" s="68"/>
      <c r="AC20" s="68"/>
      <c r="AD20" s="56" t="s">
        <v>44</v>
      </c>
      <c r="AE20" s="68" t="s">
        <v>45</v>
      </c>
      <c r="AF20" s="68" t="s">
        <v>45</v>
      </c>
      <c r="AG20" s="68" t="s">
        <v>45</v>
      </c>
      <c r="AH20" s="56" t="s">
        <v>98</v>
      </c>
      <c r="AI20" s="56" t="s">
        <v>47</v>
      </c>
      <c r="AJ20" s="56" t="s">
        <v>98</v>
      </c>
      <c r="AK20" s="68"/>
      <c r="AL20" s="68"/>
      <c r="AM20" s="68"/>
      <c r="AN20" s="68"/>
      <c r="AO20" s="68"/>
      <c r="AP20" s="68"/>
      <c r="AQ20" s="68"/>
      <c r="AR20" s="68"/>
      <c r="AS20" s="68"/>
    </row>
    <row r="21" spans="1:45" s="56" customFormat="1" ht="13.5" customHeight="1" x14ac:dyDescent="0.15">
      <c r="A21" s="68">
        <v>10009001</v>
      </c>
      <c r="B21" s="68" t="s">
        <v>99</v>
      </c>
      <c r="C21" s="68"/>
      <c r="D21" s="68" t="str">
        <f t="shared" si="3"/>
        <v>100090</v>
      </c>
      <c r="E21" s="68" t="str">
        <f t="shared" ref="E21:E31" si="4">RIGHT(A21,1)</f>
        <v>1</v>
      </c>
      <c r="F21" s="68">
        <v>1</v>
      </c>
      <c r="G21" s="68" t="s">
        <v>39</v>
      </c>
      <c r="H21" s="68" t="s">
        <v>40</v>
      </c>
      <c r="I21" s="68" t="s">
        <v>41</v>
      </c>
      <c r="J21" s="69">
        <v>75000</v>
      </c>
      <c r="K21" s="69">
        <v>1000</v>
      </c>
      <c r="L21" s="69"/>
      <c r="M21" s="69"/>
      <c r="N21" s="69">
        <v>1</v>
      </c>
      <c r="O21" s="69"/>
      <c r="P21" s="69"/>
      <c r="Q21" s="69"/>
      <c r="R21" s="69"/>
      <c r="S21" s="69"/>
      <c r="T21" s="68" t="s">
        <v>42</v>
      </c>
      <c r="U21" s="68">
        <v>20000128</v>
      </c>
      <c r="V21" s="68"/>
      <c r="W21" s="68"/>
      <c r="X21" s="68"/>
      <c r="Y21" s="68"/>
      <c r="Z21" s="68"/>
      <c r="AA21" s="68"/>
      <c r="AB21" s="68"/>
      <c r="AC21" s="68"/>
      <c r="AD21" s="56" t="s">
        <v>49</v>
      </c>
      <c r="AE21" s="68" t="s">
        <v>50</v>
      </c>
      <c r="AF21" s="68" t="s">
        <v>50</v>
      </c>
      <c r="AG21" s="68" t="s">
        <v>50</v>
      </c>
      <c r="AH21" s="56" t="s">
        <v>51</v>
      </c>
      <c r="AI21" s="56" t="s">
        <v>52</v>
      </c>
      <c r="AJ21" s="56" t="s">
        <v>51</v>
      </c>
      <c r="AK21" s="68"/>
      <c r="AL21" s="68"/>
      <c r="AM21" s="68"/>
      <c r="AN21" s="68"/>
      <c r="AO21" s="68"/>
      <c r="AP21" s="68"/>
      <c r="AQ21" s="68"/>
      <c r="AR21" s="68"/>
      <c r="AS21" s="68"/>
    </row>
    <row r="22" spans="1:45" s="56" customFormat="1" ht="13.5" customHeight="1" x14ac:dyDescent="0.15">
      <c r="A22" s="68">
        <v>10010001</v>
      </c>
      <c r="B22" s="68" t="s">
        <v>100</v>
      </c>
      <c r="C22" s="68"/>
      <c r="D22" s="68" t="str">
        <f t="shared" si="3"/>
        <v>100100</v>
      </c>
      <c r="E22" s="68" t="str">
        <f t="shared" si="4"/>
        <v>1</v>
      </c>
      <c r="F22" s="68">
        <v>1</v>
      </c>
      <c r="G22" s="68" t="s">
        <v>39</v>
      </c>
      <c r="H22" s="68" t="s">
        <v>40</v>
      </c>
      <c r="I22" s="68" t="s">
        <v>41</v>
      </c>
      <c r="J22" s="69">
        <v>90000</v>
      </c>
      <c r="K22" s="69">
        <v>1000</v>
      </c>
      <c r="L22" s="69"/>
      <c r="M22" s="69"/>
      <c r="N22" s="69">
        <v>2</v>
      </c>
      <c r="O22" s="69"/>
      <c r="P22" s="69"/>
      <c r="Q22" s="69"/>
      <c r="R22" s="69"/>
      <c r="S22" s="69"/>
      <c r="T22" s="68" t="s">
        <v>42</v>
      </c>
      <c r="U22" s="68">
        <v>20000129</v>
      </c>
      <c r="V22" s="68"/>
      <c r="W22" s="68"/>
      <c r="X22" s="68"/>
      <c r="Y22" s="68"/>
      <c r="Z22" s="68"/>
      <c r="AA22" s="68"/>
      <c r="AB22" s="68"/>
      <c r="AC22" s="68"/>
      <c r="AD22" s="56" t="s">
        <v>54</v>
      </c>
      <c r="AE22" s="68" t="s">
        <v>55</v>
      </c>
      <c r="AF22" s="68" t="s">
        <v>55</v>
      </c>
      <c r="AG22" s="68" t="s">
        <v>55</v>
      </c>
      <c r="AH22" s="56" t="s">
        <v>56</v>
      </c>
      <c r="AI22" s="56" t="s">
        <v>57</v>
      </c>
      <c r="AJ22" s="56" t="s">
        <v>56</v>
      </c>
      <c r="AK22" s="68"/>
      <c r="AL22" s="68"/>
      <c r="AM22" s="68"/>
      <c r="AN22" s="68"/>
      <c r="AO22" s="68"/>
      <c r="AP22" s="68"/>
      <c r="AQ22" s="68"/>
      <c r="AR22" s="68"/>
      <c r="AS22" s="68"/>
    </row>
    <row r="23" spans="1:45" s="56" customFormat="1" ht="13.5" customHeight="1" x14ac:dyDescent="0.15">
      <c r="A23" s="68">
        <v>10011001</v>
      </c>
      <c r="B23" s="68" t="s">
        <v>101</v>
      </c>
      <c r="C23" s="68" t="s">
        <v>102</v>
      </c>
      <c r="D23" s="68" t="str">
        <f t="shared" si="1"/>
        <v>100110</v>
      </c>
      <c r="E23" s="68" t="str">
        <f t="shared" si="4"/>
        <v>1</v>
      </c>
      <c r="F23" s="68">
        <v>1</v>
      </c>
      <c r="G23" s="68" t="s">
        <v>39</v>
      </c>
      <c r="H23" s="68" t="s">
        <v>40</v>
      </c>
      <c r="I23" s="68" t="s">
        <v>103</v>
      </c>
      <c r="J23" s="69">
        <v>16000</v>
      </c>
      <c r="K23" s="69">
        <v>180</v>
      </c>
      <c r="L23" s="69">
        <f>0.6*K23</f>
        <v>108</v>
      </c>
      <c r="M23" s="69">
        <v>0</v>
      </c>
      <c r="N23" s="69">
        <v>1</v>
      </c>
      <c r="O23" s="69"/>
      <c r="P23" s="69"/>
      <c r="Q23" s="69">
        <v>10000</v>
      </c>
      <c r="R23" s="69"/>
      <c r="S23" s="69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</row>
    <row r="24" spans="1:45" s="56" customFormat="1" ht="13.5" customHeight="1" x14ac:dyDescent="0.15">
      <c r="A24" s="68">
        <v>10011101</v>
      </c>
      <c r="B24" s="68" t="s">
        <v>104</v>
      </c>
      <c r="C24" s="68" t="s">
        <v>102</v>
      </c>
      <c r="D24" s="68" t="str">
        <f t="shared" si="1"/>
        <v>100111</v>
      </c>
      <c r="E24" s="68" t="str">
        <f t="shared" si="4"/>
        <v>1</v>
      </c>
      <c r="F24" s="68">
        <v>1</v>
      </c>
      <c r="G24" s="68" t="s">
        <v>39</v>
      </c>
      <c r="H24" s="68" t="s">
        <v>40</v>
      </c>
      <c r="I24" s="68"/>
      <c r="J24" s="69">
        <v>0</v>
      </c>
      <c r="K24" s="69">
        <v>0</v>
      </c>
      <c r="L24" s="69"/>
      <c r="M24" s="69"/>
      <c r="N24" s="69">
        <v>1</v>
      </c>
      <c r="O24" s="69"/>
      <c r="P24" s="69"/>
      <c r="Q24" s="69"/>
      <c r="R24" s="69"/>
      <c r="S24" s="69"/>
      <c r="T24" s="68" t="s">
        <v>105</v>
      </c>
      <c r="U24" s="68">
        <v>20000101</v>
      </c>
      <c r="V24" s="68" t="s">
        <v>106</v>
      </c>
      <c r="W24" s="68"/>
      <c r="X24" s="68"/>
      <c r="Y24" s="68"/>
      <c r="Z24" s="68"/>
      <c r="AA24" s="68"/>
      <c r="AB24" s="68"/>
      <c r="AC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</row>
    <row r="25" spans="1:45" s="56" customFormat="1" ht="13.5" customHeight="1" x14ac:dyDescent="0.15">
      <c r="A25" s="68">
        <v>10012001</v>
      </c>
      <c r="B25" s="68" t="s">
        <v>107</v>
      </c>
      <c r="C25" s="68" t="s">
        <v>102</v>
      </c>
      <c r="D25" s="68" t="str">
        <f t="shared" si="1"/>
        <v>100120</v>
      </c>
      <c r="E25" s="68" t="str">
        <f t="shared" si="4"/>
        <v>1</v>
      </c>
      <c r="F25" s="68">
        <v>1</v>
      </c>
      <c r="G25" s="68" t="s">
        <v>39</v>
      </c>
      <c r="H25" s="68" t="s">
        <v>40</v>
      </c>
      <c r="I25" s="68" t="s">
        <v>103</v>
      </c>
      <c r="J25" s="69">
        <v>22000</v>
      </c>
      <c r="K25" s="69">
        <v>250</v>
      </c>
      <c r="L25" s="69">
        <f>0.6*K25</f>
        <v>150</v>
      </c>
      <c r="M25" s="69">
        <v>0</v>
      </c>
      <c r="N25" s="69">
        <v>1</v>
      </c>
      <c r="O25" s="69"/>
      <c r="P25" s="69"/>
      <c r="Q25" s="69">
        <v>10000</v>
      </c>
      <c r="R25" s="69"/>
      <c r="S25" s="69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</row>
    <row r="26" spans="1:45" s="56" customFormat="1" ht="13.5" customHeight="1" x14ac:dyDescent="0.15">
      <c r="A26" s="68">
        <v>10012101</v>
      </c>
      <c r="B26" s="68" t="s">
        <v>108</v>
      </c>
      <c r="C26" s="68" t="s">
        <v>102</v>
      </c>
      <c r="D26" s="68" t="str">
        <f t="shared" si="1"/>
        <v>100121</v>
      </c>
      <c r="E26" s="68" t="str">
        <f t="shared" si="4"/>
        <v>1</v>
      </c>
      <c r="F26" s="68">
        <v>1</v>
      </c>
      <c r="G26" s="68" t="s">
        <v>39</v>
      </c>
      <c r="H26" s="68" t="s">
        <v>40</v>
      </c>
      <c r="I26" s="68"/>
      <c r="J26" s="69">
        <v>0</v>
      </c>
      <c r="K26" s="69">
        <v>0</v>
      </c>
      <c r="L26" s="69"/>
      <c r="M26" s="69"/>
      <c r="N26" s="69">
        <v>2</v>
      </c>
      <c r="O26" s="69"/>
      <c r="P26" s="69"/>
      <c r="Q26" s="69"/>
      <c r="R26" s="69"/>
      <c r="S26" s="69"/>
      <c r="T26" s="68" t="s">
        <v>105</v>
      </c>
      <c r="U26" s="68">
        <v>20000102</v>
      </c>
      <c r="V26" s="68" t="s">
        <v>106</v>
      </c>
      <c r="W26" s="68"/>
      <c r="X26" s="68"/>
      <c r="Y26" s="68"/>
      <c r="Z26" s="68"/>
      <c r="AA26" s="68"/>
      <c r="AB26" s="68"/>
      <c r="AC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</row>
    <row r="27" spans="1:45" s="56" customFormat="1" ht="13.5" customHeight="1" x14ac:dyDescent="0.15">
      <c r="A27" s="68">
        <v>10013001</v>
      </c>
      <c r="B27" s="68" t="s">
        <v>109</v>
      </c>
      <c r="C27" s="68" t="s">
        <v>102</v>
      </c>
      <c r="D27" s="68" t="str">
        <f t="shared" si="1"/>
        <v>100130</v>
      </c>
      <c r="E27" s="68" t="str">
        <f t="shared" si="4"/>
        <v>1</v>
      </c>
      <c r="F27" s="68">
        <v>1</v>
      </c>
      <c r="G27" s="68" t="s">
        <v>39</v>
      </c>
      <c r="H27" s="68" t="s">
        <v>40</v>
      </c>
      <c r="I27" s="68" t="s">
        <v>103</v>
      </c>
      <c r="J27" s="69">
        <v>20000</v>
      </c>
      <c r="K27" s="69">
        <v>240</v>
      </c>
      <c r="L27" s="69">
        <f>0.6*K27</f>
        <v>144</v>
      </c>
      <c r="M27" s="69">
        <v>340</v>
      </c>
      <c r="N27" s="69">
        <v>2</v>
      </c>
      <c r="O27" s="69"/>
      <c r="P27" s="69"/>
      <c r="Q27" s="69">
        <v>10000</v>
      </c>
      <c r="R27" s="69"/>
      <c r="S27" s="69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E27" s="68"/>
      <c r="AF27" s="68"/>
      <c r="AG27" s="68"/>
      <c r="AH27" s="68"/>
      <c r="AI27" s="68"/>
      <c r="AJ27" s="68"/>
      <c r="AK27" s="68"/>
      <c r="AL27" s="68"/>
    </row>
    <row r="28" spans="1:45" s="56" customFormat="1" ht="13.5" customHeight="1" x14ac:dyDescent="0.15">
      <c r="A28" s="68">
        <v>10013101</v>
      </c>
      <c r="B28" s="68" t="s">
        <v>110</v>
      </c>
      <c r="C28" s="68" t="s">
        <v>102</v>
      </c>
      <c r="D28" s="68" t="str">
        <f t="shared" si="1"/>
        <v>100131</v>
      </c>
      <c r="E28" s="68" t="str">
        <f t="shared" si="4"/>
        <v>1</v>
      </c>
      <c r="F28" s="68">
        <v>1</v>
      </c>
      <c r="G28" s="68" t="s">
        <v>39</v>
      </c>
      <c r="H28" s="68" t="s">
        <v>40</v>
      </c>
      <c r="I28" s="68"/>
      <c r="J28" s="69">
        <v>0</v>
      </c>
      <c r="K28" s="69">
        <v>0</v>
      </c>
      <c r="L28" s="69"/>
      <c r="M28" s="69"/>
      <c r="N28" s="69">
        <v>2</v>
      </c>
      <c r="O28" s="69"/>
      <c r="P28" s="69"/>
      <c r="Q28" s="69"/>
      <c r="R28" s="69"/>
      <c r="S28" s="69"/>
      <c r="T28" s="68" t="s">
        <v>105</v>
      </c>
      <c r="U28" s="68">
        <v>20000103</v>
      </c>
      <c r="V28" s="68" t="s">
        <v>106</v>
      </c>
      <c r="W28" s="68"/>
      <c r="X28" s="68"/>
      <c r="Y28" s="68"/>
      <c r="Z28" s="68"/>
      <c r="AA28" s="68"/>
      <c r="AB28" s="68"/>
      <c r="AC28" s="68"/>
      <c r="AE28" s="68"/>
      <c r="AF28" s="68"/>
      <c r="AG28" s="68"/>
      <c r="AK28" s="68"/>
      <c r="AL28" s="68"/>
    </row>
    <row r="29" spans="1:45" s="56" customFormat="1" ht="13.5" customHeight="1" x14ac:dyDescent="0.15">
      <c r="A29" s="68">
        <v>10013201</v>
      </c>
      <c r="B29" s="68" t="s">
        <v>111</v>
      </c>
      <c r="C29" s="68" t="s">
        <v>102</v>
      </c>
      <c r="D29" s="68" t="str">
        <f t="shared" si="1"/>
        <v>100132</v>
      </c>
      <c r="E29" s="68" t="str">
        <f t="shared" si="4"/>
        <v>1</v>
      </c>
      <c r="F29" s="68">
        <v>1</v>
      </c>
      <c r="G29" s="68" t="s">
        <v>39</v>
      </c>
      <c r="H29" s="68" t="s">
        <v>40</v>
      </c>
      <c r="I29" s="68"/>
      <c r="J29" s="69">
        <v>0</v>
      </c>
      <c r="K29" s="69">
        <v>0</v>
      </c>
      <c r="L29" s="69"/>
      <c r="M29" s="69"/>
      <c r="N29" s="69">
        <v>3</v>
      </c>
      <c r="O29" s="69"/>
      <c r="P29" s="69"/>
      <c r="Q29" s="69"/>
      <c r="R29" s="69"/>
      <c r="S29" s="69"/>
      <c r="T29" s="68" t="s">
        <v>105</v>
      </c>
      <c r="U29" s="68">
        <v>20000103</v>
      </c>
      <c r="V29" s="68" t="s">
        <v>112</v>
      </c>
      <c r="W29" s="68"/>
      <c r="X29" s="68"/>
      <c r="Y29" s="68"/>
      <c r="Z29" s="68"/>
      <c r="AA29" s="68"/>
      <c r="AB29" s="68"/>
      <c r="AC29" s="68"/>
      <c r="AE29" s="68"/>
      <c r="AF29" s="68"/>
      <c r="AG29" s="68"/>
      <c r="AK29" s="68"/>
      <c r="AL29" s="68"/>
    </row>
    <row r="30" spans="1:45" s="56" customFormat="1" ht="13.5" customHeight="1" x14ac:dyDescent="0.15">
      <c r="A30" s="68">
        <v>10014001</v>
      </c>
      <c r="B30" s="68" t="s">
        <v>113</v>
      </c>
      <c r="C30" s="68" t="s">
        <v>102</v>
      </c>
      <c r="D30" s="68" t="str">
        <f t="shared" si="1"/>
        <v>100140</v>
      </c>
      <c r="E30" s="68" t="str">
        <f t="shared" si="4"/>
        <v>1</v>
      </c>
      <c r="F30" s="68">
        <v>1</v>
      </c>
      <c r="G30" s="68" t="s">
        <v>39</v>
      </c>
      <c r="H30" s="68" t="s">
        <v>40</v>
      </c>
      <c r="I30" s="68" t="s">
        <v>103</v>
      </c>
      <c r="J30" s="69">
        <v>17000</v>
      </c>
      <c r="K30" s="69">
        <v>210</v>
      </c>
      <c r="L30" s="69">
        <f>0.6*K30</f>
        <v>126</v>
      </c>
      <c r="M30" s="69">
        <v>340</v>
      </c>
      <c r="N30" s="69">
        <v>2</v>
      </c>
      <c r="O30" s="69"/>
      <c r="P30" s="69"/>
      <c r="Q30" s="69">
        <v>10000</v>
      </c>
      <c r="R30" s="69"/>
      <c r="S30" s="69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E30" s="68"/>
      <c r="AF30" s="68"/>
      <c r="AG30" s="68"/>
      <c r="AK30" s="68"/>
      <c r="AL30" s="68"/>
    </row>
    <row r="31" spans="1:45" s="56" customFormat="1" ht="13.5" customHeight="1" x14ac:dyDescent="0.15">
      <c r="A31" s="68">
        <v>10014101</v>
      </c>
      <c r="B31" s="68" t="s">
        <v>114</v>
      </c>
      <c r="C31" s="68" t="s">
        <v>102</v>
      </c>
      <c r="D31" s="68" t="str">
        <f t="shared" si="1"/>
        <v>100141</v>
      </c>
      <c r="E31" s="68" t="str">
        <f t="shared" si="4"/>
        <v>1</v>
      </c>
      <c r="F31" s="68">
        <v>1</v>
      </c>
      <c r="G31" s="68" t="s">
        <v>39</v>
      </c>
      <c r="H31" s="68" t="s">
        <v>40</v>
      </c>
      <c r="I31" s="68"/>
      <c r="J31" s="69">
        <v>0</v>
      </c>
      <c r="K31" s="69">
        <v>0</v>
      </c>
      <c r="L31" s="69"/>
      <c r="M31" s="69"/>
      <c r="N31" s="69">
        <v>2</v>
      </c>
      <c r="O31" s="69"/>
      <c r="P31" s="69"/>
      <c r="Q31" s="69"/>
      <c r="R31" s="69"/>
      <c r="S31" s="69"/>
      <c r="T31" s="68" t="s">
        <v>105</v>
      </c>
      <c r="U31" s="68">
        <v>20000104</v>
      </c>
      <c r="V31" s="68" t="s">
        <v>106</v>
      </c>
      <c r="W31" s="68"/>
      <c r="X31" s="68"/>
      <c r="Y31" s="68"/>
      <c r="Z31" s="68"/>
      <c r="AA31" s="68"/>
      <c r="AB31" s="68"/>
      <c r="AC31" s="68"/>
      <c r="AE31" s="68"/>
      <c r="AF31" s="68"/>
      <c r="AG31" s="68"/>
      <c r="AK31" s="68"/>
      <c r="AL31" s="68"/>
    </row>
    <row r="32" spans="1:45" s="56" customFormat="1" ht="13.5" customHeight="1" x14ac:dyDescent="0.15">
      <c r="A32" s="68">
        <v>10014201</v>
      </c>
      <c r="B32" s="68" t="s">
        <v>115</v>
      </c>
      <c r="C32" s="68" t="s">
        <v>102</v>
      </c>
      <c r="D32" s="68" t="str">
        <f t="shared" si="1"/>
        <v>100142</v>
      </c>
      <c r="E32" s="68" t="str">
        <f t="shared" ref="E32:E37" si="5">RIGHT(A32,1)</f>
        <v>1</v>
      </c>
      <c r="F32" s="68">
        <v>1</v>
      </c>
      <c r="G32" s="68" t="s">
        <v>39</v>
      </c>
      <c r="H32" s="68" t="s">
        <v>40</v>
      </c>
      <c r="I32" s="68"/>
      <c r="J32" s="69">
        <v>0</v>
      </c>
      <c r="K32" s="69">
        <v>0</v>
      </c>
      <c r="L32" s="69"/>
      <c r="M32" s="69"/>
      <c r="N32" s="69">
        <v>2</v>
      </c>
      <c r="O32" s="69"/>
      <c r="P32" s="69"/>
      <c r="Q32" s="69"/>
      <c r="R32" s="69"/>
      <c r="S32" s="69"/>
      <c r="T32" s="68" t="s">
        <v>105</v>
      </c>
      <c r="U32" s="68">
        <v>20000104</v>
      </c>
      <c r="V32" s="68" t="s">
        <v>112</v>
      </c>
      <c r="W32" s="68"/>
      <c r="X32" s="68"/>
      <c r="Y32" s="68"/>
      <c r="Z32" s="68"/>
      <c r="AA32" s="68"/>
      <c r="AB32" s="68"/>
      <c r="AC32" s="68"/>
      <c r="AE32" s="68"/>
      <c r="AF32" s="68"/>
      <c r="AG32" s="68"/>
      <c r="AK32" s="68"/>
      <c r="AL32" s="68"/>
    </row>
    <row r="33" spans="1:38" s="56" customFormat="1" ht="13.5" customHeight="1" x14ac:dyDescent="0.15">
      <c r="A33" s="68">
        <v>10014301</v>
      </c>
      <c r="B33" s="68" t="s">
        <v>116</v>
      </c>
      <c r="C33" s="68" t="s">
        <v>102</v>
      </c>
      <c r="D33" s="68" t="str">
        <f t="shared" si="1"/>
        <v>100143</v>
      </c>
      <c r="E33" s="68" t="str">
        <f t="shared" si="5"/>
        <v>1</v>
      </c>
      <c r="F33" s="68">
        <v>1</v>
      </c>
      <c r="G33" s="68" t="s">
        <v>39</v>
      </c>
      <c r="H33" s="68" t="s">
        <v>40</v>
      </c>
      <c r="I33" s="68"/>
      <c r="J33" s="69">
        <v>0</v>
      </c>
      <c r="K33" s="69">
        <v>0</v>
      </c>
      <c r="L33" s="69"/>
      <c r="M33" s="69"/>
      <c r="N33" s="69">
        <v>3</v>
      </c>
      <c r="O33" s="69"/>
      <c r="P33" s="69"/>
      <c r="Q33" s="69"/>
      <c r="R33" s="69"/>
      <c r="S33" s="69"/>
      <c r="T33" s="68" t="s">
        <v>105</v>
      </c>
      <c r="U33" s="68">
        <v>20000104</v>
      </c>
      <c r="V33" s="68" t="s">
        <v>117</v>
      </c>
      <c r="W33" s="68"/>
      <c r="X33" s="68"/>
      <c r="Y33" s="68"/>
      <c r="Z33" s="68"/>
      <c r="AA33" s="68"/>
      <c r="AB33" s="68"/>
      <c r="AC33" s="68"/>
      <c r="AE33" s="68"/>
      <c r="AF33" s="68"/>
      <c r="AG33" s="68"/>
      <c r="AK33" s="68"/>
      <c r="AL33" s="68"/>
    </row>
    <row r="34" spans="1:38" s="56" customFormat="1" ht="13.5" customHeight="1" x14ac:dyDescent="0.15">
      <c r="A34" s="68">
        <v>10015001</v>
      </c>
      <c r="B34" s="68" t="s">
        <v>118</v>
      </c>
      <c r="C34" s="68" t="s">
        <v>119</v>
      </c>
      <c r="D34" s="68" t="str">
        <f t="shared" si="1"/>
        <v>100150</v>
      </c>
      <c r="E34" s="68" t="str">
        <f t="shared" si="5"/>
        <v>1</v>
      </c>
      <c r="F34" s="68">
        <v>1</v>
      </c>
      <c r="G34" s="68" t="s">
        <v>39</v>
      </c>
      <c r="H34" s="68" t="s">
        <v>40</v>
      </c>
      <c r="I34" s="68" t="s">
        <v>103</v>
      </c>
      <c r="J34" s="69">
        <v>18000</v>
      </c>
      <c r="K34" s="69">
        <v>200</v>
      </c>
      <c r="L34" s="69">
        <f>0.6*K34</f>
        <v>120</v>
      </c>
      <c r="M34" s="69">
        <v>340</v>
      </c>
      <c r="N34" s="69">
        <v>2</v>
      </c>
      <c r="O34" s="69"/>
      <c r="P34" s="69"/>
      <c r="Q34" s="69">
        <v>10000</v>
      </c>
      <c r="R34" s="69"/>
      <c r="S34" s="69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E34" s="68"/>
      <c r="AF34" s="68"/>
      <c r="AG34" s="68"/>
      <c r="AK34" s="68"/>
      <c r="AL34" s="68"/>
    </row>
    <row r="35" spans="1:38" s="56" customFormat="1" ht="13.5" customHeight="1" x14ac:dyDescent="0.15">
      <c r="A35" s="68">
        <v>10015101</v>
      </c>
      <c r="B35" s="68" t="s">
        <v>120</v>
      </c>
      <c r="C35" s="68" t="s">
        <v>119</v>
      </c>
      <c r="D35" s="68" t="str">
        <f t="shared" si="1"/>
        <v>100151</v>
      </c>
      <c r="E35" s="68" t="str">
        <f t="shared" si="5"/>
        <v>1</v>
      </c>
      <c r="F35" s="68">
        <v>1</v>
      </c>
      <c r="G35" s="68" t="s">
        <v>39</v>
      </c>
      <c r="H35" s="68" t="s">
        <v>40</v>
      </c>
      <c r="I35" s="68"/>
      <c r="J35" s="69">
        <v>0</v>
      </c>
      <c r="K35" s="69">
        <v>0</v>
      </c>
      <c r="L35" s="69"/>
      <c r="M35" s="69"/>
      <c r="N35" s="69">
        <v>2</v>
      </c>
      <c r="O35" s="69"/>
      <c r="P35" s="69"/>
      <c r="Q35" s="69"/>
      <c r="R35" s="69"/>
      <c r="S35" s="69"/>
      <c r="T35" s="68" t="s">
        <v>105</v>
      </c>
      <c r="U35" s="68">
        <v>20000105</v>
      </c>
      <c r="V35" s="68" t="s">
        <v>106</v>
      </c>
      <c r="W35" s="68"/>
      <c r="X35" s="68"/>
      <c r="Y35" s="68"/>
      <c r="Z35" s="68"/>
      <c r="AA35" s="68"/>
      <c r="AB35" s="68"/>
      <c r="AC35" s="68"/>
      <c r="AE35" s="68"/>
      <c r="AF35" s="68"/>
      <c r="AG35" s="68"/>
      <c r="AK35" s="68"/>
      <c r="AL35" s="68"/>
    </row>
    <row r="36" spans="1:38" s="56" customFormat="1" ht="13.5" customHeight="1" x14ac:dyDescent="0.15">
      <c r="A36" s="68">
        <v>10016001</v>
      </c>
      <c r="B36" s="68" t="s">
        <v>121</v>
      </c>
      <c r="C36" s="68" t="s">
        <v>122</v>
      </c>
      <c r="D36" s="68" t="str">
        <f t="shared" si="1"/>
        <v>100160</v>
      </c>
      <c r="E36" s="68" t="str">
        <f t="shared" si="5"/>
        <v>1</v>
      </c>
      <c r="F36" s="68">
        <v>1</v>
      </c>
      <c r="G36" s="68" t="s">
        <v>39</v>
      </c>
      <c r="H36" s="68" t="s">
        <v>40</v>
      </c>
      <c r="I36" s="68" t="s">
        <v>103</v>
      </c>
      <c r="J36" s="69">
        <v>22000</v>
      </c>
      <c r="K36" s="69">
        <v>260</v>
      </c>
      <c r="L36" s="69">
        <f>0.6*K36</f>
        <v>156</v>
      </c>
      <c r="M36" s="69">
        <v>440</v>
      </c>
      <c r="N36" s="69">
        <v>2</v>
      </c>
      <c r="O36" s="69"/>
      <c r="P36" s="69"/>
      <c r="Q36" s="69">
        <v>10000</v>
      </c>
      <c r="R36" s="69"/>
      <c r="S36" s="69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E36" s="68"/>
      <c r="AF36" s="68"/>
      <c r="AG36" s="68"/>
      <c r="AK36" s="68"/>
      <c r="AL36" s="68"/>
    </row>
    <row r="37" spans="1:38" s="56" customFormat="1" ht="13.5" customHeight="1" x14ac:dyDescent="0.15">
      <c r="A37" s="68">
        <v>10016101</v>
      </c>
      <c r="B37" s="68" t="s">
        <v>123</v>
      </c>
      <c r="C37" s="68" t="s">
        <v>122</v>
      </c>
      <c r="D37" s="68" t="str">
        <f t="shared" si="1"/>
        <v>100161</v>
      </c>
      <c r="E37" s="68" t="str">
        <f t="shared" si="5"/>
        <v>1</v>
      </c>
      <c r="F37" s="68">
        <v>1</v>
      </c>
      <c r="G37" s="68" t="s">
        <v>39</v>
      </c>
      <c r="H37" s="68" t="s">
        <v>40</v>
      </c>
      <c r="I37" s="68"/>
      <c r="J37" s="69">
        <v>0</v>
      </c>
      <c r="K37" s="69">
        <v>0</v>
      </c>
      <c r="L37" s="69"/>
      <c r="M37" s="69"/>
      <c r="N37" s="69">
        <v>2</v>
      </c>
      <c r="O37" s="69"/>
      <c r="P37" s="69"/>
      <c r="Q37" s="69"/>
      <c r="R37" s="69"/>
      <c r="S37" s="69"/>
      <c r="T37" s="68" t="s">
        <v>105</v>
      </c>
      <c r="U37" s="68">
        <v>20000106</v>
      </c>
      <c r="V37" s="68" t="s">
        <v>106</v>
      </c>
      <c r="W37" s="68"/>
      <c r="X37" s="68"/>
      <c r="Y37" s="68"/>
      <c r="Z37" s="68"/>
      <c r="AA37" s="68"/>
      <c r="AB37" s="68"/>
      <c r="AC37" s="68"/>
      <c r="AE37" s="68"/>
      <c r="AF37" s="68"/>
      <c r="AG37" s="68"/>
      <c r="AK37" s="68"/>
      <c r="AL37" s="68"/>
    </row>
    <row r="38" spans="1:38" s="56" customFormat="1" ht="13.5" customHeight="1" x14ac:dyDescent="0.15">
      <c r="A38" s="68">
        <v>10016201</v>
      </c>
      <c r="B38" s="68" t="s">
        <v>124</v>
      </c>
      <c r="C38" s="68" t="s">
        <v>122</v>
      </c>
      <c r="D38" s="68" t="str">
        <f t="shared" si="1"/>
        <v>100162</v>
      </c>
      <c r="E38" s="68" t="str">
        <f t="shared" ref="E38:E47" si="6">RIGHT(A38,1)</f>
        <v>1</v>
      </c>
      <c r="F38" s="68">
        <v>1</v>
      </c>
      <c r="G38" s="68" t="s">
        <v>39</v>
      </c>
      <c r="H38" s="68" t="s">
        <v>40</v>
      </c>
      <c r="I38" s="68"/>
      <c r="J38" s="69">
        <v>0</v>
      </c>
      <c r="K38" s="69">
        <v>0</v>
      </c>
      <c r="L38" s="69"/>
      <c r="M38" s="69"/>
      <c r="N38" s="69">
        <v>2</v>
      </c>
      <c r="O38" s="69"/>
      <c r="P38" s="69"/>
      <c r="Q38" s="69"/>
      <c r="R38" s="69"/>
      <c r="S38" s="69"/>
      <c r="T38" s="68" t="s">
        <v>105</v>
      </c>
      <c r="U38" s="68">
        <v>20000106</v>
      </c>
      <c r="V38" s="68" t="s">
        <v>112</v>
      </c>
      <c r="W38" s="68"/>
      <c r="X38" s="68"/>
      <c r="Y38" s="68"/>
      <c r="Z38" s="68"/>
      <c r="AA38" s="68"/>
      <c r="AB38" s="68"/>
      <c r="AC38" s="68"/>
      <c r="AE38" s="68"/>
      <c r="AF38" s="68"/>
      <c r="AG38" s="68"/>
      <c r="AK38" s="68"/>
      <c r="AL38" s="68"/>
    </row>
    <row r="39" spans="1:38" s="56" customFormat="1" ht="13.5" customHeight="1" x14ac:dyDescent="0.15">
      <c r="A39" s="68">
        <v>10016301</v>
      </c>
      <c r="B39" s="68" t="s">
        <v>125</v>
      </c>
      <c r="C39" s="68" t="s">
        <v>122</v>
      </c>
      <c r="D39" s="68" t="str">
        <f t="shared" si="1"/>
        <v>100163</v>
      </c>
      <c r="E39" s="68" t="str">
        <f t="shared" si="6"/>
        <v>1</v>
      </c>
      <c r="F39" s="68">
        <v>1</v>
      </c>
      <c r="G39" s="68" t="s">
        <v>39</v>
      </c>
      <c r="H39" s="68" t="s">
        <v>40</v>
      </c>
      <c r="I39" s="68"/>
      <c r="J39" s="69">
        <v>0</v>
      </c>
      <c r="K39" s="69">
        <v>0</v>
      </c>
      <c r="L39" s="69"/>
      <c r="M39" s="69"/>
      <c r="N39" s="69">
        <v>2</v>
      </c>
      <c r="O39" s="69"/>
      <c r="P39" s="69"/>
      <c r="Q39" s="69"/>
      <c r="R39" s="69"/>
      <c r="S39" s="69"/>
      <c r="T39" s="68" t="s">
        <v>105</v>
      </c>
      <c r="U39" s="68">
        <v>20000106</v>
      </c>
      <c r="V39" s="68" t="s">
        <v>117</v>
      </c>
      <c r="W39" s="68"/>
      <c r="X39" s="68"/>
      <c r="Y39" s="68"/>
      <c r="Z39" s="68"/>
      <c r="AA39" s="68"/>
      <c r="AB39" s="68"/>
      <c r="AC39" s="68"/>
      <c r="AE39" s="68"/>
      <c r="AF39" s="68"/>
      <c r="AG39" s="68"/>
      <c r="AK39" s="68"/>
      <c r="AL39" s="68"/>
    </row>
    <row r="40" spans="1:38" s="56" customFormat="1" ht="13.5" customHeight="1" x14ac:dyDescent="0.15">
      <c r="A40" s="68">
        <v>10017001</v>
      </c>
      <c r="B40" s="68" t="s">
        <v>126</v>
      </c>
      <c r="C40" s="68" t="s">
        <v>127</v>
      </c>
      <c r="D40" s="68" t="str">
        <f t="shared" si="1"/>
        <v>100170</v>
      </c>
      <c r="E40" s="68" t="str">
        <f t="shared" si="6"/>
        <v>1</v>
      </c>
      <c r="F40" s="68">
        <v>1</v>
      </c>
      <c r="G40" s="68" t="s">
        <v>39</v>
      </c>
      <c r="H40" s="68" t="s">
        <v>40</v>
      </c>
      <c r="I40" s="68" t="s">
        <v>103</v>
      </c>
      <c r="J40" s="69">
        <v>22000</v>
      </c>
      <c r="K40" s="69">
        <v>240</v>
      </c>
      <c r="L40" s="69">
        <f>0.6*K40</f>
        <v>144</v>
      </c>
      <c r="M40" s="69">
        <v>470</v>
      </c>
      <c r="N40" s="69">
        <v>2</v>
      </c>
      <c r="O40" s="69"/>
      <c r="P40" s="69"/>
      <c r="Q40" s="69">
        <v>10000</v>
      </c>
      <c r="R40" s="69"/>
      <c r="S40" s="69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E40" s="68"/>
      <c r="AF40" s="68"/>
      <c r="AG40" s="68"/>
      <c r="AK40" s="68"/>
      <c r="AL40" s="68"/>
    </row>
    <row r="41" spans="1:38" s="56" customFormat="1" ht="13.5" customHeight="1" x14ac:dyDescent="0.15">
      <c r="A41" s="68">
        <v>10017101</v>
      </c>
      <c r="B41" s="68" t="s">
        <v>128</v>
      </c>
      <c r="C41" s="68" t="s">
        <v>127</v>
      </c>
      <c r="D41" s="68" t="str">
        <f t="shared" si="1"/>
        <v>100171</v>
      </c>
      <c r="E41" s="68" t="str">
        <f t="shared" si="6"/>
        <v>1</v>
      </c>
      <c r="F41" s="68">
        <v>1</v>
      </c>
      <c r="G41" s="68" t="s">
        <v>39</v>
      </c>
      <c r="H41" s="68" t="s">
        <v>40</v>
      </c>
      <c r="I41" s="68"/>
      <c r="J41" s="69">
        <v>0</v>
      </c>
      <c r="K41" s="69">
        <v>0</v>
      </c>
      <c r="L41" s="69"/>
      <c r="M41" s="69"/>
      <c r="N41" s="69">
        <v>2</v>
      </c>
      <c r="O41" s="69"/>
      <c r="P41" s="69"/>
      <c r="Q41" s="69"/>
      <c r="R41" s="69"/>
      <c r="S41" s="69"/>
      <c r="T41" s="68" t="s">
        <v>105</v>
      </c>
      <c r="U41" s="68">
        <v>20000107</v>
      </c>
      <c r="V41" s="68" t="s">
        <v>106</v>
      </c>
      <c r="W41" s="68"/>
      <c r="X41" s="68"/>
      <c r="Y41" s="68"/>
      <c r="Z41" s="68"/>
      <c r="AA41" s="68"/>
      <c r="AB41" s="68"/>
      <c r="AC41" s="68"/>
      <c r="AE41" s="68"/>
      <c r="AF41" s="68"/>
      <c r="AG41" s="68"/>
      <c r="AK41" s="68"/>
      <c r="AL41" s="68"/>
    </row>
    <row r="42" spans="1:38" s="56" customFormat="1" ht="13.5" customHeight="1" x14ac:dyDescent="0.15">
      <c r="A42" s="68">
        <v>10018001</v>
      </c>
      <c r="B42" s="68" t="s">
        <v>129</v>
      </c>
      <c r="C42" s="68" t="s">
        <v>119</v>
      </c>
      <c r="D42" s="68" t="str">
        <f t="shared" si="1"/>
        <v>100180</v>
      </c>
      <c r="E42" s="68" t="str">
        <f t="shared" si="6"/>
        <v>1</v>
      </c>
      <c r="F42" s="68">
        <v>1</v>
      </c>
      <c r="G42" s="68" t="s">
        <v>39</v>
      </c>
      <c r="H42" s="68" t="s">
        <v>40</v>
      </c>
      <c r="I42" s="68" t="s">
        <v>103</v>
      </c>
      <c r="J42" s="69">
        <v>30000</v>
      </c>
      <c r="K42" s="69">
        <v>320</v>
      </c>
      <c r="L42" s="69">
        <f>0.6*K42</f>
        <v>192</v>
      </c>
      <c r="M42" s="69">
        <v>540</v>
      </c>
      <c r="N42" s="69">
        <v>3</v>
      </c>
      <c r="O42" s="69"/>
      <c r="P42" s="69"/>
      <c r="Q42" s="69">
        <v>10000</v>
      </c>
      <c r="R42" s="69"/>
      <c r="S42" s="69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E42" s="68"/>
      <c r="AF42" s="68"/>
      <c r="AG42" s="68"/>
      <c r="AK42" s="68"/>
      <c r="AL42" s="68"/>
    </row>
    <row r="43" spans="1:38" s="56" customFormat="1" ht="13.5" customHeight="1" x14ac:dyDescent="0.15">
      <c r="A43" s="68">
        <v>10018101</v>
      </c>
      <c r="B43" s="68" t="s">
        <v>130</v>
      </c>
      <c r="C43" s="68" t="s">
        <v>119</v>
      </c>
      <c r="D43" s="68" t="str">
        <f t="shared" si="1"/>
        <v>100181</v>
      </c>
      <c r="E43" s="68" t="str">
        <f t="shared" si="6"/>
        <v>1</v>
      </c>
      <c r="F43" s="68">
        <v>1</v>
      </c>
      <c r="G43" s="68" t="s">
        <v>39</v>
      </c>
      <c r="H43" s="68" t="s">
        <v>40</v>
      </c>
      <c r="I43" s="68"/>
      <c r="J43" s="69">
        <v>0</v>
      </c>
      <c r="K43" s="69">
        <v>0</v>
      </c>
      <c r="L43" s="69"/>
      <c r="M43" s="69"/>
      <c r="N43" s="69">
        <v>3</v>
      </c>
      <c r="O43" s="69"/>
      <c r="P43" s="69"/>
      <c r="Q43" s="69"/>
      <c r="R43" s="69"/>
      <c r="S43" s="69"/>
      <c r="T43" s="68" t="s">
        <v>105</v>
      </c>
      <c r="U43" s="68">
        <v>20000108</v>
      </c>
      <c r="V43" s="68" t="s">
        <v>106</v>
      </c>
      <c r="W43" s="68"/>
      <c r="X43" s="68"/>
      <c r="Y43" s="68"/>
      <c r="Z43" s="68"/>
      <c r="AA43" s="68"/>
      <c r="AB43" s="68"/>
      <c r="AC43" s="68"/>
      <c r="AE43" s="68"/>
      <c r="AF43" s="68"/>
      <c r="AG43" s="68"/>
      <c r="AK43" s="68"/>
      <c r="AL43" s="68"/>
    </row>
    <row r="44" spans="1:38" s="56" customFormat="1" ht="13.5" customHeight="1" x14ac:dyDescent="0.15">
      <c r="A44" s="68">
        <v>10019001</v>
      </c>
      <c r="B44" s="68" t="s">
        <v>131</v>
      </c>
      <c r="C44" s="68" t="s">
        <v>122</v>
      </c>
      <c r="D44" s="68" t="str">
        <f t="shared" si="1"/>
        <v>100190</v>
      </c>
      <c r="E44" s="68" t="str">
        <f t="shared" si="6"/>
        <v>1</v>
      </c>
      <c r="F44" s="68">
        <v>1</v>
      </c>
      <c r="G44" s="68" t="s">
        <v>39</v>
      </c>
      <c r="H44" s="68" t="s">
        <v>40</v>
      </c>
      <c r="I44" s="68" t="s">
        <v>103</v>
      </c>
      <c r="J44" s="69">
        <v>44000</v>
      </c>
      <c r="K44" s="69">
        <v>330</v>
      </c>
      <c r="L44" s="69">
        <f>0.6*K44</f>
        <v>198</v>
      </c>
      <c r="M44" s="69">
        <v>540</v>
      </c>
      <c r="N44" s="69">
        <v>3</v>
      </c>
      <c r="O44" s="69"/>
      <c r="P44" s="69"/>
      <c r="Q44" s="69">
        <v>10000</v>
      </c>
      <c r="R44" s="69"/>
      <c r="S44" s="69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E44" s="68"/>
      <c r="AF44" s="68"/>
      <c r="AG44" s="68"/>
      <c r="AK44" s="68"/>
      <c r="AL44" s="68"/>
    </row>
    <row r="45" spans="1:38" s="56" customFormat="1" ht="13.5" customHeight="1" x14ac:dyDescent="0.15">
      <c r="A45" s="68">
        <v>10019101</v>
      </c>
      <c r="B45" s="68" t="s">
        <v>132</v>
      </c>
      <c r="C45" s="68" t="s">
        <v>122</v>
      </c>
      <c r="D45" s="68" t="str">
        <f t="shared" si="1"/>
        <v>100191</v>
      </c>
      <c r="E45" s="68" t="str">
        <f t="shared" si="6"/>
        <v>1</v>
      </c>
      <c r="F45" s="68">
        <v>1</v>
      </c>
      <c r="G45" s="68" t="s">
        <v>39</v>
      </c>
      <c r="H45" s="68" t="s">
        <v>40</v>
      </c>
      <c r="I45" s="68"/>
      <c r="J45" s="69">
        <v>0</v>
      </c>
      <c r="K45" s="69">
        <v>0</v>
      </c>
      <c r="L45" s="69"/>
      <c r="M45" s="69"/>
      <c r="N45" s="69">
        <v>3</v>
      </c>
      <c r="O45" s="69"/>
      <c r="P45" s="69"/>
      <c r="Q45" s="69"/>
      <c r="R45" s="69"/>
      <c r="S45" s="69"/>
      <c r="T45" s="68" t="s">
        <v>105</v>
      </c>
      <c r="U45" s="68">
        <v>20000109</v>
      </c>
      <c r="V45" s="68" t="s">
        <v>106</v>
      </c>
      <c r="W45" s="68"/>
      <c r="X45" s="68"/>
      <c r="Y45" s="68"/>
      <c r="Z45" s="68"/>
      <c r="AA45" s="68"/>
      <c r="AB45" s="68"/>
      <c r="AC45" s="68"/>
      <c r="AE45" s="68"/>
      <c r="AF45" s="68"/>
      <c r="AG45" s="68"/>
      <c r="AK45" s="68"/>
      <c r="AL45" s="68"/>
    </row>
    <row r="46" spans="1:38" s="56" customFormat="1" ht="13.5" customHeight="1" x14ac:dyDescent="0.15">
      <c r="A46" s="68">
        <v>10020001</v>
      </c>
      <c r="B46" s="68" t="s">
        <v>133</v>
      </c>
      <c r="C46" s="68" t="s">
        <v>127</v>
      </c>
      <c r="D46" s="68" t="str">
        <f t="shared" si="1"/>
        <v>100200</v>
      </c>
      <c r="E46" s="68" t="str">
        <f t="shared" si="6"/>
        <v>1</v>
      </c>
      <c r="F46" s="68">
        <v>1</v>
      </c>
      <c r="G46" s="68" t="s">
        <v>39</v>
      </c>
      <c r="H46" s="68" t="s">
        <v>40</v>
      </c>
      <c r="I46" s="68" t="s">
        <v>103</v>
      </c>
      <c r="J46" s="69">
        <v>36000</v>
      </c>
      <c r="K46" s="69">
        <v>460</v>
      </c>
      <c r="L46" s="69">
        <f>0.6*K46</f>
        <v>276</v>
      </c>
      <c r="M46" s="69">
        <v>770</v>
      </c>
      <c r="N46" s="69">
        <v>3</v>
      </c>
      <c r="O46" s="69"/>
      <c r="P46" s="69"/>
      <c r="Q46" s="69">
        <v>10000</v>
      </c>
      <c r="R46" s="69"/>
      <c r="S46" s="69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E46" s="68"/>
      <c r="AF46" s="68"/>
      <c r="AG46" s="68"/>
      <c r="AK46" s="68"/>
      <c r="AL46" s="68"/>
    </row>
    <row r="47" spans="1:38" s="56" customFormat="1" ht="13.5" customHeight="1" x14ac:dyDescent="0.15">
      <c r="A47" s="68">
        <v>10020101</v>
      </c>
      <c r="B47" s="68" t="s">
        <v>134</v>
      </c>
      <c r="C47" s="68" t="s">
        <v>127</v>
      </c>
      <c r="D47" s="68" t="str">
        <f t="shared" si="1"/>
        <v>100201</v>
      </c>
      <c r="E47" s="68" t="str">
        <f t="shared" si="6"/>
        <v>1</v>
      </c>
      <c r="F47" s="68">
        <v>1</v>
      </c>
      <c r="G47" s="68" t="s">
        <v>39</v>
      </c>
      <c r="H47" s="68" t="s">
        <v>40</v>
      </c>
      <c r="I47" s="68"/>
      <c r="J47" s="69">
        <v>0</v>
      </c>
      <c r="K47" s="69">
        <v>0</v>
      </c>
      <c r="L47" s="69"/>
      <c r="M47" s="69"/>
      <c r="N47" s="69">
        <v>3</v>
      </c>
      <c r="O47" s="69"/>
      <c r="P47" s="69"/>
      <c r="Q47" s="69"/>
      <c r="R47" s="69"/>
      <c r="S47" s="69"/>
      <c r="T47" s="68" t="s">
        <v>105</v>
      </c>
      <c r="U47" s="68">
        <v>20000110</v>
      </c>
      <c r="V47" s="68" t="s">
        <v>106</v>
      </c>
      <c r="W47" s="68"/>
      <c r="X47" s="68"/>
      <c r="Y47" s="68"/>
      <c r="Z47" s="68"/>
      <c r="AA47" s="68"/>
      <c r="AB47" s="68"/>
      <c r="AC47" s="68"/>
      <c r="AE47" s="68"/>
      <c r="AF47" s="68"/>
      <c r="AG47" s="68"/>
      <c r="AK47" s="68"/>
      <c r="AL47" s="68"/>
    </row>
    <row r="48" spans="1:38" s="56" customFormat="1" ht="18" customHeight="1" x14ac:dyDescent="0.15">
      <c r="A48" s="68">
        <v>10021001</v>
      </c>
      <c r="B48" s="68" t="s">
        <v>135</v>
      </c>
      <c r="C48" s="68"/>
      <c r="D48" s="68" t="str">
        <f t="shared" si="1"/>
        <v>100210</v>
      </c>
      <c r="E48" s="68" t="str">
        <f t="shared" ref="E48:E54" si="7">RIGHT(A48,1)</f>
        <v>1</v>
      </c>
      <c r="F48" s="68">
        <v>1</v>
      </c>
      <c r="G48" s="68" t="s">
        <v>39</v>
      </c>
      <c r="H48" s="68" t="s">
        <v>40</v>
      </c>
      <c r="I48" s="68" t="s">
        <v>136</v>
      </c>
      <c r="J48" s="69">
        <v>35000</v>
      </c>
      <c r="K48" s="69">
        <v>250</v>
      </c>
      <c r="L48" s="69"/>
      <c r="M48" s="69"/>
      <c r="N48" s="69">
        <v>1</v>
      </c>
      <c r="O48" s="69"/>
      <c r="P48" s="69">
        <v>3</v>
      </c>
      <c r="Q48" s="69">
        <v>1000</v>
      </c>
      <c r="R48" s="69">
        <v>-10000</v>
      </c>
      <c r="S48" s="69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56" t="s">
        <v>137</v>
      </c>
      <c r="AE48" s="68" t="s">
        <v>138</v>
      </c>
      <c r="AF48" s="68" t="s">
        <v>138</v>
      </c>
      <c r="AG48" s="68" t="s">
        <v>138</v>
      </c>
      <c r="AH48" s="56" t="s">
        <v>139</v>
      </c>
      <c r="AI48" s="56" t="s">
        <v>139</v>
      </c>
      <c r="AJ48" s="56" t="s">
        <v>139</v>
      </c>
      <c r="AK48" s="56" t="s">
        <v>140</v>
      </c>
      <c r="AL48" s="56" t="s">
        <v>141</v>
      </c>
    </row>
    <row r="49" spans="1:38" s="56" customFormat="1" ht="18" customHeight="1" x14ac:dyDescent="0.15">
      <c r="A49" s="68">
        <v>10021101</v>
      </c>
      <c r="B49" s="68" t="s">
        <v>142</v>
      </c>
      <c r="C49" s="68"/>
      <c r="D49" s="68" t="str">
        <f t="shared" si="1"/>
        <v>100211</v>
      </c>
      <c r="E49" s="68" t="str">
        <f t="shared" si="7"/>
        <v>1</v>
      </c>
      <c r="F49" s="68">
        <v>1</v>
      </c>
      <c r="G49" s="68" t="s">
        <v>39</v>
      </c>
      <c r="H49" s="68" t="s">
        <v>40</v>
      </c>
      <c r="I49" s="68"/>
      <c r="J49" s="69">
        <v>0</v>
      </c>
      <c r="K49" s="69">
        <v>0</v>
      </c>
      <c r="L49" s="69"/>
      <c r="M49" s="69"/>
      <c r="N49" s="69">
        <v>2</v>
      </c>
      <c r="O49" s="69"/>
      <c r="P49" s="69"/>
      <c r="Q49" s="69"/>
      <c r="R49" s="69"/>
      <c r="S49" s="69"/>
      <c r="T49" s="68" t="s">
        <v>105</v>
      </c>
      <c r="U49" s="68">
        <v>20000115</v>
      </c>
      <c r="V49" s="68" t="s">
        <v>106</v>
      </c>
      <c r="W49" s="68"/>
      <c r="X49" s="68"/>
      <c r="Y49" s="68"/>
      <c r="Z49" s="68"/>
      <c r="AA49" s="68"/>
      <c r="AB49" s="68"/>
      <c r="AC49" s="68"/>
      <c r="AE49" s="68"/>
      <c r="AF49" s="68"/>
      <c r="AG49" s="68"/>
      <c r="AK49" s="68"/>
      <c r="AL49" s="68"/>
    </row>
    <row r="50" spans="1:38" s="56" customFormat="1" ht="18" customHeight="1" x14ac:dyDescent="0.15">
      <c r="A50" s="68">
        <v>10021201</v>
      </c>
      <c r="B50" s="68" t="s">
        <v>143</v>
      </c>
      <c r="C50" s="68"/>
      <c r="D50" s="68" t="str">
        <f t="shared" si="1"/>
        <v>100212</v>
      </c>
      <c r="E50" s="68" t="str">
        <f t="shared" si="7"/>
        <v>1</v>
      </c>
      <c r="F50" s="68">
        <v>1</v>
      </c>
      <c r="G50" s="68" t="s">
        <v>39</v>
      </c>
      <c r="H50" s="68" t="s">
        <v>40</v>
      </c>
      <c r="I50" s="68"/>
      <c r="J50" s="69">
        <v>0</v>
      </c>
      <c r="K50" s="69">
        <v>0</v>
      </c>
      <c r="L50" s="69"/>
      <c r="M50" s="69"/>
      <c r="N50" s="69">
        <v>3</v>
      </c>
      <c r="O50" s="69"/>
      <c r="P50" s="69"/>
      <c r="Q50" s="69"/>
      <c r="R50" s="69"/>
      <c r="S50" s="69"/>
      <c r="T50" s="68" t="s">
        <v>105</v>
      </c>
      <c r="U50" s="68">
        <v>20000115</v>
      </c>
      <c r="V50" s="68" t="s">
        <v>112</v>
      </c>
      <c r="W50" s="68"/>
      <c r="X50" s="68"/>
      <c r="Y50" s="68"/>
      <c r="Z50" s="68"/>
      <c r="AA50" s="68"/>
      <c r="AB50" s="68"/>
      <c r="AC50" s="68"/>
      <c r="AE50" s="68"/>
      <c r="AF50" s="68"/>
      <c r="AG50" s="68"/>
      <c r="AK50" s="68"/>
      <c r="AL50" s="68"/>
    </row>
    <row r="51" spans="1:38" s="56" customFormat="1" ht="18" customHeight="1" x14ac:dyDescent="0.15">
      <c r="A51" s="68">
        <v>10022001</v>
      </c>
      <c r="B51" s="68" t="s">
        <v>144</v>
      </c>
      <c r="C51" s="68"/>
      <c r="D51" s="68" t="str">
        <f t="shared" si="1"/>
        <v>100220</v>
      </c>
      <c r="E51" s="68" t="str">
        <f t="shared" si="7"/>
        <v>1</v>
      </c>
      <c r="F51" s="68">
        <v>1</v>
      </c>
      <c r="G51" s="68" t="s">
        <v>39</v>
      </c>
      <c r="H51" s="68" t="s">
        <v>40</v>
      </c>
      <c r="I51" s="68" t="s">
        <v>145</v>
      </c>
      <c r="J51" s="69">
        <v>75000</v>
      </c>
      <c r="K51" s="69">
        <v>700</v>
      </c>
      <c r="L51" s="69"/>
      <c r="M51" s="69"/>
      <c r="N51" s="69">
        <v>1</v>
      </c>
      <c r="O51" s="69"/>
      <c r="P51" s="69"/>
      <c r="Q51" s="69">
        <v>1000</v>
      </c>
      <c r="R51" s="69">
        <v>-10000</v>
      </c>
      <c r="S51" s="69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E51" s="68"/>
      <c r="AF51" s="68"/>
      <c r="AG51" s="68"/>
      <c r="AL51" s="68"/>
    </row>
    <row r="52" spans="1:38" s="56" customFormat="1" ht="18" customHeight="1" x14ac:dyDescent="0.15">
      <c r="A52" s="68">
        <v>10022101</v>
      </c>
      <c r="B52" s="68" t="s">
        <v>146</v>
      </c>
      <c r="C52" s="68"/>
      <c r="D52" s="68" t="str">
        <f t="shared" si="1"/>
        <v>100221</v>
      </c>
      <c r="E52" s="68" t="str">
        <f t="shared" si="7"/>
        <v>1</v>
      </c>
      <c r="F52" s="68">
        <v>1</v>
      </c>
      <c r="G52" s="68" t="s">
        <v>39</v>
      </c>
      <c r="H52" s="68" t="s">
        <v>40</v>
      </c>
      <c r="I52" s="68"/>
      <c r="J52" s="69">
        <v>0</v>
      </c>
      <c r="K52" s="69">
        <v>0</v>
      </c>
      <c r="L52" s="69"/>
      <c r="M52" s="69"/>
      <c r="N52" s="69">
        <v>2</v>
      </c>
      <c r="O52" s="69"/>
      <c r="P52" s="69"/>
      <c r="Q52" s="69"/>
      <c r="R52" s="69"/>
      <c r="S52" s="69"/>
      <c r="T52" s="68" t="s">
        <v>105</v>
      </c>
      <c r="U52" s="68">
        <v>20000111</v>
      </c>
      <c r="V52" s="68" t="s">
        <v>106</v>
      </c>
      <c r="W52" s="68"/>
      <c r="X52" s="68"/>
      <c r="Y52" s="68"/>
      <c r="Z52" s="68"/>
      <c r="AA52" s="68"/>
      <c r="AB52" s="68"/>
      <c r="AC52" s="68"/>
      <c r="AE52" s="68"/>
      <c r="AF52" s="68"/>
      <c r="AG52" s="68"/>
      <c r="AK52" s="68"/>
      <c r="AL52" s="68"/>
    </row>
    <row r="53" spans="1:38" s="56" customFormat="1" ht="18" customHeight="1" x14ac:dyDescent="0.15">
      <c r="A53" s="68">
        <v>10022201</v>
      </c>
      <c r="B53" s="68" t="s">
        <v>147</v>
      </c>
      <c r="C53" s="68"/>
      <c r="D53" s="68" t="str">
        <f t="shared" si="1"/>
        <v>100222</v>
      </c>
      <c r="E53" s="68" t="str">
        <f t="shared" si="7"/>
        <v>1</v>
      </c>
      <c r="F53" s="68">
        <v>1</v>
      </c>
      <c r="G53" s="68" t="s">
        <v>39</v>
      </c>
      <c r="H53" s="68" t="s">
        <v>40</v>
      </c>
      <c r="I53" s="68"/>
      <c r="J53" s="69">
        <v>0</v>
      </c>
      <c r="K53" s="69">
        <v>0</v>
      </c>
      <c r="L53" s="69"/>
      <c r="M53" s="69"/>
      <c r="N53" s="69">
        <v>3</v>
      </c>
      <c r="O53" s="69"/>
      <c r="P53" s="69"/>
      <c r="Q53" s="69"/>
      <c r="R53" s="69"/>
      <c r="S53" s="69"/>
      <c r="T53" s="68" t="s">
        <v>105</v>
      </c>
      <c r="U53" s="68">
        <v>20000111</v>
      </c>
      <c r="V53" s="68" t="s">
        <v>112</v>
      </c>
      <c r="W53" s="68"/>
      <c r="X53" s="68"/>
      <c r="Y53" s="68"/>
      <c r="Z53" s="68"/>
      <c r="AA53" s="68"/>
      <c r="AB53" s="68"/>
      <c r="AC53" s="68"/>
      <c r="AE53" s="68"/>
      <c r="AF53" s="68"/>
      <c r="AG53" s="68"/>
      <c r="AK53" s="68"/>
      <c r="AL53" s="68"/>
    </row>
    <row r="54" spans="1:38" s="57" customFormat="1" ht="18" customHeight="1" x14ac:dyDescent="0.15">
      <c r="A54" s="58">
        <v>11000001</v>
      </c>
      <c r="B54" s="58" t="s">
        <v>38</v>
      </c>
      <c r="C54" s="58"/>
      <c r="D54" s="58" t="str">
        <f t="shared" si="1"/>
        <v>110000</v>
      </c>
      <c r="E54" s="58" t="str">
        <f t="shared" si="7"/>
        <v>1</v>
      </c>
      <c r="F54" s="58">
        <v>1</v>
      </c>
      <c r="G54" s="58" t="s">
        <v>148</v>
      </c>
      <c r="H54" s="58" t="s">
        <v>40</v>
      </c>
      <c r="I54" s="58" t="s">
        <v>41</v>
      </c>
      <c r="J54" s="70">
        <v>0</v>
      </c>
      <c r="K54" s="70">
        <v>0</v>
      </c>
      <c r="L54" s="70"/>
      <c r="M54" s="70"/>
      <c r="N54" s="70">
        <v>1</v>
      </c>
      <c r="O54" s="70"/>
      <c r="P54" s="70"/>
      <c r="Q54" s="70"/>
      <c r="R54" s="70"/>
      <c r="S54" s="70"/>
      <c r="T54" s="58" t="s">
        <v>42</v>
      </c>
      <c r="U54" s="58">
        <v>20000217</v>
      </c>
      <c r="V54" s="58"/>
      <c r="W54" s="58"/>
      <c r="X54" s="58"/>
      <c r="Y54" s="58" t="s">
        <v>43</v>
      </c>
      <c r="Z54" s="58">
        <v>10</v>
      </c>
      <c r="AA54" s="58"/>
      <c r="AB54" s="58"/>
      <c r="AC54" s="58"/>
      <c r="AD54" s="57" t="s">
        <v>149</v>
      </c>
      <c r="AE54" s="58" t="s">
        <v>150</v>
      </c>
      <c r="AF54" s="58" t="s">
        <v>150</v>
      </c>
      <c r="AG54" s="58" t="s">
        <v>150</v>
      </c>
      <c r="AH54" s="57" t="s">
        <v>151</v>
      </c>
      <c r="AI54" s="57" t="s">
        <v>152</v>
      </c>
      <c r="AJ54" s="57" t="s">
        <v>151</v>
      </c>
    </row>
    <row r="55" spans="1:38" s="57" customFormat="1" ht="18" customHeight="1" x14ac:dyDescent="0.15">
      <c r="A55" s="58">
        <v>11001001</v>
      </c>
      <c r="B55" s="58" t="s">
        <v>48</v>
      </c>
      <c r="C55" s="58"/>
      <c r="D55" s="58" t="str">
        <f t="shared" si="1"/>
        <v>110010</v>
      </c>
      <c r="E55" s="58" t="str">
        <f t="shared" ref="E55:E96" si="8">RIGHT(A55,1)</f>
        <v>1</v>
      </c>
      <c r="F55" s="58">
        <v>1</v>
      </c>
      <c r="G55" s="58" t="s">
        <v>148</v>
      </c>
      <c r="H55" s="58" t="s">
        <v>40</v>
      </c>
      <c r="I55" s="58" t="s">
        <v>41</v>
      </c>
      <c r="J55" s="70">
        <v>75000</v>
      </c>
      <c r="K55" s="70">
        <v>1000</v>
      </c>
      <c r="L55" s="70"/>
      <c r="M55" s="70"/>
      <c r="N55" s="70">
        <v>1</v>
      </c>
      <c r="O55" s="70"/>
      <c r="P55" s="70"/>
      <c r="Q55" s="70"/>
      <c r="R55" s="70"/>
      <c r="S55" s="70"/>
      <c r="T55" s="58" t="s">
        <v>42</v>
      </c>
      <c r="U55" s="58">
        <v>20000218</v>
      </c>
      <c r="V55" s="58"/>
      <c r="W55" s="58"/>
      <c r="X55" s="58"/>
      <c r="Y55" s="58"/>
      <c r="Z55" s="58"/>
      <c r="AA55" s="58"/>
      <c r="AB55" s="58"/>
      <c r="AC55" s="58"/>
      <c r="AD55" s="57" t="s">
        <v>153</v>
      </c>
      <c r="AE55" s="58" t="s">
        <v>154</v>
      </c>
      <c r="AF55" s="58" t="s">
        <v>154</v>
      </c>
      <c r="AG55" s="58" t="s">
        <v>154</v>
      </c>
      <c r="AH55" s="57" t="s">
        <v>155</v>
      </c>
      <c r="AI55" s="57" t="s">
        <v>156</v>
      </c>
      <c r="AJ55" s="57" t="s">
        <v>155</v>
      </c>
    </row>
    <row r="56" spans="1:38" s="57" customFormat="1" ht="18" customHeight="1" x14ac:dyDescent="0.15">
      <c r="A56" s="58">
        <v>11002001</v>
      </c>
      <c r="B56" s="58" t="s">
        <v>53</v>
      </c>
      <c r="C56" s="58"/>
      <c r="D56" s="58" t="str">
        <f t="shared" si="1"/>
        <v>110020</v>
      </c>
      <c r="E56" s="58" t="str">
        <f t="shared" si="8"/>
        <v>1</v>
      </c>
      <c r="F56" s="58">
        <v>1</v>
      </c>
      <c r="G56" s="58" t="s">
        <v>148</v>
      </c>
      <c r="H56" s="58" t="s">
        <v>40</v>
      </c>
      <c r="I56" s="58" t="s">
        <v>41</v>
      </c>
      <c r="J56" s="70">
        <v>90000</v>
      </c>
      <c r="K56" s="70">
        <v>1000</v>
      </c>
      <c r="L56" s="70"/>
      <c r="M56" s="70"/>
      <c r="N56" s="70">
        <v>2</v>
      </c>
      <c r="O56" s="70"/>
      <c r="P56" s="70"/>
      <c r="Q56" s="70"/>
      <c r="R56" s="70"/>
      <c r="S56" s="70"/>
      <c r="T56" s="58" t="s">
        <v>42</v>
      </c>
      <c r="U56" s="58">
        <v>20000219</v>
      </c>
      <c r="V56" s="58"/>
      <c r="W56" s="58"/>
      <c r="X56" s="58"/>
      <c r="Y56" s="58"/>
      <c r="Z56" s="58"/>
      <c r="AA56" s="58"/>
      <c r="AB56" s="58"/>
      <c r="AC56" s="58"/>
      <c r="AD56" s="57" t="s">
        <v>157</v>
      </c>
      <c r="AE56" s="58" t="s">
        <v>158</v>
      </c>
      <c r="AF56" s="58" t="s">
        <v>158</v>
      </c>
      <c r="AG56" s="58" t="s">
        <v>158</v>
      </c>
      <c r="AH56" s="57" t="s">
        <v>56</v>
      </c>
      <c r="AI56" s="57" t="s">
        <v>57</v>
      </c>
      <c r="AJ56" s="57" t="s">
        <v>56</v>
      </c>
    </row>
    <row r="57" spans="1:38" s="57" customFormat="1" ht="18" customHeight="1" x14ac:dyDescent="0.15">
      <c r="A57" s="58">
        <v>11003001</v>
      </c>
      <c r="B57" s="58" t="s">
        <v>58</v>
      </c>
      <c r="C57" s="58"/>
      <c r="D57" s="58" t="str">
        <f t="shared" si="1"/>
        <v>110030</v>
      </c>
      <c r="E57" s="58" t="str">
        <f t="shared" si="8"/>
        <v>1</v>
      </c>
      <c r="F57" s="58">
        <v>4</v>
      </c>
      <c r="G57" s="58" t="s">
        <v>148</v>
      </c>
      <c r="H57" s="58" t="s">
        <v>59</v>
      </c>
      <c r="I57" s="58" t="s">
        <v>60</v>
      </c>
      <c r="J57" s="70">
        <v>20000</v>
      </c>
      <c r="K57" s="70">
        <v>250</v>
      </c>
      <c r="L57" s="70"/>
      <c r="M57" s="70"/>
      <c r="N57" s="70">
        <v>1</v>
      </c>
      <c r="O57" s="70"/>
      <c r="P57" s="70"/>
      <c r="Q57" s="70"/>
      <c r="R57" s="70"/>
      <c r="S57" s="70"/>
      <c r="T57" s="58" t="s">
        <v>43</v>
      </c>
      <c r="U57" s="58">
        <v>5</v>
      </c>
      <c r="V57" s="58"/>
      <c r="W57" s="58"/>
      <c r="X57" s="58"/>
      <c r="Y57" s="58"/>
      <c r="Z57" s="58"/>
      <c r="AA57" s="58"/>
      <c r="AB57" s="58"/>
      <c r="AC57" s="58"/>
      <c r="AD57" s="57" t="s">
        <v>61</v>
      </c>
      <c r="AE57" s="58" t="s">
        <v>62</v>
      </c>
      <c r="AF57" s="58" t="s">
        <v>62</v>
      </c>
      <c r="AG57" s="58" t="s">
        <v>62</v>
      </c>
      <c r="AH57" s="57" t="s">
        <v>63</v>
      </c>
      <c r="AI57" s="57" t="s">
        <v>64</v>
      </c>
      <c r="AJ57" s="57" t="s">
        <v>63</v>
      </c>
      <c r="AK57" s="58"/>
      <c r="AL57" s="58"/>
    </row>
    <row r="58" spans="1:38" s="57" customFormat="1" ht="18" customHeight="1" x14ac:dyDescent="0.15">
      <c r="A58" s="58">
        <v>11003002</v>
      </c>
      <c r="B58" s="58" t="s">
        <v>65</v>
      </c>
      <c r="C58" s="58"/>
      <c r="D58" s="58" t="str">
        <f t="shared" si="1"/>
        <v>110030</v>
      </c>
      <c r="E58" s="58" t="str">
        <f t="shared" si="8"/>
        <v>2</v>
      </c>
      <c r="F58" s="58">
        <v>4</v>
      </c>
      <c r="G58" s="58" t="s">
        <v>148</v>
      </c>
      <c r="H58" s="58" t="s">
        <v>59</v>
      </c>
      <c r="I58" s="58" t="s">
        <v>60</v>
      </c>
      <c r="J58" s="70">
        <v>20000</v>
      </c>
      <c r="K58" s="70">
        <v>250</v>
      </c>
      <c r="L58" s="70"/>
      <c r="M58" s="70"/>
      <c r="N58" s="70">
        <v>1</v>
      </c>
      <c r="O58" s="70"/>
      <c r="P58" s="70"/>
      <c r="Q58" s="70"/>
      <c r="R58" s="70"/>
      <c r="S58" s="70"/>
      <c r="T58" s="58" t="s">
        <v>43</v>
      </c>
      <c r="U58" s="58">
        <v>5</v>
      </c>
      <c r="V58" s="58"/>
      <c r="W58" s="58"/>
      <c r="X58" s="58"/>
      <c r="Y58" s="58"/>
      <c r="Z58" s="58"/>
      <c r="AA58" s="58"/>
      <c r="AB58" s="58"/>
      <c r="AC58" s="58"/>
      <c r="AD58" s="57" t="s">
        <v>61</v>
      </c>
      <c r="AE58" s="58" t="s">
        <v>62</v>
      </c>
      <c r="AF58" s="58" t="s">
        <v>62</v>
      </c>
      <c r="AG58" s="58" t="s">
        <v>62</v>
      </c>
      <c r="AH58" s="57" t="s">
        <v>63</v>
      </c>
      <c r="AI58" s="57" t="s">
        <v>64</v>
      </c>
      <c r="AJ58" s="57" t="s">
        <v>63</v>
      </c>
      <c r="AK58" s="58"/>
      <c r="AL58" s="58"/>
    </row>
    <row r="59" spans="1:38" s="57" customFormat="1" ht="18" customHeight="1" x14ac:dyDescent="0.15">
      <c r="A59" s="58">
        <v>11003003</v>
      </c>
      <c r="B59" s="58" t="s">
        <v>66</v>
      </c>
      <c r="C59" s="58"/>
      <c r="D59" s="58" t="str">
        <f t="shared" si="1"/>
        <v>110030</v>
      </c>
      <c r="E59" s="58" t="str">
        <f t="shared" si="8"/>
        <v>3</v>
      </c>
      <c r="F59" s="58">
        <v>4</v>
      </c>
      <c r="G59" s="58" t="s">
        <v>148</v>
      </c>
      <c r="H59" s="58" t="s">
        <v>59</v>
      </c>
      <c r="I59" s="58" t="s">
        <v>60</v>
      </c>
      <c r="J59" s="70">
        <v>20000</v>
      </c>
      <c r="K59" s="70">
        <v>250</v>
      </c>
      <c r="L59" s="70"/>
      <c r="M59" s="70"/>
      <c r="N59" s="70">
        <v>1</v>
      </c>
      <c r="O59" s="70"/>
      <c r="P59" s="70"/>
      <c r="Q59" s="70"/>
      <c r="R59" s="70"/>
      <c r="S59" s="70"/>
      <c r="T59" s="58" t="s">
        <v>43</v>
      </c>
      <c r="U59" s="58">
        <v>5</v>
      </c>
      <c r="V59" s="58"/>
      <c r="W59" s="58"/>
      <c r="X59" s="58"/>
      <c r="Y59" s="58"/>
      <c r="Z59" s="58"/>
      <c r="AA59" s="58"/>
      <c r="AB59" s="58"/>
      <c r="AC59" s="58"/>
      <c r="AD59" s="57" t="s">
        <v>61</v>
      </c>
      <c r="AE59" s="58" t="s">
        <v>62</v>
      </c>
      <c r="AF59" s="58" t="s">
        <v>62</v>
      </c>
      <c r="AG59" s="58" t="s">
        <v>62</v>
      </c>
      <c r="AH59" s="57" t="s">
        <v>63</v>
      </c>
      <c r="AI59" s="57" t="s">
        <v>64</v>
      </c>
      <c r="AJ59" s="57" t="s">
        <v>63</v>
      </c>
      <c r="AK59" s="58"/>
      <c r="AL59" s="58"/>
    </row>
    <row r="60" spans="1:38" s="57" customFormat="1" ht="18" customHeight="1" x14ac:dyDescent="0.15">
      <c r="A60" s="58">
        <v>11003004</v>
      </c>
      <c r="B60" s="58" t="s">
        <v>67</v>
      </c>
      <c r="C60" s="58"/>
      <c r="D60" s="58" t="str">
        <f t="shared" si="1"/>
        <v>110030</v>
      </c>
      <c r="E60" s="58" t="str">
        <f t="shared" si="8"/>
        <v>4</v>
      </c>
      <c r="F60" s="58">
        <v>4</v>
      </c>
      <c r="G60" s="58" t="s">
        <v>148</v>
      </c>
      <c r="H60" s="58" t="s">
        <v>59</v>
      </c>
      <c r="I60" s="58" t="s">
        <v>60</v>
      </c>
      <c r="J60" s="70">
        <v>20000</v>
      </c>
      <c r="K60" s="70">
        <v>250</v>
      </c>
      <c r="L60" s="70"/>
      <c r="M60" s="70"/>
      <c r="N60" s="70">
        <v>1</v>
      </c>
      <c r="O60" s="70"/>
      <c r="P60" s="70"/>
      <c r="Q60" s="70"/>
      <c r="R60" s="70"/>
      <c r="S60" s="70"/>
      <c r="T60" s="58" t="s">
        <v>43</v>
      </c>
      <c r="U60" s="58">
        <v>5</v>
      </c>
      <c r="V60" s="58"/>
      <c r="W60" s="58"/>
      <c r="X60" s="58"/>
      <c r="Y60" s="58"/>
      <c r="Z60" s="58"/>
      <c r="AA60" s="58"/>
      <c r="AB60" s="58"/>
      <c r="AC60" s="58"/>
      <c r="AD60" s="57" t="s">
        <v>61</v>
      </c>
      <c r="AE60" s="58" t="s">
        <v>62</v>
      </c>
      <c r="AF60" s="58" t="s">
        <v>62</v>
      </c>
      <c r="AG60" s="58" t="s">
        <v>62</v>
      </c>
      <c r="AH60" s="57" t="s">
        <v>63</v>
      </c>
      <c r="AI60" s="57" t="s">
        <v>64</v>
      </c>
      <c r="AJ60" s="57" t="s">
        <v>63</v>
      </c>
      <c r="AK60" s="58"/>
      <c r="AL60" s="58"/>
    </row>
    <row r="61" spans="1:38" s="57" customFormat="1" ht="18" customHeight="1" x14ac:dyDescent="0.15">
      <c r="A61" s="58">
        <v>11004001</v>
      </c>
      <c r="B61" s="58" t="s">
        <v>68</v>
      </c>
      <c r="C61" s="58"/>
      <c r="D61" s="58" t="str">
        <f t="shared" si="1"/>
        <v>110040</v>
      </c>
      <c r="E61" s="58" t="str">
        <f t="shared" si="8"/>
        <v>1</v>
      </c>
      <c r="F61" s="58">
        <v>3</v>
      </c>
      <c r="G61" s="58" t="s">
        <v>148</v>
      </c>
      <c r="H61" s="58" t="s">
        <v>59</v>
      </c>
      <c r="I61" s="58" t="s">
        <v>69</v>
      </c>
      <c r="J61" s="58">
        <v>30000</v>
      </c>
      <c r="K61" s="70">
        <v>250</v>
      </c>
      <c r="L61" s="58"/>
      <c r="M61" s="58"/>
      <c r="N61" s="70">
        <v>1</v>
      </c>
      <c r="O61" s="70"/>
      <c r="P61" s="70"/>
      <c r="Q61" s="70"/>
      <c r="R61" s="70"/>
      <c r="S61" s="70"/>
      <c r="T61" s="58" t="s">
        <v>70</v>
      </c>
      <c r="U61" s="58" t="s">
        <v>71</v>
      </c>
      <c r="V61" s="58"/>
      <c r="W61" s="58"/>
      <c r="X61" s="58"/>
      <c r="Y61" s="58"/>
      <c r="Z61" s="58"/>
      <c r="AA61" s="58"/>
      <c r="AB61" s="58"/>
      <c r="AC61" s="58"/>
      <c r="AD61" s="57" t="s">
        <v>72</v>
      </c>
      <c r="AE61" s="58" t="s">
        <v>73</v>
      </c>
      <c r="AF61" s="58" t="s">
        <v>73</v>
      </c>
      <c r="AG61" s="58" t="s">
        <v>73</v>
      </c>
      <c r="AH61" s="83" t="s">
        <v>397</v>
      </c>
      <c r="AI61" s="83" t="s">
        <v>398</v>
      </c>
      <c r="AJ61" s="83" t="s">
        <v>397</v>
      </c>
      <c r="AK61" s="58"/>
      <c r="AL61" s="58"/>
    </row>
    <row r="62" spans="1:38" s="57" customFormat="1" ht="18" customHeight="1" x14ac:dyDescent="0.15">
      <c r="A62" s="58">
        <v>11004002</v>
      </c>
      <c r="B62" s="58" t="s">
        <v>74</v>
      </c>
      <c r="C62" s="58"/>
      <c r="D62" s="58" t="str">
        <f t="shared" si="1"/>
        <v>110040</v>
      </c>
      <c r="E62" s="58" t="str">
        <f t="shared" si="8"/>
        <v>2</v>
      </c>
      <c r="F62" s="58">
        <v>3</v>
      </c>
      <c r="G62" s="58" t="s">
        <v>148</v>
      </c>
      <c r="H62" s="58" t="s">
        <v>59</v>
      </c>
      <c r="I62" s="58" t="s">
        <v>69</v>
      </c>
      <c r="J62" s="58">
        <v>45000</v>
      </c>
      <c r="K62" s="70">
        <v>500</v>
      </c>
      <c r="L62" s="58"/>
      <c r="M62" s="58"/>
      <c r="N62" s="70">
        <v>2</v>
      </c>
      <c r="O62" s="70"/>
      <c r="P62" s="70"/>
      <c r="Q62" s="70"/>
      <c r="R62" s="70"/>
      <c r="S62" s="70"/>
      <c r="T62" s="58" t="s">
        <v>70</v>
      </c>
      <c r="U62" s="58" t="s">
        <v>71</v>
      </c>
      <c r="V62" s="58"/>
      <c r="W62" s="58"/>
      <c r="X62" s="58"/>
      <c r="Y62" s="58"/>
      <c r="Z62" s="58"/>
      <c r="AA62" s="58"/>
      <c r="AB62" s="58"/>
      <c r="AC62" s="58"/>
      <c r="AD62" s="57" t="s">
        <v>75</v>
      </c>
      <c r="AE62" s="58" t="s">
        <v>76</v>
      </c>
      <c r="AF62" s="58" t="s">
        <v>76</v>
      </c>
      <c r="AG62" s="58" t="s">
        <v>76</v>
      </c>
      <c r="AH62" s="83" t="s">
        <v>399</v>
      </c>
      <c r="AI62" s="83" t="s">
        <v>400</v>
      </c>
      <c r="AJ62" s="83" t="s">
        <v>399</v>
      </c>
      <c r="AK62" s="58"/>
      <c r="AL62" s="58"/>
    </row>
    <row r="63" spans="1:38" s="57" customFormat="1" ht="18" customHeight="1" x14ac:dyDescent="0.15">
      <c r="A63" s="58">
        <v>11004003</v>
      </c>
      <c r="B63" s="58" t="s">
        <v>77</v>
      </c>
      <c r="C63" s="58"/>
      <c r="D63" s="58" t="str">
        <f t="shared" si="1"/>
        <v>110040</v>
      </c>
      <c r="E63" s="58" t="str">
        <f t="shared" si="8"/>
        <v>3</v>
      </c>
      <c r="F63" s="58">
        <v>3</v>
      </c>
      <c r="G63" s="58" t="s">
        <v>148</v>
      </c>
      <c r="H63" s="58" t="s">
        <v>59</v>
      </c>
      <c r="I63" s="58" t="s">
        <v>69</v>
      </c>
      <c r="J63" s="58">
        <v>60000</v>
      </c>
      <c r="K63" s="70">
        <v>800</v>
      </c>
      <c r="L63" s="58"/>
      <c r="M63" s="58"/>
      <c r="N63" s="70">
        <v>3</v>
      </c>
      <c r="O63" s="70"/>
      <c r="P63" s="70"/>
      <c r="Q63" s="70"/>
      <c r="R63" s="70"/>
      <c r="S63" s="70"/>
      <c r="T63" s="58" t="s">
        <v>70</v>
      </c>
      <c r="U63" s="58" t="s">
        <v>71</v>
      </c>
      <c r="V63" s="58"/>
      <c r="W63" s="58"/>
      <c r="X63" s="58"/>
      <c r="Y63" s="58"/>
      <c r="Z63" s="58"/>
      <c r="AA63" s="58"/>
      <c r="AB63" s="58"/>
      <c r="AC63" s="58"/>
      <c r="AD63" s="57" t="s">
        <v>78</v>
      </c>
      <c r="AE63" s="58" t="s">
        <v>79</v>
      </c>
      <c r="AF63" s="58" t="s">
        <v>79</v>
      </c>
      <c r="AG63" s="58" t="s">
        <v>79</v>
      </c>
      <c r="AH63" s="83" t="s">
        <v>401</v>
      </c>
      <c r="AI63" s="83" t="s">
        <v>402</v>
      </c>
      <c r="AJ63" s="83" t="s">
        <v>401</v>
      </c>
      <c r="AK63" s="58"/>
      <c r="AL63" s="58"/>
    </row>
    <row r="64" spans="1:38" s="57" customFormat="1" ht="18" customHeight="1" x14ac:dyDescent="0.15">
      <c r="A64" s="58">
        <v>11005001</v>
      </c>
      <c r="B64" s="58" t="s">
        <v>80</v>
      </c>
      <c r="C64" s="58"/>
      <c r="D64" s="58" t="str">
        <f t="shared" si="1"/>
        <v>110050</v>
      </c>
      <c r="E64" s="58" t="str">
        <f t="shared" si="8"/>
        <v>1</v>
      </c>
      <c r="F64" s="58">
        <v>3</v>
      </c>
      <c r="G64" s="58" t="s">
        <v>148</v>
      </c>
      <c r="H64" s="58" t="s">
        <v>59</v>
      </c>
      <c r="I64" s="58" t="s">
        <v>81</v>
      </c>
      <c r="J64" s="58">
        <v>30000</v>
      </c>
      <c r="K64" s="70">
        <v>250</v>
      </c>
      <c r="L64" s="58"/>
      <c r="M64" s="58"/>
      <c r="N64" s="70">
        <v>1</v>
      </c>
      <c r="O64" s="70"/>
      <c r="P64" s="70"/>
      <c r="Q64" s="70"/>
      <c r="R64" s="70"/>
      <c r="S64" s="70"/>
      <c r="T64" s="58" t="s">
        <v>70</v>
      </c>
      <c r="U64" s="58" t="s">
        <v>82</v>
      </c>
      <c r="V64" s="58"/>
      <c r="W64" s="58"/>
      <c r="X64" s="58"/>
      <c r="Y64" s="58"/>
      <c r="Z64" s="58"/>
      <c r="AA64" s="58"/>
      <c r="AB64" s="58"/>
      <c r="AC64" s="58"/>
      <c r="AD64" s="57" t="s">
        <v>83</v>
      </c>
      <c r="AE64" s="58" t="s">
        <v>84</v>
      </c>
      <c r="AF64" s="58" t="s">
        <v>84</v>
      </c>
      <c r="AG64" s="58" t="s">
        <v>84</v>
      </c>
      <c r="AH64" s="83" t="s">
        <v>403</v>
      </c>
      <c r="AI64" s="83" t="s">
        <v>404</v>
      </c>
      <c r="AJ64" s="83" t="s">
        <v>403</v>
      </c>
      <c r="AK64" s="58"/>
      <c r="AL64" s="58"/>
    </row>
    <row r="65" spans="1:38" s="57" customFormat="1" ht="18" customHeight="1" x14ac:dyDescent="0.15">
      <c r="A65" s="58">
        <v>11005002</v>
      </c>
      <c r="B65" s="58" t="s">
        <v>85</v>
      </c>
      <c r="C65" s="58"/>
      <c r="D65" s="58" t="str">
        <f t="shared" si="1"/>
        <v>110050</v>
      </c>
      <c r="E65" s="58" t="str">
        <f t="shared" si="8"/>
        <v>2</v>
      </c>
      <c r="F65" s="58">
        <v>3</v>
      </c>
      <c r="G65" s="58" t="s">
        <v>148</v>
      </c>
      <c r="H65" s="58" t="s">
        <v>59</v>
      </c>
      <c r="I65" s="58" t="s">
        <v>81</v>
      </c>
      <c r="J65" s="58">
        <v>45000</v>
      </c>
      <c r="K65" s="70">
        <v>500</v>
      </c>
      <c r="L65" s="58"/>
      <c r="M65" s="58"/>
      <c r="N65" s="70">
        <v>2</v>
      </c>
      <c r="O65" s="70"/>
      <c r="P65" s="70"/>
      <c r="Q65" s="70"/>
      <c r="R65" s="70"/>
      <c r="S65" s="70"/>
      <c r="T65" s="58" t="s">
        <v>70</v>
      </c>
      <c r="U65" s="58" t="s">
        <v>82</v>
      </c>
      <c r="V65" s="58"/>
      <c r="W65" s="58"/>
      <c r="X65" s="58"/>
      <c r="Y65" s="58"/>
      <c r="Z65" s="58"/>
      <c r="AA65" s="58"/>
      <c r="AB65" s="58"/>
      <c r="AC65" s="58"/>
      <c r="AD65" s="57" t="s">
        <v>86</v>
      </c>
      <c r="AE65" s="58" t="s">
        <v>87</v>
      </c>
      <c r="AF65" s="58" t="s">
        <v>87</v>
      </c>
      <c r="AG65" s="58" t="s">
        <v>87</v>
      </c>
      <c r="AH65" s="83" t="s">
        <v>405</v>
      </c>
      <c r="AI65" s="83" t="s">
        <v>406</v>
      </c>
      <c r="AJ65" s="83" t="s">
        <v>405</v>
      </c>
      <c r="AK65" s="58"/>
      <c r="AL65" s="58"/>
    </row>
    <row r="66" spans="1:38" s="57" customFormat="1" ht="18" customHeight="1" x14ac:dyDescent="0.15">
      <c r="A66" s="58">
        <v>11005003</v>
      </c>
      <c r="B66" s="58" t="s">
        <v>88</v>
      </c>
      <c r="C66" s="58"/>
      <c r="D66" s="58" t="str">
        <f t="shared" si="1"/>
        <v>110050</v>
      </c>
      <c r="E66" s="58" t="str">
        <f t="shared" si="8"/>
        <v>3</v>
      </c>
      <c r="F66" s="58">
        <v>3</v>
      </c>
      <c r="G66" s="58" t="s">
        <v>148</v>
      </c>
      <c r="H66" s="58" t="s">
        <v>59</v>
      </c>
      <c r="I66" s="58" t="s">
        <v>81</v>
      </c>
      <c r="J66" s="58">
        <v>60000</v>
      </c>
      <c r="K66" s="70">
        <v>800</v>
      </c>
      <c r="L66" s="58"/>
      <c r="M66" s="58"/>
      <c r="N66" s="70">
        <v>3</v>
      </c>
      <c r="O66" s="70"/>
      <c r="P66" s="70"/>
      <c r="Q66" s="70"/>
      <c r="R66" s="70"/>
      <c r="S66" s="70"/>
      <c r="T66" s="58" t="s">
        <v>70</v>
      </c>
      <c r="U66" s="58" t="s">
        <v>82</v>
      </c>
      <c r="V66" s="58"/>
      <c r="W66" s="58"/>
      <c r="X66" s="58"/>
      <c r="Y66" s="58"/>
      <c r="Z66" s="58"/>
      <c r="AA66" s="58"/>
      <c r="AB66" s="58"/>
      <c r="AC66" s="58"/>
      <c r="AD66" s="57" t="s">
        <v>89</v>
      </c>
      <c r="AE66" s="58" t="s">
        <v>90</v>
      </c>
      <c r="AF66" s="58" t="s">
        <v>90</v>
      </c>
      <c r="AG66" s="58" t="s">
        <v>90</v>
      </c>
      <c r="AH66" s="83" t="s">
        <v>407</v>
      </c>
      <c r="AI66" s="83" t="s">
        <v>408</v>
      </c>
      <c r="AJ66" s="83" t="s">
        <v>407</v>
      </c>
      <c r="AK66" s="58"/>
      <c r="AL66" s="58"/>
    </row>
    <row r="67" spans="1:38" s="57" customFormat="1" ht="18" customHeight="1" x14ac:dyDescent="0.15">
      <c r="A67" s="58">
        <v>11006001</v>
      </c>
      <c r="B67" s="58" t="s">
        <v>159</v>
      </c>
      <c r="C67" s="58"/>
      <c r="D67" s="58" t="str">
        <f t="shared" ref="D67:D74" si="9">LEFT(A67,6)</f>
        <v>110060</v>
      </c>
      <c r="E67" s="58" t="str">
        <f t="shared" si="8"/>
        <v>1</v>
      </c>
      <c r="F67" s="58">
        <v>1</v>
      </c>
      <c r="G67" s="58" t="s">
        <v>148</v>
      </c>
      <c r="H67" s="58" t="s">
        <v>40</v>
      </c>
      <c r="I67" s="58"/>
      <c r="J67" s="70">
        <v>0</v>
      </c>
      <c r="K67" s="70">
        <v>0</v>
      </c>
      <c r="L67" s="70"/>
      <c r="M67" s="70"/>
      <c r="N67" s="58">
        <v>1</v>
      </c>
      <c r="O67" s="58"/>
      <c r="P67" s="58"/>
      <c r="Q67" s="58"/>
      <c r="R67" s="58"/>
      <c r="S67" s="58"/>
      <c r="T67" s="58" t="s">
        <v>92</v>
      </c>
      <c r="U67" s="58">
        <v>20000201</v>
      </c>
      <c r="V67" s="58">
        <v>1</v>
      </c>
      <c r="W67" s="58"/>
      <c r="X67" s="58"/>
      <c r="Y67" s="58"/>
      <c r="Z67" s="58"/>
      <c r="AA67" s="58"/>
      <c r="AB67" s="58"/>
      <c r="AC67" s="58"/>
      <c r="AE67" s="58"/>
      <c r="AF67" s="58"/>
      <c r="AG67" s="58"/>
      <c r="AK67" s="58"/>
      <c r="AL67" s="58"/>
    </row>
    <row r="68" spans="1:38" s="57" customFormat="1" ht="18" customHeight="1" x14ac:dyDescent="0.15">
      <c r="A68" s="58">
        <v>11007001</v>
      </c>
      <c r="B68" s="58" t="s">
        <v>93</v>
      </c>
      <c r="C68" s="58"/>
      <c r="D68" s="58" t="str">
        <f t="shared" si="9"/>
        <v>110070</v>
      </c>
      <c r="E68" s="58" t="str">
        <f t="shared" ref="E68:E74" si="10">RIGHT(A68,1)</f>
        <v>1</v>
      </c>
      <c r="F68" s="58">
        <v>4</v>
      </c>
      <c r="G68" s="58" t="s">
        <v>148</v>
      </c>
      <c r="H68" s="58" t="s">
        <v>59</v>
      </c>
      <c r="I68" s="58" t="s">
        <v>60</v>
      </c>
      <c r="J68" s="70">
        <v>20000</v>
      </c>
      <c r="K68" s="70">
        <v>250</v>
      </c>
      <c r="L68" s="70"/>
      <c r="M68" s="70"/>
      <c r="N68" s="70">
        <v>1</v>
      </c>
      <c r="O68" s="70"/>
      <c r="P68" s="70"/>
      <c r="Q68" s="70"/>
      <c r="R68" s="70"/>
      <c r="S68" s="70"/>
      <c r="T68" s="58" t="s">
        <v>43</v>
      </c>
      <c r="U68" s="58">
        <v>5</v>
      </c>
      <c r="V68" s="58"/>
      <c r="W68" s="58"/>
      <c r="X68" s="58"/>
      <c r="Y68" s="58"/>
      <c r="Z68" s="58"/>
      <c r="AA68" s="58"/>
      <c r="AB68" s="58"/>
      <c r="AC68" s="58"/>
      <c r="AD68" s="57" t="s">
        <v>61</v>
      </c>
      <c r="AE68" s="58" t="s">
        <v>62</v>
      </c>
      <c r="AF68" s="58" t="s">
        <v>62</v>
      </c>
      <c r="AG68" s="58" t="s">
        <v>62</v>
      </c>
      <c r="AH68" s="57" t="s">
        <v>63</v>
      </c>
      <c r="AI68" s="57" t="s">
        <v>64</v>
      </c>
      <c r="AJ68" s="57" t="s">
        <v>63</v>
      </c>
      <c r="AK68" s="58"/>
      <c r="AL68" s="58"/>
    </row>
    <row r="69" spans="1:38" s="57" customFormat="1" ht="18" customHeight="1" x14ac:dyDescent="0.15">
      <c r="A69" s="58">
        <v>11007002</v>
      </c>
      <c r="B69" s="58" t="s">
        <v>94</v>
      </c>
      <c r="C69" s="58"/>
      <c r="D69" s="58" t="str">
        <f t="shared" si="9"/>
        <v>110070</v>
      </c>
      <c r="E69" s="58" t="str">
        <f t="shared" si="10"/>
        <v>2</v>
      </c>
      <c r="F69" s="58">
        <v>4</v>
      </c>
      <c r="G69" s="58" t="s">
        <v>148</v>
      </c>
      <c r="H69" s="58" t="s">
        <v>59</v>
      </c>
      <c r="I69" s="58" t="s">
        <v>60</v>
      </c>
      <c r="J69" s="70">
        <v>20000</v>
      </c>
      <c r="K69" s="70">
        <v>250</v>
      </c>
      <c r="L69" s="70"/>
      <c r="M69" s="70"/>
      <c r="N69" s="70">
        <v>1</v>
      </c>
      <c r="O69" s="70"/>
      <c r="P69" s="70"/>
      <c r="Q69" s="70"/>
      <c r="R69" s="70"/>
      <c r="S69" s="70"/>
      <c r="T69" s="58" t="s">
        <v>43</v>
      </c>
      <c r="U69" s="58">
        <v>5</v>
      </c>
      <c r="V69" s="58"/>
      <c r="W69" s="58"/>
      <c r="X69" s="58"/>
      <c r="Y69" s="58"/>
      <c r="Z69" s="58"/>
      <c r="AA69" s="58"/>
      <c r="AB69" s="58"/>
      <c r="AC69" s="58"/>
      <c r="AD69" s="57" t="s">
        <v>61</v>
      </c>
      <c r="AE69" s="58" t="s">
        <v>62</v>
      </c>
      <c r="AF69" s="58" t="s">
        <v>62</v>
      </c>
      <c r="AG69" s="58" t="s">
        <v>62</v>
      </c>
      <c r="AH69" s="57" t="s">
        <v>63</v>
      </c>
      <c r="AI69" s="57" t="s">
        <v>64</v>
      </c>
      <c r="AJ69" s="57" t="s">
        <v>63</v>
      </c>
      <c r="AK69" s="58"/>
      <c r="AL69" s="58"/>
    </row>
    <row r="70" spans="1:38" s="57" customFormat="1" ht="18" customHeight="1" x14ac:dyDescent="0.15">
      <c r="A70" s="58">
        <v>11007003</v>
      </c>
      <c r="B70" s="58" t="s">
        <v>95</v>
      </c>
      <c r="C70" s="58"/>
      <c r="D70" s="58" t="str">
        <f t="shared" si="9"/>
        <v>110070</v>
      </c>
      <c r="E70" s="58" t="str">
        <f t="shared" si="10"/>
        <v>3</v>
      </c>
      <c r="F70" s="58">
        <v>4</v>
      </c>
      <c r="G70" s="58" t="s">
        <v>148</v>
      </c>
      <c r="H70" s="58" t="s">
        <v>59</v>
      </c>
      <c r="I70" s="58" t="s">
        <v>60</v>
      </c>
      <c r="J70" s="70">
        <v>20000</v>
      </c>
      <c r="K70" s="70">
        <v>250</v>
      </c>
      <c r="L70" s="70"/>
      <c r="M70" s="70"/>
      <c r="N70" s="70">
        <v>1</v>
      </c>
      <c r="O70" s="70"/>
      <c r="P70" s="70"/>
      <c r="Q70" s="70"/>
      <c r="R70" s="70"/>
      <c r="S70" s="70"/>
      <c r="T70" s="58" t="s">
        <v>43</v>
      </c>
      <c r="U70" s="58">
        <v>5</v>
      </c>
      <c r="V70" s="58"/>
      <c r="W70" s="58"/>
      <c r="X70" s="58"/>
      <c r="Y70" s="58"/>
      <c r="Z70" s="58"/>
      <c r="AA70" s="58"/>
      <c r="AB70" s="58"/>
      <c r="AC70" s="58"/>
      <c r="AD70" s="57" t="s">
        <v>61</v>
      </c>
      <c r="AE70" s="58" t="s">
        <v>62</v>
      </c>
      <c r="AF70" s="58" t="s">
        <v>62</v>
      </c>
      <c r="AG70" s="58" t="s">
        <v>62</v>
      </c>
      <c r="AH70" s="57" t="s">
        <v>63</v>
      </c>
      <c r="AI70" s="57" t="s">
        <v>64</v>
      </c>
      <c r="AJ70" s="57" t="s">
        <v>63</v>
      </c>
      <c r="AK70" s="58"/>
      <c r="AL70" s="58"/>
    </row>
    <row r="71" spans="1:38" s="57" customFormat="1" ht="18" customHeight="1" x14ac:dyDescent="0.15">
      <c r="A71" s="58">
        <v>11007004</v>
      </c>
      <c r="B71" s="58" t="s">
        <v>96</v>
      </c>
      <c r="C71" s="58"/>
      <c r="D71" s="58" t="str">
        <f t="shared" si="9"/>
        <v>110070</v>
      </c>
      <c r="E71" s="58" t="str">
        <f t="shared" si="10"/>
        <v>4</v>
      </c>
      <c r="F71" s="58">
        <v>4</v>
      </c>
      <c r="G71" s="58" t="s">
        <v>148</v>
      </c>
      <c r="H71" s="58" t="s">
        <v>59</v>
      </c>
      <c r="I71" s="58" t="s">
        <v>60</v>
      </c>
      <c r="J71" s="70">
        <v>20000</v>
      </c>
      <c r="K71" s="70">
        <v>250</v>
      </c>
      <c r="L71" s="70"/>
      <c r="M71" s="70"/>
      <c r="N71" s="70">
        <v>1</v>
      </c>
      <c r="O71" s="70"/>
      <c r="P71" s="70"/>
      <c r="Q71" s="70"/>
      <c r="R71" s="70"/>
      <c r="S71" s="70"/>
      <c r="T71" s="58" t="s">
        <v>43</v>
      </c>
      <c r="U71" s="58">
        <v>5</v>
      </c>
      <c r="V71" s="58"/>
      <c r="W71" s="58"/>
      <c r="X71" s="58"/>
      <c r="Y71" s="58"/>
      <c r="Z71" s="58"/>
      <c r="AA71" s="58"/>
      <c r="AB71" s="58"/>
      <c r="AC71" s="58"/>
      <c r="AD71" s="57" t="s">
        <v>61</v>
      </c>
      <c r="AE71" s="58" t="s">
        <v>62</v>
      </c>
      <c r="AF71" s="58" t="s">
        <v>62</v>
      </c>
      <c r="AG71" s="58" t="s">
        <v>62</v>
      </c>
      <c r="AH71" s="57" t="s">
        <v>63</v>
      </c>
      <c r="AI71" s="57" t="s">
        <v>64</v>
      </c>
      <c r="AJ71" s="57" t="s">
        <v>63</v>
      </c>
      <c r="AK71" s="58"/>
      <c r="AL71" s="58"/>
    </row>
    <row r="72" spans="1:38" s="57" customFormat="1" ht="18" customHeight="1" x14ac:dyDescent="0.15">
      <c r="A72" s="58">
        <v>11008001</v>
      </c>
      <c r="B72" s="58" t="s">
        <v>97</v>
      </c>
      <c r="C72" s="58"/>
      <c r="D72" s="58" t="str">
        <f t="shared" si="9"/>
        <v>110080</v>
      </c>
      <c r="E72" s="58" t="str">
        <f t="shared" si="10"/>
        <v>1</v>
      </c>
      <c r="F72" s="58">
        <v>1</v>
      </c>
      <c r="G72" s="58" t="s">
        <v>148</v>
      </c>
      <c r="H72" s="58" t="s">
        <v>40</v>
      </c>
      <c r="I72" s="58" t="s">
        <v>41</v>
      </c>
      <c r="J72" s="70">
        <v>0</v>
      </c>
      <c r="K72" s="70">
        <v>0</v>
      </c>
      <c r="L72" s="72"/>
      <c r="M72" s="72"/>
      <c r="N72" s="70">
        <v>1</v>
      </c>
      <c r="O72" s="70"/>
      <c r="P72" s="70"/>
      <c r="Q72" s="70"/>
      <c r="R72" s="70"/>
      <c r="S72" s="70"/>
      <c r="T72" s="58" t="s">
        <v>42</v>
      </c>
      <c r="U72" s="58">
        <v>20000228</v>
      </c>
      <c r="V72" s="58"/>
      <c r="W72" s="58"/>
      <c r="X72" s="58"/>
      <c r="Y72" s="58" t="s">
        <v>43</v>
      </c>
      <c r="Z72" s="58">
        <v>10</v>
      </c>
      <c r="AA72" s="58"/>
      <c r="AB72" s="58"/>
      <c r="AC72" s="58"/>
      <c r="AD72" s="57" t="s">
        <v>149</v>
      </c>
      <c r="AE72" s="58" t="s">
        <v>150</v>
      </c>
      <c r="AF72" s="58" t="s">
        <v>150</v>
      </c>
      <c r="AG72" s="58" t="s">
        <v>150</v>
      </c>
      <c r="AH72" s="57" t="s">
        <v>151</v>
      </c>
      <c r="AI72" s="57" t="s">
        <v>152</v>
      </c>
      <c r="AJ72" s="57" t="s">
        <v>151</v>
      </c>
      <c r="AK72" s="58"/>
      <c r="AL72" s="58"/>
    </row>
    <row r="73" spans="1:38" s="57" customFormat="1" ht="18" customHeight="1" x14ac:dyDescent="0.15">
      <c r="A73" s="58">
        <v>11009001</v>
      </c>
      <c r="B73" s="58" t="s">
        <v>99</v>
      </c>
      <c r="C73" s="58"/>
      <c r="D73" s="58" t="str">
        <f t="shared" si="9"/>
        <v>110090</v>
      </c>
      <c r="E73" s="58" t="str">
        <f t="shared" si="10"/>
        <v>1</v>
      </c>
      <c r="F73" s="58">
        <v>1</v>
      </c>
      <c r="G73" s="58" t="s">
        <v>148</v>
      </c>
      <c r="H73" s="58" t="s">
        <v>40</v>
      </c>
      <c r="I73" s="58" t="s">
        <v>41</v>
      </c>
      <c r="J73" s="70">
        <v>75000</v>
      </c>
      <c r="K73" s="70">
        <v>1000</v>
      </c>
      <c r="L73" s="72"/>
      <c r="M73" s="72"/>
      <c r="N73" s="70">
        <v>1</v>
      </c>
      <c r="O73" s="70"/>
      <c r="P73" s="70"/>
      <c r="Q73" s="70"/>
      <c r="R73" s="70"/>
      <c r="S73" s="70"/>
      <c r="T73" s="58" t="s">
        <v>42</v>
      </c>
      <c r="U73" s="58">
        <v>20000229</v>
      </c>
      <c r="V73" s="58"/>
      <c r="W73" s="58"/>
      <c r="X73" s="58"/>
      <c r="Y73" s="58"/>
      <c r="Z73" s="58"/>
      <c r="AA73" s="58"/>
      <c r="AB73" s="58"/>
      <c r="AC73" s="58"/>
      <c r="AD73" s="57" t="s">
        <v>153</v>
      </c>
      <c r="AE73" s="58" t="s">
        <v>154</v>
      </c>
      <c r="AF73" s="58" t="s">
        <v>154</v>
      </c>
      <c r="AG73" s="58" t="s">
        <v>154</v>
      </c>
      <c r="AH73" s="57" t="s">
        <v>155</v>
      </c>
      <c r="AI73" s="57" t="s">
        <v>156</v>
      </c>
      <c r="AJ73" s="57" t="s">
        <v>155</v>
      </c>
      <c r="AK73" s="58"/>
      <c r="AL73" s="58"/>
    </row>
    <row r="74" spans="1:38" s="57" customFormat="1" ht="18" customHeight="1" x14ac:dyDescent="0.15">
      <c r="A74" s="58">
        <v>11010001</v>
      </c>
      <c r="B74" s="58" t="s">
        <v>100</v>
      </c>
      <c r="C74" s="58"/>
      <c r="D74" s="58" t="str">
        <f t="shared" si="9"/>
        <v>110100</v>
      </c>
      <c r="E74" s="58" t="str">
        <f t="shared" si="10"/>
        <v>1</v>
      </c>
      <c r="F74" s="58">
        <v>1</v>
      </c>
      <c r="G74" s="58" t="s">
        <v>148</v>
      </c>
      <c r="H74" s="58" t="s">
        <v>40</v>
      </c>
      <c r="I74" s="58" t="s">
        <v>41</v>
      </c>
      <c r="J74" s="70">
        <v>90000</v>
      </c>
      <c r="K74" s="70">
        <v>1000</v>
      </c>
      <c r="L74" s="72"/>
      <c r="M74" s="72"/>
      <c r="N74" s="70">
        <v>2</v>
      </c>
      <c r="O74" s="70"/>
      <c r="P74" s="70"/>
      <c r="Q74" s="70"/>
      <c r="R74" s="70"/>
      <c r="S74" s="70"/>
      <c r="T74" s="58" t="s">
        <v>42</v>
      </c>
      <c r="U74" s="58">
        <v>20000230</v>
      </c>
      <c r="V74" s="58"/>
      <c r="W74" s="58"/>
      <c r="X74" s="58"/>
      <c r="Y74" s="58"/>
      <c r="Z74" s="58"/>
      <c r="AA74" s="58"/>
      <c r="AB74" s="58"/>
      <c r="AC74" s="58"/>
      <c r="AD74" s="57" t="s">
        <v>157</v>
      </c>
      <c r="AE74" s="58" t="s">
        <v>158</v>
      </c>
      <c r="AF74" s="58" t="s">
        <v>158</v>
      </c>
      <c r="AG74" s="58" t="s">
        <v>158</v>
      </c>
      <c r="AH74" s="57" t="s">
        <v>56</v>
      </c>
      <c r="AI74" s="57" t="s">
        <v>57</v>
      </c>
      <c r="AJ74" s="57" t="s">
        <v>56</v>
      </c>
      <c r="AK74" s="58"/>
      <c r="AL74" s="58"/>
    </row>
    <row r="75" spans="1:38" s="57" customFormat="1" ht="18" customHeight="1" x14ac:dyDescent="0.15">
      <c r="A75" s="58">
        <v>11011001</v>
      </c>
      <c r="B75" s="58" t="s">
        <v>101</v>
      </c>
      <c r="C75" s="58" t="s">
        <v>102</v>
      </c>
      <c r="D75" s="58" t="str">
        <f t="shared" si="1"/>
        <v>110110</v>
      </c>
      <c r="E75" s="58" t="str">
        <f t="shared" si="8"/>
        <v>1</v>
      </c>
      <c r="F75" s="58">
        <v>1</v>
      </c>
      <c r="G75" s="58" t="s">
        <v>148</v>
      </c>
      <c r="H75" s="58" t="s">
        <v>40</v>
      </c>
      <c r="I75" s="58" t="s">
        <v>103</v>
      </c>
      <c r="J75" s="70">
        <v>24000</v>
      </c>
      <c r="K75" s="70">
        <v>250</v>
      </c>
      <c r="L75" s="72">
        <f>0.6*K75</f>
        <v>150</v>
      </c>
      <c r="M75" s="72">
        <v>0</v>
      </c>
      <c r="N75" s="70">
        <v>1</v>
      </c>
      <c r="O75" s="70"/>
      <c r="P75" s="70"/>
      <c r="Q75" s="70"/>
      <c r="R75" s="70"/>
      <c r="S75" s="70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E75" s="58"/>
      <c r="AF75" s="58"/>
      <c r="AG75" s="58"/>
      <c r="AK75" s="58"/>
      <c r="AL75" s="58"/>
    </row>
    <row r="76" spans="1:38" s="57" customFormat="1" ht="18" customHeight="1" x14ac:dyDescent="0.15">
      <c r="A76" s="58">
        <v>11011101</v>
      </c>
      <c r="B76" s="58" t="s">
        <v>104</v>
      </c>
      <c r="C76" s="58" t="s">
        <v>102</v>
      </c>
      <c r="D76" s="58" t="str">
        <f t="shared" si="1"/>
        <v>110111</v>
      </c>
      <c r="E76" s="58" t="str">
        <f t="shared" si="8"/>
        <v>1</v>
      </c>
      <c r="F76" s="58">
        <v>1</v>
      </c>
      <c r="G76" s="58" t="s">
        <v>148</v>
      </c>
      <c r="H76" s="58" t="s">
        <v>40</v>
      </c>
      <c r="I76" s="58"/>
      <c r="J76" s="70">
        <v>0</v>
      </c>
      <c r="K76" s="70">
        <v>0</v>
      </c>
      <c r="L76" s="72"/>
      <c r="M76" s="72"/>
      <c r="N76" s="70">
        <v>2</v>
      </c>
      <c r="O76" s="70"/>
      <c r="P76" s="70"/>
      <c r="Q76" s="70"/>
      <c r="R76" s="70"/>
      <c r="S76" s="70"/>
      <c r="T76" s="58" t="s">
        <v>105</v>
      </c>
      <c r="U76" s="58">
        <v>20000201</v>
      </c>
      <c r="V76" s="58" t="s">
        <v>106</v>
      </c>
      <c r="W76" s="58"/>
      <c r="X76" s="58"/>
      <c r="Y76" s="58"/>
      <c r="Z76" s="58"/>
      <c r="AA76" s="58"/>
      <c r="AB76" s="58"/>
      <c r="AC76" s="58"/>
      <c r="AE76" s="58"/>
      <c r="AF76" s="58"/>
      <c r="AG76" s="58"/>
      <c r="AK76" s="58"/>
      <c r="AL76" s="58"/>
    </row>
    <row r="77" spans="1:38" s="57" customFormat="1" ht="18" customHeight="1" x14ac:dyDescent="0.15">
      <c r="A77" s="58">
        <v>11012001</v>
      </c>
      <c r="B77" s="58" t="s">
        <v>107</v>
      </c>
      <c r="C77" s="58" t="s">
        <v>102</v>
      </c>
      <c r="D77" s="58" t="str">
        <f t="shared" si="1"/>
        <v>110120</v>
      </c>
      <c r="E77" s="58" t="str">
        <f t="shared" si="8"/>
        <v>1</v>
      </c>
      <c r="F77" s="58">
        <v>1</v>
      </c>
      <c r="G77" s="58" t="s">
        <v>148</v>
      </c>
      <c r="H77" s="58" t="s">
        <v>40</v>
      </c>
      <c r="I77" s="58" t="s">
        <v>103</v>
      </c>
      <c r="J77" s="70">
        <v>18000</v>
      </c>
      <c r="K77" s="70">
        <v>200</v>
      </c>
      <c r="L77" s="72">
        <f>0.6*K77</f>
        <v>120</v>
      </c>
      <c r="M77" s="72">
        <v>0</v>
      </c>
      <c r="N77" s="70">
        <v>1</v>
      </c>
      <c r="O77" s="70"/>
      <c r="P77" s="70"/>
      <c r="Q77" s="70"/>
      <c r="R77" s="70"/>
      <c r="S77" s="70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E77" s="58"/>
      <c r="AF77" s="58"/>
      <c r="AG77" s="58"/>
      <c r="AK77" s="58"/>
      <c r="AL77" s="58"/>
    </row>
    <row r="78" spans="1:38" s="57" customFormat="1" ht="18" customHeight="1" x14ac:dyDescent="0.15">
      <c r="A78" s="58">
        <v>11012101</v>
      </c>
      <c r="B78" s="58" t="s">
        <v>108</v>
      </c>
      <c r="C78" s="58" t="s">
        <v>102</v>
      </c>
      <c r="D78" s="58" t="str">
        <f t="shared" si="1"/>
        <v>110121</v>
      </c>
      <c r="E78" s="58" t="str">
        <f t="shared" si="8"/>
        <v>1</v>
      </c>
      <c r="F78" s="58">
        <v>1</v>
      </c>
      <c r="G78" s="58" t="s">
        <v>148</v>
      </c>
      <c r="H78" s="58" t="s">
        <v>40</v>
      </c>
      <c r="I78" s="58"/>
      <c r="J78" s="70">
        <v>0</v>
      </c>
      <c r="K78" s="70">
        <v>0</v>
      </c>
      <c r="L78" s="72"/>
      <c r="M78" s="72"/>
      <c r="N78" s="70">
        <v>2</v>
      </c>
      <c r="O78" s="70"/>
      <c r="P78" s="70"/>
      <c r="Q78" s="70"/>
      <c r="R78" s="70"/>
      <c r="S78" s="70"/>
      <c r="T78" s="58" t="s">
        <v>105</v>
      </c>
      <c r="U78" s="58">
        <v>20000202</v>
      </c>
      <c r="V78" s="58" t="s">
        <v>106</v>
      </c>
      <c r="W78" s="58"/>
      <c r="X78" s="58"/>
      <c r="Y78" s="58"/>
      <c r="Z78" s="58"/>
      <c r="AA78" s="58"/>
      <c r="AB78" s="58"/>
      <c r="AC78" s="58"/>
      <c r="AE78" s="58"/>
      <c r="AF78" s="58"/>
      <c r="AG78" s="58"/>
      <c r="AK78" s="58"/>
      <c r="AL78" s="58"/>
    </row>
    <row r="79" spans="1:38" s="57" customFormat="1" ht="18" customHeight="1" x14ac:dyDescent="0.15">
      <c r="A79" s="58">
        <v>11013001</v>
      </c>
      <c r="B79" s="58" t="s">
        <v>109</v>
      </c>
      <c r="C79" s="58" t="s">
        <v>102</v>
      </c>
      <c r="D79" s="58" t="str">
        <f t="shared" si="1"/>
        <v>110130</v>
      </c>
      <c r="E79" s="58" t="str">
        <f t="shared" si="8"/>
        <v>1</v>
      </c>
      <c r="F79" s="58">
        <v>1</v>
      </c>
      <c r="G79" s="58" t="s">
        <v>148</v>
      </c>
      <c r="H79" s="58" t="s">
        <v>40</v>
      </c>
      <c r="I79" s="58" t="s">
        <v>103</v>
      </c>
      <c r="J79" s="70">
        <v>15000</v>
      </c>
      <c r="K79" s="70">
        <v>150</v>
      </c>
      <c r="L79" s="72">
        <f>0.6*K79</f>
        <v>90</v>
      </c>
      <c r="M79" s="72">
        <v>350</v>
      </c>
      <c r="N79" s="70">
        <v>2</v>
      </c>
      <c r="O79" s="70"/>
      <c r="P79" s="70"/>
      <c r="Q79" s="70"/>
      <c r="R79" s="70"/>
      <c r="S79" s="70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E79" s="58"/>
      <c r="AF79" s="58"/>
      <c r="AG79" s="58"/>
      <c r="AK79" s="58"/>
      <c r="AL79" s="58"/>
    </row>
    <row r="80" spans="1:38" s="57" customFormat="1" ht="18" customHeight="1" x14ac:dyDescent="0.15">
      <c r="A80" s="58">
        <v>11013101</v>
      </c>
      <c r="B80" s="58" t="s">
        <v>110</v>
      </c>
      <c r="C80" s="58" t="s">
        <v>102</v>
      </c>
      <c r="D80" s="58" t="str">
        <f t="shared" si="1"/>
        <v>110131</v>
      </c>
      <c r="E80" s="58" t="str">
        <f t="shared" si="8"/>
        <v>1</v>
      </c>
      <c r="F80" s="58">
        <v>1</v>
      </c>
      <c r="G80" s="58" t="s">
        <v>148</v>
      </c>
      <c r="H80" s="58" t="s">
        <v>40</v>
      </c>
      <c r="I80" s="58"/>
      <c r="J80" s="70">
        <v>0</v>
      </c>
      <c r="K80" s="70">
        <v>0</v>
      </c>
      <c r="L80" s="72"/>
      <c r="M80" s="72"/>
      <c r="N80" s="70">
        <v>2</v>
      </c>
      <c r="O80" s="70"/>
      <c r="P80" s="70"/>
      <c r="Q80" s="70"/>
      <c r="R80" s="70"/>
      <c r="S80" s="70"/>
      <c r="T80" s="58" t="s">
        <v>105</v>
      </c>
      <c r="U80" s="58">
        <v>20000203</v>
      </c>
      <c r="V80" s="58" t="s">
        <v>106</v>
      </c>
      <c r="W80" s="58"/>
      <c r="X80" s="58"/>
      <c r="Y80" s="58"/>
      <c r="Z80" s="58"/>
      <c r="AA80" s="58"/>
      <c r="AB80" s="58"/>
      <c r="AC80" s="58"/>
      <c r="AE80" s="58"/>
      <c r="AF80" s="58"/>
      <c r="AG80" s="58"/>
      <c r="AK80" s="58"/>
      <c r="AL80" s="58"/>
    </row>
    <row r="81" spans="1:38" s="57" customFormat="1" ht="18" customHeight="1" x14ac:dyDescent="0.15">
      <c r="A81" s="58">
        <v>11013201</v>
      </c>
      <c r="B81" s="58" t="s">
        <v>160</v>
      </c>
      <c r="C81" s="58" t="s">
        <v>102</v>
      </c>
      <c r="D81" s="58" t="str">
        <f t="shared" si="1"/>
        <v>110132</v>
      </c>
      <c r="E81" s="58" t="str">
        <f t="shared" si="8"/>
        <v>1</v>
      </c>
      <c r="F81" s="58">
        <v>1</v>
      </c>
      <c r="G81" s="58" t="s">
        <v>148</v>
      </c>
      <c r="H81" s="58" t="s">
        <v>40</v>
      </c>
      <c r="I81" s="58"/>
      <c r="J81" s="70">
        <v>0</v>
      </c>
      <c r="K81" s="70">
        <v>0</v>
      </c>
      <c r="L81" s="72"/>
      <c r="M81" s="72"/>
      <c r="N81" s="70">
        <v>3</v>
      </c>
      <c r="O81" s="70"/>
      <c r="P81" s="70"/>
      <c r="Q81" s="70"/>
      <c r="R81" s="70"/>
      <c r="S81" s="70"/>
      <c r="T81" s="58" t="s">
        <v>105</v>
      </c>
      <c r="U81" s="58">
        <v>20000203</v>
      </c>
      <c r="V81" s="58" t="s">
        <v>117</v>
      </c>
      <c r="W81" s="58"/>
      <c r="X81" s="58"/>
      <c r="Y81" s="58"/>
      <c r="Z81" s="58"/>
      <c r="AA81" s="58"/>
      <c r="AB81" s="58"/>
      <c r="AC81" s="58"/>
      <c r="AE81" s="58"/>
      <c r="AF81" s="58"/>
      <c r="AG81" s="58"/>
      <c r="AK81" s="58"/>
      <c r="AL81" s="58"/>
    </row>
    <row r="82" spans="1:38" s="57" customFormat="1" ht="18" customHeight="1" x14ac:dyDescent="0.15">
      <c r="A82" s="58">
        <v>11013301</v>
      </c>
      <c r="B82" s="58" t="s">
        <v>111</v>
      </c>
      <c r="C82" s="58" t="s">
        <v>102</v>
      </c>
      <c r="D82" s="58" t="str">
        <f t="shared" si="1"/>
        <v>110133</v>
      </c>
      <c r="E82" s="58" t="str">
        <f t="shared" si="8"/>
        <v>1</v>
      </c>
      <c r="F82" s="58">
        <v>1</v>
      </c>
      <c r="G82" s="58" t="s">
        <v>148</v>
      </c>
      <c r="H82" s="58" t="s">
        <v>40</v>
      </c>
      <c r="I82" s="58"/>
      <c r="J82" s="70">
        <v>0</v>
      </c>
      <c r="K82" s="70">
        <v>0</v>
      </c>
      <c r="L82" s="72"/>
      <c r="M82" s="72"/>
      <c r="N82" s="70">
        <v>2</v>
      </c>
      <c r="O82" s="70"/>
      <c r="P82" s="70"/>
      <c r="Q82" s="70"/>
      <c r="R82" s="70"/>
      <c r="S82" s="70"/>
      <c r="T82" s="58" t="s">
        <v>105</v>
      </c>
      <c r="U82" s="58">
        <v>20000203</v>
      </c>
      <c r="V82" s="58" t="s">
        <v>112</v>
      </c>
      <c r="W82" s="58"/>
      <c r="X82" s="58"/>
      <c r="Y82" s="58"/>
      <c r="Z82" s="58"/>
      <c r="AA82" s="58"/>
      <c r="AB82" s="58"/>
      <c r="AC82" s="58"/>
      <c r="AE82" s="58"/>
      <c r="AF82" s="58"/>
      <c r="AG82" s="58"/>
      <c r="AK82" s="58"/>
      <c r="AL82" s="58"/>
    </row>
    <row r="83" spans="1:38" s="57" customFormat="1" ht="18" customHeight="1" x14ac:dyDescent="0.15">
      <c r="A83" s="58">
        <v>11014001</v>
      </c>
      <c r="B83" s="58" t="s">
        <v>113</v>
      </c>
      <c r="C83" s="58" t="s">
        <v>102</v>
      </c>
      <c r="D83" s="58" t="str">
        <f t="shared" si="1"/>
        <v>110140</v>
      </c>
      <c r="E83" s="58" t="str">
        <f t="shared" si="8"/>
        <v>1</v>
      </c>
      <c r="F83" s="58">
        <v>1</v>
      </c>
      <c r="G83" s="58" t="s">
        <v>148</v>
      </c>
      <c r="H83" s="58" t="s">
        <v>40</v>
      </c>
      <c r="I83" s="58" t="s">
        <v>103</v>
      </c>
      <c r="J83" s="70">
        <v>19000</v>
      </c>
      <c r="K83" s="70">
        <v>190</v>
      </c>
      <c r="L83" s="72">
        <f>0.6*K83</f>
        <v>114</v>
      </c>
      <c r="M83" s="72">
        <v>350</v>
      </c>
      <c r="N83" s="70">
        <v>2</v>
      </c>
      <c r="O83" s="70"/>
      <c r="P83" s="70"/>
      <c r="Q83" s="70"/>
      <c r="R83" s="70"/>
      <c r="S83" s="70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E83" s="58"/>
      <c r="AF83" s="58"/>
      <c r="AG83" s="58"/>
      <c r="AK83" s="58"/>
      <c r="AL83" s="58"/>
    </row>
    <row r="84" spans="1:38" s="57" customFormat="1" ht="18" customHeight="1" x14ac:dyDescent="0.15">
      <c r="A84" s="58">
        <v>11014101</v>
      </c>
      <c r="B84" s="58" t="s">
        <v>114</v>
      </c>
      <c r="C84" s="58" t="s">
        <v>102</v>
      </c>
      <c r="D84" s="58" t="str">
        <f t="shared" si="1"/>
        <v>110141</v>
      </c>
      <c r="E84" s="58" t="str">
        <f t="shared" si="8"/>
        <v>1</v>
      </c>
      <c r="F84" s="58">
        <v>1</v>
      </c>
      <c r="G84" s="58" t="s">
        <v>148</v>
      </c>
      <c r="H84" s="58" t="s">
        <v>40</v>
      </c>
      <c r="I84" s="58"/>
      <c r="J84" s="70">
        <v>0</v>
      </c>
      <c r="K84" s="70">
        <v>0</v>
      </c>
      <c r="L84" s="72"/>
      <c r="M84" s="72"/>
      <c r="N84" s="70">
        <v>2</v>
      </c>
      <c r="O84" s="70"/>
      <c r="P84" s="70"/>
      <c r="Q84" s="70"/>
      <c r="R84" s="70"/>
      <c r="S84" s="70"/>
      <c r="T84" s="58" t="s">
        <v>105</v>
      </c>
      <c r="U84" s="58">
        <v>20000204</v>
      </c>
      <c r="V84" s="58" t="s">
        <v>106</v>
      </c>
      <c r="W84" s="58"/>
      <c r="X84" s="58"/>
      <c r="Y84" s="58"/>
      <c r="Z84" s="58"/>
      <c r="AA84" s="58"/>
      <c r="AB84" s="58"/>
      <c r="AC84" s="58"/>
      <c r="AE84" s="58"/>
      <c r="AF84" s="58"/>
      <c r="AG84" s="58"/>
      <c r="AK84" s="58"/>
      <c r="AL84" s="58"/>
    </row>
    <row r="85" spans="1:38" s="57" customFormat="1" ht="18" customHeight="1" x14ac:dyDescent="0.15">
      <c r="A85" s="58">
        <v>11014201</v>
      </c>
      <c r="B85" s="58" t="s">
        <v>115</v>
      </c>
      <c r="C85" s="58" t="s">
        <v>102</v>
      </c>
      <c r="D85" s="58" t="str">
        <f t="shared" si="1"/>
        <v>110142</v>
      </c>
      <c r="E85" s="58" t="str">
        <f t="shared" si="8"/>
        <v>1</v>
      </c>
      <c r="F85" s="58">
        <v>1</v>
      </c>
      <c r="G85" s="58" t="s">
        <v>148</v>
      </c>
      <c r="H85" s="58" t="s">
        <v>40</v>
      </c>
      <c r="I85" s="58"/>
      <c r="J85" s="70">
        <v>0</v>
      </c>
      <c r="K85" s="70">
        <v>0</v>
      </c>
      <c r="L85" s="72"/>
      <c r="M85" s="72"/>
      <c r="N85" s="70">
        <v>3</v>
      </c>
      <c r="O85" s="70"/>
      <c r="P85" s="70"/>
      <c r="Q85" s="70"/>
      <c r="R85" s="70"/>
      <c r="S85" s="70"/>
      <c r="T85" s="58" t="s">
        <v>105</v>
      </c>
      <c r="U85" s="58">
        <v>20000204</v>
      </c>
      <c r="V85" s="58" t="s">
        <v>112</v>
      </c>
      <c r="W85" s="58"/>
      <c r="X85" s="58"/>
      <c r="Y85" s="58"/>
      <c r="Z85" s="58"/>
      <c r="AA85" s="58"/>
      <c r="AB85" s="58"/>
      <c r="AC85" s="58"/>
      <c r="AE85" s="58"/>
      <c r="AF85" s="58"/>
      <c r="AG85" s="58"/>
      <c r="AK85" s="58"/>
      <c r="AL85" s="58"/>
    </row>
    <row r="86" spans="1:38" s="57" customFormat="1" ht="18" customHeight="1" x14ac:dyDescent="0.15">
      <c r="A86" s="58">
        <v>11015001</v>
      </c>
      <c r="B86" s="58" t="s">
        <v>118</v>
      </c>
      <c r="C86" s="58" t="s">
        <v>119</v>
      </c>
      <c r="D86" s="58" t="str">
        <f t="shared" ref="D86:D96" si="11">LEFT(A86,6)</f>
        <v>110150</v>
      </c>
      <c r="E86" s="58" t="str">
        <f t="shared" si="8"/>
        <v>1</v>
      </c>
      <c r="F86" s="58">
        <v>1</v>
      </c>
      <c r="G86" s="58" t="s">
        <v>148</v>
      </c>
      <c r="H86" s="58" t="s">
        <v>40</v>
      </c>
      <c r="I86" s="58" t="s">
        <v>103</v>
      </c>
      <c r="J86" s="70">
        <v>30000</v>
      </c>
      <c r="K86" s="70">
        <v>260</v>
      </c>
      <c r="L86" s="72">
        <f>0.6*K86</f>
        <v>156</v>
      </c>
      <c r="M86" s="72">
        <v>450</v>
      </c>
      <c r="N86" s="70">
        <v>2</v>
      </c>
      <c r="O86" s="70"/>
      <c r="P86" s="70"/>
      <c r="Q86" s="70"/>
      <c r="R86" s="70"/>
      <c r="S86" s="70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E86" s="58"/>
      <c r="AF86" s="58"/>
      <c r="AG86" s="58"/>
      <c r="AK86" s="58"/>
      <c r="AL86" s="58"/>
    </row>
    <row r="87" spans="1:38" s="57" customFormat="1" ht="18" customHeight="1" x14ac:dyDescent="0.15">
      <c r="A87" s="58">
        <v>11015101</v>
      </c>
      <c r="B87" s="58" t="s">
        <v>120</v>
      </c>
      <c r="C87" s="58" t="s">
        <v>119</v>
      </c>
      <c r="D87" s="58" t="str">
        <f t="shared" si="11"/>
        <v>110151</v>
      </c>
      <c r="E87" s="58" t="str">
        <f t="shared" si="8"/>
        <v>1</v>
      </c>
      <c r="F87" s="58">
        <v>1</v>
      </c>
      <c r="G87" s="58" t="s">
        <v>148</v>
      </c>
      <c r="H87" s="58" t="s">
        <v>40</v>
      </c>
      <c r="I87" s="58"/>
      <c r="J87" s="70">
        <v>0</v>
      </c>
      <c r="K87" s="70">
        <v>0</v>
      </c>
      <c r="L87" s="72"/>
      <c r="M87" s="72"/>
      <c r="N87" s="70">
        <v>2</v>
      </c>
      <c r="O87" s="70"/>
      <c r="P87" s="70"/>
      <c r="Q87" s="70"/>
      <c r="R87" s="70"/>
      <c r="S87" s="70"/>
      <c r="T87" s="58" t="s">
        <v>105</v>
      </c>
      <c r="U87" s="58">
        <v>20000205</v>
      </c>
      <c r="V87" s="58" t="s">
        <v>106</v>
      </c>
      <c r="W87" s="58"/>
      <c r="X87" s="58"/>
      <c r="Y87" s="58"/>
      <c r="Z87" s="58"/>
      <c r="AA87" s="58"/>
      <c r="AB87" s="58"/>
      <c r="AC87" s="58"/>
      <c r="AE87" s="58"/>
      <c r="AF87" s="58"/>
      <c r="AG87" s="58"/>
      <c r="AK87" s="58"/>
      <c r="AL87" s="58"/>
    </row>
    <row r="88" spans="1:38" s="57" customFormat="1" ht="18" customHeight="1" x14ac:dyDescent="0.15">
      <c r="A88" s="58">
        <v>11015201</v>
      </c>
      <c r="B88" s="58" t="s">
        <v>161</v>
      </c>
      <c r="C88" s="58" t="s">
        <v>119</v>
      </c>
      <c r="D88" s="58" t="str">
        <f t="shared" si="11"/>
        <v>110152</v>
      </c>
      <c r="E88" s="58" t="str">
        <f t="shared" si="8"/>
        <v>1</v>
      </c>
      <c r="F88" s="58">
        <v>1</v>
      </c>
      <c r="G88" s="58" t="s">
        <v>148</v>
      </c>
      <c r="H88" s="58" t="s">
        <v>40</v>
      </c>
      <c r="I88" s="58"/>
      <c r="J88" s="70">
        <v>0</v>
      </c>
      <c r="K88" s="70">
        <v>0</v>
      </c>
      <c r="L88" s="72"/>
      <c r="M88" s="72"/>
      <c r="N88" s="70">
        <v>2</v>
      </c>
      <c r="O88" s="70"/>
      <c r="P88" s="70"/>
      <c r="Q88" s="70"/>
      <c r="R88" s="70"/>
      <c r="S88" s="70"/>
      <c r="T88" s="58" t="s">
        <v>105</v>
      </c>
      <c r="U88" s="58">
        <v>20000205</v>
      </c>
      <c r="V88" s="58" t="s">
        <v>112</v>
      </c>
      <c r="W88" s="58"/>
      <c r="X88" s="58"/>
      <c r="Y88" s="58"/>
      <c r="Z88" s="58"/>
      <c r="AA88" s="58"/>
      <c r="AB88" s="58"/>
      <c r="AC88" s="58"/>
      <c r="AE88" s="58"/>
      <c r="AF88" s="58"/>
      <c r="AG88" s="58"/>
      <c r="AK88" s="58"/>
      <c r="AL88" s="58"/>
    </row>
    <row r="89" spans="1:38" s="57" customFormat="1" ht="18" customHeight="1" x14ac:dyDescent="0.15">
      <c r="A89" s="58">
        <v>11015301</v>
      </c>
      <c r="B89" s="58" t="s">
        <v>162</v>
      </c>
      <c r="C89" s="58" t="s">
        <v>119</v>
      </c>
      <c r="D89" s="58" t="str">
        <f t="shared" si="11"/>
        <v>110153</v>
      </c>
      <c r="E89" s="58" t="str">
        <f t="shared" si="8"/>
        <v>1</v>
      </c>
      <c r="F89" s="58">
        <v>1</v>
      </c>
      <c r="G89" s="58" t="s">
        <v>148</v>
      </c>
      <c r="H89" s="58" t="s">
        <v>40</v>
      </c>
      <c r="I89" s="58"/>
      <c r="J89" s="70">
        <v>0</v>
      </c>
      <c r="K89" s="70">
        <v>0</v>
      </c>
      <c r="L89" s="72"/>
      <c r="M89" s="72"/>
      <c r="N89" s="70">
        <v>3</v>
      </c>
      <c r="O89" s="70"/>
      <c r="P89" s="70"/>
      <c r="Q89" s="70"/>
      <c r="R89" s="70"/>
      <c r="S89" s="70"/>
      <c r="T89" s="58" t="s">
        <v>105</v>
      </c>
      <c r="U89" s="58">
        <v>20000205</v>
      </c>
      <c r="V89" s="58" t="s">
        <v>117</v>
      </c>
      <c r="W89" s="58"/>
      <c r="X89" s="58"/>
      <c r="Y89" s="58"/>
      <c r="Z89" s="58"/>
      <c r="AA89" s="58"/>
      <c r="AB89" s="58"/>
      <c r="AC89" s="58"/>
      <c r="AE89" s="58"/>
      <c r="AF89" s="58"/>
      <c r="AG89" s="58"/>
      <c r="AK89" s="58"/>
      <c r="AL89" s="58"/>
    </row>
    <row r="90" spans="1:38" s="57" customFormat="1" ht="18" customHeight="1" x14ac:dyDescent="0.15">
      <c r="A90" s="58">
        <v>11016001</v>
      </c>
      <c r="B90" s="58" t="s">
        <v>121</v>
      </c>
      <c r="C90" s="58" t="s">
        <v>122</v>
      </c>
      <c r="D90" s="58" t="str">
        <f t="shared" si="11"/>
        <v>110160</v>
      </c>
      <c r="E90" s="58" t="str">
        <f t="shared" si="8"/>
        <v>1</v>
      </c>
      <c r="F90" s="58">
        <v>1</v>
      </c>
      <c r="G90" s="58" t="s">
        <v>148</v>
      </c>
      <c r="H90" s="58" t="s">
        <v>40</v>
      </c>
      <c r="I90" s="58" t="s">
        <v>103</v>
      </c>
      <c r="J90" s="70">
        <v>22000</v>
      </c>
      <c r="K90" s="70">
        <v>250</v>
      </c>
      <c r="L90" s="72">
        <f>0.6*K90</f>
        <v>150</v>
      </c>
      <c r="M90" s="72">
        <v>350</v>
      </c>
      <c r="N90" s="70">
        <v>2</v>
      </c>
      <c r="O90" s="70"/>
      <c r="P90" s="70"/>
      <c r="Q90" s="70"/>
      <c r="R90" s="70"/>
      <c r="S90" s="70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E90" s="58"/>
      <c r="AF90" s="58"/>
      <c r="AG90" s="58"/>
      <c r="AK90" s="58"/>
      <c r="AL90" s="58"/>
    </row>
    <row r="91" spans="1:38" s="57" customFormat="1" ht="18" customHeight="1" x14ac:dyDescent="0.15">
      <c r="A91" s="58">
        <v>11016101</v>
      </c>
      <c r="B91" s="58" t="s">
        <v>123</v>
      </c>
      <c r="C91" s="58" t="s">
        <v>122</v>
      </c>
      <c r="D91" s="58" t="str">
        <f t="shared" si="11"/>
        <v>110161</v>
      </c>
      <c r="E91" s="58" t="str">
        <f t="shared" si="8"/>
        <v>1</v>
      </c>
      <c r="F91" s="58">
        <v>1</v>
      </c>
      <c r="G91" s="58" t="s">
        <v>148</v>
      </c>
      <c r="H91" s="58" t="s">
        <v>40</v>
      </c>
      <c r="I91" s="58"/>
      <c r="J91" s="70">
        <v>0</v>
      </c>
      <c r="K91" s="70">
        <v>0</v>
      </c>
      <c r="L91" s="72"/>
      <c r="M91" s="72"/>
      <c r="N91" s="70">
        <v>2</v>
      </c>
      <c r="O91" s="70"/>
      <c r="P91" s="70"/>
      <c r="Q91" s="70"/>
      <c r="R91" s="70"/>
      <c r="S91" s="70"/>
      <c r="T91" s="58" t="s">
        <v>105</v>
      </c>
      <c r="U91" s="58">
        <v>20000206</v>
      </c>
      <c r="V91" s="58" t="s">
        <v>106</v>
      </c>
      <c r="W91" s="58"/>
      <c r="X91" s="58"/>
      <c r="Y91" s="58"/>
      <c r="Z91" s="58"/>
      <c r="AA91" s="58"/>
      <c r="AB91" s="58"/>
      <c r="AC91" s="58"/>
      <c r="AE91" s="58"/>
      <c r="AF91" s="58"/>
      <c r="AG91" s="58"/>
      <c r="AK91" s="58"/>
      <c r="AL91" s="58"/>
    </row>
    <row r="92" spans="1:38" s="57" customFormat="1" ht="18" customHeight="1" x14ac:dyDescent="0.15">
      <c r="A92" s="58">
        <v>11016201</v>
      </c>
      <c r="B92" s="58" t="s">
        <v>163</v>
      </c>
      <c r="C92" s="58" t="s">
        <v>122</v>
      </c>
      <c r="D92" s="58" t="str">
        <f t="shared" si="11"/>
        <v>110162</v>
      </c>
      <c r="E92" s="58" t="str">
        <f t="shared" si="8"/>
        <v>1</v>
      </c>
      <c r="F92" s="58">
        <v>1</v>
      </c>
      <c r="G92" s="58" t="s">
        <v>148</v>
      </c>
      <c r="H92" s="58" t="s">
        <v>40</v>
      </c>
      <c r="I92" s="58"/>
      <c r="J92" s="70">
        <v>0</v>
      </c>
      <c r="K92" s="70">
        <v>0</v>
      </c>
      <c r="L92" s="72"/>
      <c r="M92" s="72"/>
      <c r="N92" s="70">
        <v>2</v>
      </c>
      <c r="O92" s="70"/>
      <c r="P92" s="70"/>
      <c r="Q92" s="70"/>
      <c r="R92" s="70"/>
      <c r="S92" s="70"/>
      <c r="T92" s="58" t="s">
        <v>105</v>
      </c>
      <c r="U92" s="58">
        <v>20000206</v>
      </c>
      <c r="V92" s="58" t="s">
        <v>112</v>
      </c>
      <c r="W92" s="58"/>
      <c r="X92" s="58"/>
      <c r="Y92" s="58"/>
      <c r="Z92" s="58"/>
      <c r="AA92" s="58"/>
      <c r="AB92" s="58"/>
      <c r="AC92" s="58"/>
      <c r="AE92" s="58"/>
      <c r="AF92" s="58"/>
      <c r="AG92" s="58"/>
      <c r="AK92" s="58"/>
      <c r="AL92" s="58"/>
    </row>
    <row r="93" spans="1:38" s="57" customFormat="1" ht="18" customHeight="1" x14ac:dyDescent="0.15">
      <c r="A93" s="58">
        <v>11017001</v>
      </c>
      <c r="B93" s="58" t="s">
        <v>126</v>
      </c>
      <c r="C93" s="58" t="s">
        <v>127</v>
      </c>
      <c r="D93" s="58" t="str">
        <f t="shared" si="11"/>
        <v>110170</v>
      </c>
      <c r="E93" s="58" t="str">
        <f t="shared" si="8"/>
        <v>1</v>
      </c>
      <c r="F93" s="58">
        <v>1</v>
      </c>
      <c r="G93" s="58" t="s">
        <v>148</v>
      </c>
      <c r="H93" s="58" t="s">
        <v>40</v>
      </c>
      <c r="I93" s="58" t="s">
        <v>103</v>
      </c>
      <c r="J93" s="70">
        <v>20000</v>
      </c>
      <c r="K93" s="70">
        <v>200</v>
      </c>
      <c r="L93" s="72">
        <f>0.6*K93</f>
        <v>120</v>
      </c>
      <c r="M93" s="72">
        <v>350</v>
      </c>
      <c r="N93" s="70">
        <v>2</v>
      </c>
      <c r="O93" s="70"/>
      <c r="P93" s="70"/>
      <c r="Q93" s="70"/>
      <c r="R93" s="70"/>
      <c r="S93" s="70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E93" s="58"/>
      <c r="AF93" s="58"/>
      <c r="AG93" s="58"/>
      <c r="AK93" s="58"/>
      <c r="AL93" s="58"/>
    </row>
    <row r="94" spans="1:38" s="57" customFormat="1" ht="18" customHeight="1" x14ac:dyDescent="0.15">
      <c r="A94" s="58">
        <v>11017101</v>
      </c>
      <c r="B94" s="58" t="s">
        <v>128</v>
      </c>
      <c r="C94" s="58" t="s">
        <v>127</v>
      </c>
      <c r="D94" s="58" t="str">
        <f t="shared" si="11"/>
        <v>110171</v>
      </c>
      <c r="E94" s="58" t="str">
        <f t="shared" si="8"/>
        <v>1</v>
      </c>
      <c r="F94" s="58">
        <v>1</v>
      </c>
      <c r="G94" s="58" t="s">
        <v>148</v>
      </c>
      <c r="H94" s="58" t="s">
        <v>40</v>
      </c>
      <c r="I94" s="58"/>
      <c r="J94" s="70">
        <v>0</v>
      </c>
      <c r="K94" s="70">
        <v>0</v>
      </c>
      <c r="L94" s="72"/>
      <c r="M94" s="72"/>
      <c r="N94" s="70">
        <v>2</v>
      </c>
      <c r="O94" s="70"/>
      <c r="P94" s="70"/>
      <c r="Q94" s="70"/>
      <c r="R94" s="70"/>
      <c r="S94" s="70"/>
      <c r="T94" s="58" t="s">
        <v>105</v>
      </c>
      <c r="U94" s="58">
        <v>20000207</v>
      </c>
      <c r="V94" s="58" t="s">
        <v>106</v>
      </c>
      <c r="W94" s="58"/>
      <c r="X94" s="58"/>
      <c r="Y94" s="58"/>
      <c r="Z94" s="58"/>
      <c r="AA94" s="58"/>
      <c r="AB94" s="58"/>
      <c r="AC94" s="58"/>
      <c r="AE94" s="58"/>
      <c r="AF94" s="58"/>
      <c r="AG94" s="58"/>
      <c r="AK94" s="58"/>
      <c r="AL94" s="58"/>
    </row>
    <row r="95" spans="1:38" s="57" customFormat="1" ht="18" customHeight="1" x14ac:dyDescent="0.15">
      <c r="A95" s="58">
        <v>11018001</v>
      </c>
      <c r="B95" s="58" t="s">
        <v>129</v>
      </c>
      <c r="C95" s="58" t="s">
        <v>127</v>
      </c>
      <c r="D95" s="58" t="str">
        <f t="shared" si="11"/>
        <v>110180</v>
      </c>
      <c r="E95" s="58" t="str">
        <f t="shared" si="8"/>
        <v>1</v>
      </c>
      <c r="F95" s="58">
        <v>1</v>
      </c>
      <c r="G95" s="58" t="s">
        <v>148</v>
      </c>
      <c r="H95" s="58" t="s">
        <v>40</v>
      </c>
      <c r="I95" s="58" t="s">
        <v>103</v>
      </c>
      <c r="J95" s="70">
        <v>28000</v>
      </c>
      <c r="K95" s="70">
        <v>340</v>
      </c>
      <c r="L95" s="72">
        <f>0.6*K95</f>
        <v>204</v>
      </c>
      <c r="M95" s="72">
        <v>450</v>
      </c>
      <c r="N95" s="70">
        <v>2</v>
      </c>
      <c r="O95" s="70"/>
      <c r="P95" s="70"/>
      <c r="Q95" s="70"/>
      <c r="R95" s="70"/>
      <c r="S95" s="70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E95" s="58"/>
      <c r="AF95" s="58"/>
      <c r="AG95" s="58"/>
      <c r="AK95" s="58"/>
      <c r="AL95" s="58"/>
    </row>
    <row r="96" spans="1:38" s="57" customFormat="1" ht="18" customHeight="1" x14ac:dyDescent="0.15">
      <c r="A96" s="58">
        <v>11018101</v>
      </c>
      <c r="B96" s="58" t="s">
        <v>164</v>
      </c>
      <c r="C96" s="58" t="s">
        <v>127</v>
      </c>
      <c r="D96" s="58" t="str">
        <f t="shared" si="11"/>
        <v>110181</v>
      </c>
      <c r="E96" s="58" t="str">
        <f t="shared" si="8"/>
        <v>1</v>
      </c>
      <c r="F96" s="58">
        <v>1</v>
      </c>
      <c r="G96" s="58" t="s">
        <v>148</v>
      </c>
      <c r="H96" s="58" t="s">
        <v>40</v>
      </c>
      <c r="I96" s="58"/>
      <c r="J96" s="70">
        <v>0</v>
      </c>
      <c r="K96" s="70">
        <v>0</v>
      </c>
      <c r="L96" s="72"/>
      <c r="M96" s="72"/>
      <c r="N96" s="70">
        <v>2</v>
      </c>
      <c r="O96" s="70"/>
      <c r="P96" s="70"/>
      <c r="Q96" s="70"/>
      <c r="R96" s="70"/>
      <c r="S96" s="70"/>
      <c r="T96" s="58" t="s">
        <v>105</v>
      </c>
      <c r="U96" s="58">
        <v>20000208</v>
      </c>
      <c r="V96" s="58" t="s">
        <v>165</v>
      </c>
      <c r="W96" s="58"/>
      <c r="X96" s="58"/>
      <c r="Y96" s="58"/>
      <c r="Z96" s="58"/>
      <c r="AA96" s="58"/>
      <c r="AB96" s="58"/>
      <c r="AC96" s="58"/>
      <c r="AE96" s="58"/>
      <c r="AF96" s="58"/>
      <c r="AG96" s="58"/>
      <c r="AK96" s="58"/>
      <c r="AL96" s="58"/>
    </row>
    <row r="97" spans="1:38" s="57" customFormat="1" ht="18" customHeight="1" x14ac:dyDescent="0.15">
      <c r="A97" s="58">
        <v>11019001</v>
      </c>
      <c r="B97" s="58" t="s">
        <v>131</v>
      </c>
      <c r="C97" s="58" t="s">
        <v>122</v>
      </c>
      <c r="D97" s="58" t="str">
        <f t="shared" ref="D97:D103" si="12">LEFT(A97,6)</f>
        <v>110190</v>
      </c>
      <c r="E97" s="58" t="str">
        <f t="shared" ref="E97:E103" si="13">RIGHT(A97,1)</f>
        <v>1</v>
      </c>
      <c r="F97" s="58">
        <v>1</v>
      </c>
      <c r="G97" s="58" t="s">
        <v>148</v>
      </c>
      <c r="H97" s="58" t="s">
        <v>40</v>
      </c>
      <c r="I97" s="58" t="s">
        <v>103</v>
      </c>
      <c r="J97" s="70">
        <v>32000</v>
      </c>
      <c r="K97" s="70">
        <v>320</v>
      </c>
      <c r="L97" s="72">
        <f>0.6*K97</f>
        <v>192</v>
      </c>
      <c r="M97" s="72">
        <v>500</v>
      </c>
      <c r="N97" s="70">
        <v>3</v>
      </c>
      <c r="O97" s="70"/>
      <c r="P97" s="70"/>
      <c r="Q97" s="70"/>
      <c r="R97" s="70"/>
      <c r="S97" s="70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E97" s="58"/>
      <c r="AF97" s="58"/>
      <c r="AG97" s="58"/>
      <c r="AK97" s="58"/>
      <c r="AL97" s="58"/>
    </row>
    <row r="98" spans="1:38" s="57" customFormat="1" ht="18" customHeight="1" x14ac:dyDescent="0.15">
      <c r="A98" s="58">
        <v>11019101</v>
      </c>
      <c r="B98" s="58" t="s">
        <v>132</v>
      </c>
      <c r="C98" s="58" t="s">
        <v>122</v>
      </c>
      <c r="D98" s="58" t="str">
        <f t="shared" si="12"/>
        <v>110191</v>
      </c>
      <c r="E98" s="58" t="str">
        <f t="shared" si="13"/>
        <v>1</v>
      </c>
      <c r="F98" s="58">
        <v>1</v>
      </c>
      <c r="G98" s="58" t="s">
        <v>148</v>
      </c>
      <c r="H98" s="58" t="s">
        <v>40</v>
      </c>
      <c r="I98" s="58"/>
      <c r="J98" s="70">
        <v>0</v>
      </c>
      <c r="K98" s="70">
        <v>0</v>
      </c>
      <c r="L98" s="72"/>
      <c r="M98" s="72"/>
      <c r="N98" s="70">
        <v>3</v>
      </c>
      <c r="O98" s="70"/>
      <c r="P98" s="70"/>
      <c r="Q98" s="70"/>
      <c r="R98" s="70"/>
      <c r="S98" s="70"/>
      <c r="T98" s="58" t="s">
        <v>105</v>
      </c>
      <c r="U98" s="58">
        <v>20000209</v>
      </c>
      <c r="V98" s="58" t="s">
        <v>106</v>
      </c>
      <c r="W98" s="58"/>
      <c r="X98" s="58"/>
      <c r="Y98" s="58"/>
      <c r="Z98" s="58"/>
      <c r="AA98" s="58"/>
      <c r="AB98" s="58"/>
      <c r="AC98" s="58"/>
      <c r="AE98" s="58"/>
      <c r="AF98" s="58"/>
      <c r="AG98" s="58"/>
      <c r="AK98" s="58"/>
      <c r="AL98" s="58"/>
    </row>
    <row r="99" spans="1:38" s="57" customFormat="1" ht="18" customHeight="1" x14ac:dyDescent="0.15">
      <c r="A99" s="58">
        <v>11020001</v>
      </c>
      <c r="B99" s="58" t="s">
        <v>133</v>
      </c>
      <c r="C99" s="58" t="s">
        <v>119</v>
      </c>
      <c r="D99" s="58" t="str">
        <f t="shared" si="12"/>
        <v>110200</v>
      </c>
      <c r="E99" s="58" t="str">
        <f t="shared" si="13"/>
        <v>1</v>
      </c>
      <c r="F99" s="58">
        <v>1</v>
      </c>
      <c r="G99" s="58" t="s">
        <v>148</v>
      </c>
      <c r="H99" s="58" t="s">
        <v>40</v>
      </c>
      <c r="I99" s="58" t="s">
        <v>103</v>
      </c>
      <c r="J99" s="70">
        <v>35000</v>
      </c>
      <c r="K99" s="70">
        <v>440</v>
      </c>
      <c r="L99" s="72">
        <f>0.6*K99</f>
        <v>264</v>
      </c>
      <c r="M99" s="72">
        <v>700</v>
      </c>
      <c r="N99" s="70">
        <v>3</v>
      </c>
      <c r="O99" s="70"/>
      <c r="P99" s="70"/>
      <c r="Q99" s="70"/>
      <c r="R99" s="70"/>
      <c r="S99" s="70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E99" s="58"/>
      <c r="AF99" s="58"/>
      <c r="AG99" s="58"/>
      <c r="AK99" s="58"/>
      <c r="AL99" s="58"/>
    </row>
    <row r="100" spans="1:38" s="57" customFormat="1" ht="18" customHeight="1" x14ac:dyDescent="0.15">
      <c r="A100" s="58">
        <v>11020101</v>
      </c>
      <c r="B100" s="58" t="s">
        <v>134</v>
      </c>
      <c r="C100" s="58" t="s">
        <v>119</v>
      </c>
      <c r="D100" s="58" t="str">
        <f t="shared" si="12"/>
        <v>110201</v>
      </c>
      <c r="E100" s="58" t="str">
        <f t="shared" si="13"/>
        <v>1</v>
      </c>
      <c r="F100" s="58">
        <v>1</v>
      </c>
      <c r="G100" s="58" t="s">
        <v>148</v>
      </c>
      <c r="H100" s="58" t="s">
        <v>40</v>
      </c>
      <c r="I100" s="58"/>
      <c r="J100" s="70">
        <v>0</v>
      </c>
      <c r="K100" s="70">
        <v>0</v>
      </c>
      <c r="L100" s="72"/>
      <c r="M100" s="72"/>
      <c r="N100" s="70">
        <v>3</v>
      </c>
      <c r="O100" s="70"/>
      <c r="P100" s="70"/>
      <c r="Q100" s="70"/>
      <c r="R100" s="70"/>
      <c r="S100" s="70"/>
      <c r="T100" s="58" t="s">
        <v>105</v>
      </c>
      <c r="U100" s="58">
        <v>20000210</v>
      </c>
      <c r="V100" s="58" t="s">
        <v>106</v>
      </c>
      <c r="W100" s="58"/>
      <c r="X100" s="58"/>
      <c r="Y100" s="58"/>
      <c r="Z100" s="58"/>
      <c r="AA100" s="58"/>
      <c r="AB100" s="58"/>
      <c r="AC100" s="58"/>
      <c r="AE100" s="58"/>
      <c r="AF100" s="58"/>
      <c r="AG100" s="58"/>
      <c r="AK100" s="58"/>
      <c r="AL100" s="58"/>
    </row>
    <row r="101" spans="1:38" s="57" customFormat="1" ht="18" customHeight="1" x14ac:dyDescent="0.15">
      <c r="A101" s="58">
        <v>11021001</v>
      </c>
      <c r="B101" s="58" t="s">
        <v>135</v>
      </c>
      <c r="C101" s="58"/>
      <c r="D101" s="58" t="str">
        <f t="shared" si="12"/>
        <v>110210</v>
      </c>
      <c r="E101" s="58" t="str">
        <f t="shared" si="13"/>
        <v>1</v>
      </c>
      <c r="F101" s="58">
        <v>1</v>
      </c>
      <c r="G101" s="58" t="s">
        <v>148</v>
      </c>
      <c r="H101" s="58" t="s">
        <v>40</v>
      </c>
      <c r="I101" s="58" t="s">
        <v>136</v>
      </c>
      <c r="J101" s="70">
        <v>35000</v>
      </c>
      <c r="K101" s="70">
        <v>250</v>
      </c>
      <c r="L101" s="72"/>
      <c r="M101" s="72"/>
      <c r="N101" s="58">
        <v>1</v>
      </c>
      <c r="O101" s="58"/>
      <c r="P101" s="58">
        <v>3</v>
      </c>
      <c r="Q101" s="58">
        <v>1000</v>
      </c>
      <c r="R101" s="58">
        <v>-10000</v>
      </c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7" t="s">
        <v>166</v>
      </c>
      <c r="AE101" s="58" t="s">
        <v>138</v>
      </c>
      <c r="AF101" s="58" t="s">
        <v>138</v>
      </c>
      <c r="AG101" s="58" t="s">
        <v>138</v>
      </c>
      <c r="AH101" s="57" t="s">
        <v>139</v>
      </c>
      <c r="AI101" s="57" t="s">
        <v>139</v>
      </c>
      <c r="AJ101" s="57" t="s">
        <v>139</v>
      </c>
      <c r="AK101" s="57" t="s">
        <v>167</v>
      </c>
      <c r="AL101" s="58" t="s">
        <v>168</v>
      </c>
    </row>
    <row r="102" spans="1:38" s="58" customFormat="1" ht="18" customHeight="1" x14ac:dyDescent="0.15">
      <c r="A102" s="58">
        <v>11021101</v>
      </c>
      <c r="B102" s="58" t="s">
        <v>142</v>
      </c>
      <c r="D102" s="58" t="str">
        <f t="shared" si="12"/>
        <v>110211</v>
      </c>
      <c r="E102" s="58" t="str">
        <f t="shared" si="13"/>
        <v>1</v>
      </c>
      <c r="F102" s="58">
        <v>1</v>
      </c>
      <c r="G102" s="58" t="s">
        <v>148</v>
      </c>
      <c r="H102" s="58" t="s">
        <v>40</v>
      </c>
      <c r="J102" s="58">
        <v>0</v>
      </c>
      <c r="K102" s="58">
        <v>0</v>
      </c>
      <c r="N102" s="58">
        <v>2</v>
      </c>
      <c r="T102" s="58" t="s">
        <v>105</v>
      </c>
      <c r="U102" s="58">
        <v>20000215</v>
      </c>
      <c r="V102" s="58" t="s">
        <v>106</v>
      </c>
    </row>
    <row r="103" spans="1:38" s="58" customFormat="1" ht="18" customHeight="1" x14ac:dyDescent="0.15">
      <c r="A103" s="58">
        <v>11021201</v>
      </c>
      <c r="B103" s="58" t="s">
        <v>143</v>
      </c>
      <c r="D103" s="58" t="str">
        <f t="shared" si="12"/>
        <v>110212</v>
      </c>
      <c r="E103" s="58" t="str">
        <f t="shared" si="13"/>
        <v>1</v>
      </c>
      <c r="F103" s="58">
        <v>1</v>
      </c>
      <c r="G103" s="58" t="s">
        <v>148</v>
      </c>
      <c r="H103" s="58" t="s">
        <v>40</v>
      </c>
      <c r="J103" s="58">
        <v>0</v>
      </c>
      <c r="K103" s="58">
        <v>0</v>
      </c>
      <c r="N103" s="58">
        <v>3</v>
      </c>
      <c r="T103" s="58" t="s">
        <v>105</v>
      </c>
      <c r="U103" s="58">
        <v>20000215</v>
      </c>
      <c r="V103" s="58" t="s">
        <v>112</v>
      </c>
    </row>
    <row r="104" spans="1:38" s="57" customFormat="1" ht="18" customHeight="1" x14ac:dyDescent="0.15">
      <c r="A104" s="58">
        <v>11022001</v>
      </c>
      <c r="B104" s="58" t="s">
        <v>144</v>
      </c>
      <c r="C104" s="58"/>
      <c r="D104" s="58" t="str">
        <f t="shared" ref="D104:D158" si="14">LEFT(A104,6)</f>
        <v>110220</v>
      </c>
      <c r="E104" s="58" t="str">
        <f t="shared" ref="E104:E158" si="15">RIGHT(A104,1)</f>
        <v>1</v>
      </c>
      <c r="F104" s="58">
        <v>1</v>
      </c>
      <c r="G104" s="58" t="s">
        <v>148</v>
      </c>
      <c r="H104" s="58" t="s">
        <v>40</v>
      </c>
      <c r="I104" s="58" t="s">
        <v>145</v>
      </c>
      <c r="J104" s="70">
        <v>75000</v>
      </c>
      <c r="K104" s="70">
        <v>700</v>
      </c>
      <c r="L104" s="70"/>
      <c r="M104" s="70"/>
      <c r="N104" s="58">
        <v>1</v>
      </c>
      <c r="O104" s="58"/>
      <c r="P104" s="58"/>
      <c r="Q104" s="58">
        <v>1000</v>
      </c>
      <c r="R104" s="58">
        <v>-10000</v>
      </c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E104" s="58"/>
      <c r="AF104" s="58"/>
      <c r="AG104" s="58"/>
      <c r="AK104" s="58"/>
      <c r="AL104" s="58"/>
    </row>
    <row r="105" spans="1:38" s="58" customFormat="1" ht="18" customHeight="1" x14ac:dyDescent="0.15">
      <c r="A105" s="58">
        <v>11022101</v>
      </c>
      <c r="B105" s="58" t="s">
        <v>146</v>
      </c>
      <c r="D105" s="58" t="str">
        <f t="shared" si="14"/>
        <v>110221</v>
      </c>
      <c r="E105" s="58" t="str">
        <f t="shared" si="15"/>
        <v>1</v>
      </c>
      <c r="F105" s="58">
        <v>1</v>
      </c>
      <c r="G105" s="58" t="s">
        <v>148</v>
      </c>
      <c r="H105" s="58" t="s">
        <v>40</v>
      </c>
      <c r="J105" s="58">
        <v>0</v>
      </c>
      <c r="K105" s="58">
        <v>0</v>
      </c>
      <c r="N105" s="58">
        <v>2</v>
      </c>
      <c r="T105" s="58" t="s">
        <v>105</v>
      </c>
      <c r="U105" s="58">
        <v>20000211</v>
      </c>
      <c r="V105" s="58" t="s">
        <v>106</v>
      </c>
    </row>
    <row r="106" spans="1:38" s="58" customFormat="1" ht="18" customHeight="1" x14ac:dyDescent="0.15">
      <c r="A106" s="58">
        <v>11022201</v>
      </c>
      <c r="B106" s="58" t="s">
        <v>147</v>
      </c>
      <c r="D106" s="58" t="str">
        <f t="shared" si="14"/>
        <v>110222</v>
      </c>
      <c r="E106" s="58" t="str">
        <f t="shared" si="15"/>
        <v>1</v>
      </c>
      <c r="F106" s="58">
        <v>1</v>
      </c>
      <c r="G106" s="58" t="s">
        <v>148</v>
      </c>
      <c r="H106" s="58" t="s">
        <v>40</v>
      </c>
      <c r="J106" s="58">
        <v>0</v>
      </c>
      <c r="K106" s="58">
        <v>0</v>
      </c>
      <c r="N106" s="58">
        <v>3</v>
      </c>
      <c r="T106" s="58" t="s">
        <v>105</v>
      </c>
      <c r="U106" s="58">
        <v>20000211</v>
      </c>
      <c r="V106" s="58" t="s">
        <v>112</v>
      </c>
    </row>
    <row r="107" spans="1:38" s="59" customFormat="1" ht="18" customHeight="1" x14ac:dyDescent="0.15">
      <c r="A107" s="60">
        <v>12000001</v>
      </c>
      <c r="B107" s="60" t="s">
        <v>38</v>
      </c>
      <c r="C107" s="60"/>
      <c r="D107" s="60" t="str">
        <f t="shared" si="14"/>
        <v>120000</v>
      </c>
      <c r="E107" s="60" t="str">
        <f t="shared" si="15"/>
        <v>1</v>
      </c>
      <c r="F107" s="60">
        <v>1</v>
      </c>
      <c r="G107" s="60" t="s">
        <v>169</v>
      </c>
      <c r="H107" s="60" t="s">
        <v>40</v>
      </c>
      <c r="I107" s="60" t="s">
        <v>41</v>
      </c>
      <c r="J107" s="73">
        <v>0</v>
      </c>
      <c r="K107" s="73">
        <v>0</v>
      </c>
      <c r="L107" s="73"/>
      <c r="M107" s="73"/>
      <c r="N107" s="73">
        <v>1</v>
      </c>
      <c r="O107" s="73"/>
      <c r="P107" s="73"/>
      <c r="Q107" s="73"/>
      <c r="R107" s="73"/>
      <c r="S107" s="73"/>
      <c r="T107" s="60" t="s">
        <v>42</v>
      </c>
      <c r="U107" s="60">
        <v>20000316</v>
      </c>
      <c r="V107" s="60"/>
      <c r="W107" s="60"/>
      <c r="X107" s="60"/>
      <c r="Y107" s="60" t="s">
        <v>43</v>
      </c>
      <c r="Z107" s="60">
        <v>10</v>
      </c>
      <c r="AA107" s="60"/>
      <c r="AB107" s="60"/>
      <c r="AC107" s="60"/>
      <c r="AD107" s="59" t="s">
        <v>170</v>
      </c>
      <c r="AE107" s="60" t="s">
        <v>171</v>
      </c>
      <c r="AF107" s="60" t="s">
        <v>171</v>
      </c>
      <c r="AG107" s="60" t="s">
        <v>171</v>
      </c>
      <c r="AH107" s="59" t="s">
        <v>172</v>
      </c>
      <c r="AI107" s="59" t="s">
        <v>173</v>
      </c>
      <c r="AJ107" s="59" t="s">
        <v>172</v>
      </c>
      <c r="AK107" s="60"/>
      <c r="AL107" s="60"/>
    </row>
    <row r="108" spans="1:38" s="59" customFormat="1" ht="18" customHeight="1" x14ac:dyDescent="0.15">
      <c r="A108" s="60">
        <v>12001001</v>
      </c>
      <c r="B108" s="60" t="s">
        <v>48</v>
      </c>
      <c r="C108" s="60"/>
      <c r="D108" s="60" t="str">
        <f t="shared" si="14"/>
        <v>120010</v>
      </c>
      <c r="E108" s="60" t="str">
        <f t="shared" si="15"/>
        <v>1</v>
      </c>
      <c r="F108" s="60">
        <v>1</v>
      </c>
      <c r="G108" s="60" t="s">
        <v>169</v>
      </c>
      <c r="H108" s="60" t="s">
        <v>40</v>
      </c>
      <c r="I108" s="60" t="s">
        <v>41</v>
      </c>
      <c r="J108" s="73">
        <v>75000</v>
      </c>
      <c r="K108" s="73">
        <v>1000</v>
      </c>
      <c r="L108" s="73"/>
      <c r="M108" s="73"/>
      <c r="N108" s="73">
        <v>1</v>
      </c>
      <c r="O108" s="73"/>
      <c r="P108" s="73"/>
      <c r="Q108" s="73"/>
      <c r="R108" s="73"/>
      <c r="S108" s="73"/>
      <c r="T108" s="60" t="s">
        <v>42</v>
      </c>
      <c r="U108" s="60">
        <v>20000317</v>
      </c>
      <c r="V108" s="60"/>
      <c r="W108" s="60"/>
      <c r="X108" s="60"/>
      <c r="Y108" s="60"/>
      <c r="Z108" s="60"/>
      <c r="AA108" s="60"/>
      <c r="AB108" s="60"/>
      <c r="AC108" s="60"/>
      <c r="AD108" s="59" t="s">
        <v>174</v>
      </c>
      <c r="AE108" s="60" t="s">
        <v>175</v>
      </c>
      <c r="AF108" s="60" t="s">
        <v>175</v>
      </c>
      <c r="AG108" s="60" t="s">
        <v>175</v>
      </c>
      <c r="AH108" s="59" t="s">
        <v>176</v>
      </c>
      <c r="AI108" s="59" t="s">
        <v>177</v>
      </c>
      <c r="AJ108" s="59" t="s">
        <v>176</v>
      </c>
      <c r="AK108" s="60"/>
      <c r="AL108" s="60"/>
    </row>
    <row r="109" spans="1:38" s="59" customFormat="1" ht="18" customHeight="1" x14ac:dyDescent="0.15">
      <c r="A109" s="60">
        <v>12002001</v>
      </c>
      <c r="B109" s="60" t="s">
        <v>53</v>
      </c>
      <c r="C109" s="60"/>
      <c r="D109" s="60" t="str">
        <f t="shared" si="14"/>
        <v>120020</v>
      </c>
      <c r="E109" s="60" t="str">
        <f t="shared" si="15"/>
        <v>1</v>
      </c>
      <c r="F109" s="60">
        <v>1</v>
      </c>
      <c r="G109" s="60" t="s">
        <v>169</v>
      </c>
      <c r="H109" s="60" t="s">
        <v>40</v>
      </c>
      <c r="I109" s="60" t="s">
        <v>41</v>
      </c>
      <c r="J109" s="73">
        <v>90000</v>
      </c>
      <c r="K109" s="73">
        <v>1000</v>
      </c>
      <c r="L109" s="73"/>
      <c r="M109" s="73"/>
      <c r="N109" s="73">
        <v>2</v>
      </c>
      <c r="O109" s="73"/>
      <c r="P109" s="73"/>
      <c r="Q109" s="73"/>
      <c r="R109" s="73"/>
      <c r="S109" s="73"/>
      <c r="T109" s="60" t="s">
        <v>42</v>
      </c>
      <c r="U109" s="60">
        <v>20000318</v>
      </c>
      <c r="V109" s="60"/>
      <c r="W109" s="60"/>
      <c r="X109" s="60"/>
      <c r="Y109" s="60"/>
      <c r="Z109" s="60"/>
      <c r="AA109" s="60"/>
      <c r="AB109" s="60"/>
      <c r="AC109" s="60"/>
      <c r="AD109" s="59" t="s">
        <v>178</v>
      </c>
      <c r="AE109" s="60" t="s">
        <v>179</v>
      </c>
      <c r="AF109" s="60" t="s">
        <v>179</v>
      </c>
      <c r="AG109" s="60" t="s">
        <v>179</v>
      </c>
      <c r="AH109" s="59" t="s">
        <v>56</v>
      </c>
      <c r="AI109" s="59" t="s">
        <v>57</v>
      </c>
      <c r="AJ109" s="59" t="s">
        <v>56</v>
      </c>
      <c r="AK109" s="60"/>
      <c r="AL109" s="60"/>
    </row>
    <row r="110" spans="1:38" s="59" customFormat="1" ht="18" customHeight="1" x14ac:dyDescent="0.15">
      <c r="A110" s="60">
        <v>12003001</v>
      </c>
      <c r="B110" s="60" t="s">
        <v>58</v>
      </c>
      <c r="C110" s="60"/>
      <c r="D110" s="60" t="str">
        <f t="shared" si="14"/>
        <v>120030</v>
      </c>
      <c r="E110" s="60" t="str">
        <f t="shared" si="15"/>
        <v>1</v>
      </c>
      <c r="F110" s="60">
        <v>4</v>
      </c>
      <c r="G110" s="60" t="s">
        <v>169</v>
      </c>
      <c r="H110" s="60" t="s">
        <v>59</v>
      </c>
      <c r="I110" s="60" t="s">
        <v>60</v>
      </c>
      <c r="J110" s="73">
        <v>20000</v>
      </c>
      <c r="K110" s="73">
        <v>250</v>
      </c>
      <c r="L110" s="73"/>
      <c r="M110" s="73"/>
      <c r="N110" s="73">
        <v>1</v>
      </c>
      <c r="O110" s="73"/>
      <c r="P110" s="73"/>
      <c r="Q110" s="73"/>
      <c r="R110" s="73"/>
      <c r="S110" s="73"/>
      <c r="T110" s="60" t="s">
        <v>43</v>
      </c>
      <c r="U110" s="60">
        <v>5</v>
      </c>
      <c r="V110" s="60"/>
      <c r="W110" s="60"/>
      <c r="X110" s="60"/>
      <c r="Y110" s="60"/>
      <c r="Z110" s="60"/>
      <c r="AA110" s="60"/>
      <c r="AB110" s="60"/>
      <c r="AC110" s="60"/>
      <c r="AD110" s="59" t="s">
        <v>61</v>
      </c>
      <c r="AE110" s="60" t="s">
        <v>62</v>
      </c>
      <c r="AF110" s="60" t="s">
        <v>62</v>
      </c>
      <c r="AG110" s="60" t="s">
        <v>62</v>
      </c>
      <c r="AH110" s="59" t="s">
        <v>63</v>
      </c>
      <c r="AI110" s="59" t="s">
        <v>64</v>
      </c>
      <c r="AJ110" s="59" t="s">
        <v>63</v>
      </c>
      <c r="AK110" s="60"/>
      <c r="AL110" s="60"/>
    </row>
    <row r="111" spans="1:38" s="59" customFormat="1" ht="18" customHeight="1" x14ac:dyDescent="0.15">
      <c r="A111" s="60">
        <v>12003002</v>
      </c>
      <c r="B111" s="60" t="s">
        <v>65</v>
      </c>
      <c r="C111" s="60"/>
      <c r="D111" s="60" t="str">
        <f t="shared" si="14"/>
        <v>120030</v>
      </c>
      <c r="E111" s="60" t="str">
        <f t="shared" si="15"/>
        <v>2</v>
      </c>
      <c r="F111" s="60">
        <v>4</v>
      </c>
      <c r="G111" s="60" t="s">
        <v>169</v>
      </c>
      <c r="H111" s="60" t="s">
        <v>59</v>
      </c>
      <c r="I111" s="60" t="s">
        <v>60</v>
      </c>
      <c r="J111" s="73">
        <v>20000</v>
      </c>
      <c r="K111" s="73">
        <v>250</v>
      </c>
      <c r="L111" s="73"/>
      <c r="M111" s="73"/>
      <c r="N111" s="73">
        <v>1</v>
      </c>
      <c r="O111" s="73"/>
      <c r="P111" s="73"/>
      <c r="Q111" s="73"/>
      <c r="R111" s="73"/>
      <c r="S111" s="73"/>
      <c r="T111" s="60" t="s">
        <v>43</v>
      </c>
      <c r="U111" s="60">
        <v>5</v>
      </c>
      <c r="V111" s="60"/>
      <c r="W111" s="60"/>
      <c r="X111" s="60"/>
      <c r="Y111" s="60"/>
      <c r="Z111" s="60"/>
      <c r="AA111" s="60"/>
      <c r="AB111" s="60"/>
      <c r="AC111" s="60"/>
      <c r="AD111" s="59" t="s">
        <v>61</v>
      </c>
      <c r="AE111" s="60" t="s">
        <v>62</v>
      </c>
      <c r="AF111" s="60" t="s">
        <v>62</v>
      </c>
      <c r="AG111" s="60" t="s">
        <v>62</v>
      </c>
      <c r="AH111" s="59" t="s">
        <v>63</v>
      </c>
      <c r="AI111" s="59" t="s">
        <v>64</v>
      </c>
      <c r="AJ111" s="59" t="s">
        <v>63</v>
      </c>
      <c r="AK111" s="60"/>
      <c r="AL111" s="60"/>
    </row>
    <row r="112" spans="1:38" s="59" customFormat="1" ht="18" customHeight="1" x14ac:dyDescent="0.15">
      <c r="A112" s="60">
        <v>12003003</v>
      </c>
      <c r="B112" s="60" t="s">
        <v>66</v>
      </c>
      <c r="C112" s="60"/>
      <c r="D112" s="60" t="str">
        <f t="shared" si="14"/>
        <v>120030</v>
      </c>
      <c r="E112" s="60" t="str">
        <f t="shared" si="15"/>
        <v>3</v>
      </c>
      <c r="F112" s="60">
        <v>4</v>
      </c>
      <c r="G112" s="60" t="s">
        <v>169</v>
      </c>
      <c r="H112" s="60" t="s">
        <v>59</v>
      </c>
      <c r="I112" s="60" t="s">
        <v>60</v>
      </c>
      <c r="J112" s="73">
        <v>20000</v>
      </c>
      <c r="K112" s="73">
        <v>250</v>
      </c>
      <c r="L112" s="73"/>
      <c r="M112" s="73"/>
      <c r="N112" s="73">
        <v>1</v>
      </c>
      <c r="O112" s="73"/>
      <c r="P112" s="73"/>
      <c r="Q112" s="73"/>
      <c r="R112" s="73"/>
      <c r="S112" s="73"/>
      <c r="T112" s="60" t="s">
        <v>43</v>
      </c>
      <c r="U112" s="60">
        <v>5</v>
      </c>
      <c r="V112" s="60"/>
      <c r="W112" s="60"/>
      <c r="X112" s="60"/>
      <c r="Y112" s="60"/>
      <c r="Z112" s="60"/>
      <c r="AA112" s="60"/>
      <c r="AB112" s="60"/>
      <c r="AC112" s="60"/>
      <c r="AD112" s="59" t="s">
        <v>61</v>
      </c>
      <c r="AE112" s="60" t="s">
        <v>62</v>
      </c>
      <c r="AF112" s="60" t="s">
        <v>62</v>
      </c>
      <c r="AG112" s="60" t="s">
        <v>62</v>
      </c>
      <c r="AH112" s="59" t="s">
        <v>63</v>
      </c>
      <c r="AI112" s="59" t="s">
        <v>64</v>
      </c>
      <c r="AJ112" s="59" t="s">
        <v>63</v>
      </c>
      <c r="AK112" s="60"/>
      <c r="AL112" s="60"/>
    </row>
    <row r="113" spans="1:38" s="59" customFormat="1" ht="18" customHeight="1" x14ac:dyDescent="0.15">
      <c r="A113" s="60">
        <v>12003004</v>
      </c>
      <c r="B113" s="60" t="s">
        <v>67</v>
      </c>
      <c r="C113" s="60"/>
      <c r="D113" s="60" t="str">
        <f t="shared" si="14"/>
        <v>120030</v>
      </c>
      <c r="E113" s="60" t="str">
        <f t="shared" si="15"/>
        <v>4</v>
      </c>
      <c r="F113" s="60">
        <v>4</v>
      </c>
      <c r="G113" s="60" t="s">
        <v>169</v>
      </c>
      <c r="H113" s="60" t="s">
        <v>59</v>
      </c>
      <c r="I113" s="60" t="s">
        <v>60</v>
      </c>
      <c r="J113" s="73">
        <v>20000</v>
      </c>
      <c r="K113" s="73">
        <v>250</v>
      </c>
      <c r="L113" s="73"/>
      <c r="M113" s="73"/>
      <c r="N113" s="73">
        <v>1</v>
      </c>
      <c r="O113" s="73"/>
      <c r="P113" s="73"/>
      <c r="Q113" s="73"/>
      <c r="R113" s="73"/>
      <c r="S113" s="73"/>
      <c r="T113" s="60" t="s">
        <v>43</v>
      </c>
      <c r="U113" s="60">
        <v>5</v>
      </c>
      <c r="V113" s="60"/>
      <c r="W113" s="60"/>
      <c r="X113" s="60"/>
      <c r="Y113" s="60"/>
      <c r="Z113" s="60"/>
      <c r="AA113" s="60"/>
      <c r="AB113" s="60"/>
      <c r="AC113" s="60"/>
      <c r="AD113" s="59" t="s">
        <v>61</v>
      </c>
      <c r="AE113" s="60" t="s">
        <v>62</v>
      </c>
      <c r="AF113" s="60" t="s">
        <v>62</v>
      </c>
      <c r="AG113" s="60" t="s">
        <v>62</v>
      </c>
      <c r="AH113" s="59" t="s">
        <v>63</v>
      </c>
      <c r="AI113" s="59" t="s">
        <v>64</v>
      </c>
      <c r="AJ113" s="59" t="s">
        <v>63</v>
      </c>
      <c r="AK113" s="60"/>
      <c r="AL113" s="60"/>
    </row>
    <row r="114" spans="1:38" s="59" customFormat="1" ht="18" customHeight="1" x14ac:dyDescent="0.15">
      <c r="A114" s="60">
        <v>12004001</v>
      </c>
      <c r="B114" s="60" t="s">
        <v>68</v>
      </c>
      <c r="C114" s="60"/>
      <c r="D114" s="60" t="str">
        <f t="shared" si="14"/>
        <v>120040</v>
      </c>
      <c r="E114" s="60" t="str">
        <f t="shared" si="15"/>
        <v>1</v>
      </c>
      <c r="F114" s="60">
        <v>3</v>
      </c>
      <c r="G114" s="60" t="s">
        <v>169</v>
      </c>
      <c r="H114" s="60" t="s">
        <v>59</v>
      </c>
      <c r="I114" s="60" t="s">
        <v>69</v>
      </c>
      <c r="J114" s="60">
        <v>30000</v>
      </c>
      <c r="K114" s="60">
        <v>250</v>
      </c>
      <c r="L114" s="60"/>
      <c r="M114" s="60"/>
      <c r="N114" s="73">
        <v>1</v>
      </c>
      <c r="O114" s="73"/>
      <c r="P114" s="73"/>
      <c r="Q114" s="73"/>
      <c r="R114" s="73"/>
      <c r="S114" s="73"/>
      <c r="T114" s="60" t="s">
        <v>70</v>
      </c>
      <c r="U114" s="60" t="s">
        <v>71</v>
      </c>
      <c r="V114" s="60"/>
      <c r="W114" s="60"/>
      <c r="X114" s="60"/>
      <c r="Y114" s="60"/>
      <c r="Z114" s="60"/>
      <c r="AA114" s="60"/>
      <c r="AB114" s="60"/>
      <c r="AC114" s="60"/>
      <c r="AD114" s="59" t="s">
        <v>72</v>
      </c>
      <c r="AE114" s="60" t="s">
        <v>73</v>
      </c>
      <c r="AF114" s="60" t="s">
        <v>73</v>
      </c>
      <c r="AG114" s="60" t="s">
        <v>73</v>
      </c>
      <c r="AH114" s="84" t="s">
        <v>409</v>
      </c>
      <c r="AI114" s="84" t="s">
        <v>410</v>
      </c>
      <c r="AJ114" s="84" t="s">
        <v>409</v>
      </c>
      <c r="AK114" s="60"/>
      <c r="AL114" s="60"/>
    </row>
    <row r="115" spans="1:38" s="59" customFormat="1" ht="18" customHeight="1" x14ac:dyDescent="0.15">
      <c r="A115" s="60">
        <v>12004002</v>
      </c>
      <c r="B115" s="60" t="s">
        <v>74</v>
      </c>
      <c r="C115" s="60"/>
      <c r="D115" s="60" t="str">
        <f t="shared" si="14"/>
        <v>120040</v>
      </c>
      <c r="E115" s="60" t="str">
        <f t="shared" si="15"/>
        <v>2</v>
      </c>
      <c r="F115" s="60">
        <v>3</v>
      </c>
      <c r="G115" s="60" t="s">
        <v>169</v>
      </c>
      <c r="H115" s="60" t="s">
        <v>59</v>
      </c>
      <c r="I115" s="60" t="s">
        <v>69</v>
      </c>
      <c r="J115" s="60">
        <v>45000</v>
      </c>
      <c r="K115" s="60">
        <v>500</v>
      </c>
      <c r="L115" s="60"/>
      <c r="M115" s="60"/>
      <c r="N115" s="73">
        <v>2</v>
      </c>
      <c r="O115" s="73"/>
      <c r="P115" s="73"/>
      <c r="Q115" s="73"/>
      <c r="R115" s="73"/>
      <c r="S115" s="73"/>
      <c r="T115" s="60" t="s">
        <v>70</v>
      </c>
      <c r="U115" s="60" t="s">
        <v>71</v>
      </c>
      <c r="V115" s="60"/>
      <c r="W115" s="60"/>
      <c r="X115" s="60"/>
      <c r="Y115" s="60"/>
      <c r="Z115" s="60"/>
      <c r="AA115" s="60"/>
      <c r="AB115" s="60"/>
      <c r="AC115" s="60"/>
      <c r="AD115" s="59" t="s">
        <v>75</v>
      </c>
      <c r="AE115" s="60" t="s">
        <v>76</v>
      </c>
      <c r="AF115" s="60" t="s">
        <v>76</v>
      </c>
      <c r="AG115" s="60" t="s">
        <v>76</v>
      </c>
      <c r="AH115" s="84" t="s">
        <v>411</v>
      </c>
      <c r="AI115" s="84" t="s">
        <v>412</v>
      </c>
      <c r="AJ115" s="84" t="s">
        <v>411</v>
      </c>
      <c r="AK115" s="60"/>
      <c r="AL115" s="60"/>
    </row>
    <row r="116" spans="1:38" s="59" customFormat="1" ht="18" customHeight="1" x14ac:dyDescent="0.15">
      <c r="A116" s="60">
        <v>12004003</v>
      </c>
      <c r="B116" s="60" t="s">
        <v>77</v>
      </c>
      <c r="C116" s="60"/>
      <c r="D116" s="60" t="str">
        <f t="shared" si="14"/>
        <v>120040</v>
      </c>
      <c r="E116" s="60" t="str">
        <f t="shared" si="15"/>
        <v>3</v>
      </c>
      <c r="F116" s="60">
        <v>3</v>
      </c>
      <c r="G116" s="60" t="s">
        <v>169</v>
      </c>
      <c r="H116" s="60" t="s">
        <v>59</v>
      </c>
      <c r="I116" s="60" t="s">
        <v>69</v>
      </c>
      <c r="J116" s="60">
        <v>60000</v>
      </c>
      <c r="K116" s="60">
        <v>800</v>
      </c>
      <c r="L116" s="60"/>
      <c r="M116" s="60"/>
      <c r="N116" s="73">
        <v>3</v>
      </c>
      <c r="O116" s="73"/>
      <c r="P116" s="73"/>
      <c r="Q116" s="73"/>
      <c r="R116" s="73"/>
      <c r="S116" s="73"/>
      <c r="T116" s="60" t="s">
        <v>70</v>
      </c>
      <c r="U116" s="60" t="s">
        <v>71</v>
      </c>
      <c r="V116" s="60"/>
      <c r="W116" s="60"/>
      <c r="X116" s="60"/>
      <c r="Y116" s="60"/>
      <c r="Z116" s="60"/>
      <c r="AA116" s="60"/>
      <c r="AB116" s="60"/>
      <c r="AC116" s="60"/>
      <c r="AD116" s="59" t="s">
        <v>78</v>
      </c>
      <c r="AE116" s="60" t="s">
        <v>79</v>
      </c>
      <c r="AF116" s="60" t="s">
        <v>79</v>
      </c>
      <c r="AG116" s="60" t="s">
        <v>79</v>
      </c>
      <c r="AH116" s="84" t="s">
        <v>413</v>
      </c>
      <c r="AI116" s="84" t="s">
        <v>414</v>
      </c>
      <c r="AJ116" s="84" t="s">
        <v>413</v>
      </c>
      <c r="AK116" s="60"/>
      <c r="AL116" s="60"/>
    </row>
    <row r="117" spans="1:38" s="59" customFormat="1" ht="18" customHeight="1" x14ac:dyDescent="0.15">
      <c r="A117" s="60">
        <v>12005001</v>
      </c>
      <c r="B117" s="60" t="s">
        <v>80</v>
      </c>
      <c r="C117" s="60"/>
      <c r="D117" s="60" t="str">
        <f t="shared" si="14"/>
        <v>120050</v>
      </c>
      <c r="E117" s="60" t="str">
        <f t="shared" si="15"/>
        <v>1</v>
      </c>
      <c r="F117" s="60">
        <v>3</v>
      </c>
      <c r="G117" s="60" t="s">
        <v>169</v>
      </c>
      <c r="H117" s="60" t="s">
        <v>59</v>
      </c>
      <c r="I117" s="60" t="s">
        <v>81</v>
      </c>
      <c r="J117" s="60">
        <v>30000</v>
      </c>
      <c r="K117" s="60">
        <v>250</v>
      </c>
      <c r="L117" s="60"/>
      <c r="M117" s="60"/>
      <c r="N117" s="73">
        <v>1</v>
      </c>
      <c r="O117" s="73"/>
      <c r="P117" s="73"/>
      <c r="Q117" s="73"/>
      <c r="R117" s="73"/>
      <c r="S117" s="73"/>
      <c r="T117" s="60" t="s">
        <v>70</v>
      </c>
      <c r="U117" s="60" t="s">
        <v>82</v>
      </c>
      <c r="V117" s="60"/>
      <c r="W117" s="60"/>
      <c r="X117" s="60"/>
      <c r="Y117" s="60"/>
      <c r="Z117" s="60"/>
      <c r="AA117" s="60"/>
      <c r="AB117" s="60"/>
      <c r="AC117" s="60"/>
      <c r="AD117" s="59" t="s">
        <v>83</v>
      </c>
      <c r="AE117" s="60" t="s">
        <v>84</v>
      </c>
      <c r="AF117" s="60" t="s">
        <v>84</v>
      </c>
      <c r="AG117" s="60" t="s">
        <v>84</v>
      </c>
      <c r="AH117" s="84" t="s">
        <v>415</v>
      </c>
      <c r="AI117" s="84" t="s">
        <v>416</v>
      </c>
      <c r="AJ117" s="84" t="s">
        <v>415</v>
      </c>
      <c r="AK117" s="60"/>
      <c r="AL117" s="60"/>
    </row>
    <row r="118" spans="1:38" s="59" customFormat="1" ht="18" customHeight="1" x14ac:dyDescent="0.15">
      <c r="A118" s="60">
        <v>12005002</v>
      </c>
      <c r="B118" s="60" t="s">
        <v>85</v>
      </c>
      <c r="C118" s="60"/>
      <c r="D118" s="60" t="str">
        <f t="shared" si="14"/>
        <v>120050</v>
      </c>
      <c r="E118" s="60" t="str">
        <f t="shared" si="15"/>
        <v>2</v>
      </c>
      <c r="F118" s="60">
        <v>3</v>
      </c>
      <c r="G118" s="60" t="s">
        <v>169</v>
      </c>
      <c r="H118" s="60" t="s">
        <v>59</v>
      </c>
      <c r="I118" s="60" t="s">
        <v>81</v>
      </c>
      <c r="J118" s="60">
        <v>45000</v>
      </c>
      <c r="K118" s="60">
        <v>500</v>
      </c>
      <c r="L118" s="60"/>
      <c r="M118" s="60"/>
      <c r="N118" s="73">
        <v>2</v>
      </c>
      <c r="O118" s="73"/>
      <c r="P118" s="73"/>
      <c r="Q118" s="73"/>
      <c r="R118" s="73"/>
      <c r="S118" s="73"/>
      <c r="T118" s="60" t="s">
        <v>70</v>
      </c>
      <c r="U118" s="60" t="s">
        <v>82</v>
      </c>
      <c r="V118" s="60"/>
      <c r="W118" s="60"/>
      <c r="X118" s="60"/>
      <c r="Y118" s="60"/>
      <c r="Z118" s="60"/>
      <c r="AA118" s="60"/>
      <c r="AB118" s="60"/>
      <c r="AC118" s="60"/>
      <c r="AD118" s="59" t="s">
        <v>86</v>
      </c>
      <c r="AE118" s="60" t="s">
        <v>87</v>
      </c>
      <c r="AF118" s="60" t="s">
        <v>87</v>
      </c>
      <c r="AG118" s="60" t="s">
        <v>87</v>
      </c>
      <c r="AH118" s="84" t="s">
        <v>417</v>
      </c>
      <c r="AI118" s="84" t="s">
        <v>418</v>
      </c>
      <c r="AJ118" s="84" t="s">
        <v>417</v>
      </c>
      <c r="AK118" s="60"/>
      <c r="AL118" s="60"/>
    </row>
    <row r="119" spans="1:38" s="59" customFormat="1" ht="18" customHeight="1" x14ac:dyDescent="0.15">
      <c r="A119" s="60">
        <v>12005003</v>
      </c>
      <c r="B119" s="60" t="s">
        <v>88</v>
      </c>
      <c r="C119" s="60"/>
      <c r="D119" s="60" t="str">
        <f t="shared" si="14"/>
        <v>120050</v>
      </c>
      <c r="E119" s="60" t="str">
        <f t="shared" si="15"/>
        <v>3</v>
      </c>
      <c r="F119" s="60">
        <v>3</v>
      </c>
      <c r="G119" s="60" t="s">
        <v>169</v>
      </c>
      <c r="H119" s="60" t="s">
        <v>59</v>
      </c>
      <c r="I119" s="60" t="s">
        <v>81</v>
      </c>
      <c r="J119" s="60">
        <v>60000</v>
      </c>
      <c r="K119" s="60">
        <v>800</v>
      </c>
      <c r="L119" s="60"/>
      <c r="M119" s="60"/>
      <c r="N119" s="73">
        <v>3</v>
      </c>
      <c r="O119" s="73"/>
      <c r="P119" s="73"/>
      <c r="Q119" s="73"/>
      <c r="R119" s="73"/>
      <c r="S119" s="73"/>
      <c r="T119" s="60" t="s">
        <v>70</v>
      </c>
      <c r="U119" s="60" t="s">
        <v>82</v>
      </c>
      <c r="V119" s="60"/>
      <c r="W119" s="60"/>
      <c r="X119" s="60"/>
      <c r="Y119" s="60"/>
      <c r="Z119" s="60"/>
      <c r="AA119" s="60"/>
      <c r="AB119" s="60"/>
      <c r="AC119" s="60"/>
      <c r="AD119" s="59" t="s">
        <v>89</v>
      </c>
      <c r="AE119" s="60" t="s">
        <v>90</v>
      </c>
      <c r="AF119" s="60" t="s">
        <v>90</v>
      </c>
      <c r="AG119" s="60" t="s">
        <v>90</v>
      </c>
      <c r="AH119" s="84" t="s">
        <v>419</v>
      </c>
      <c r="AI119" s="84" t="s">
        <v>420</v>
      </c>
      <c r="AJ119" s="84" t="s">
        <v>419</v>
      </c>
      <c r="AK119" s="60"/>
      <c r="AL119" s="60"/>
    </row>
    <row r="120" spans="1:38" s="59" customFormat="1" ht="18" customHeight="1" x14ac:dyDescent="0.15">
      <c r="A120" s="60">
        <v>12006001</v>
      </c>
      <c r="B120" s="60" t="s">
        <v>159</v>
      </c>
      <c r="C120" s="60"/>
      <c r="D120" s="60" t="str">
        <f t="shared" si="14"/>
        <v>120060</v>
      </c>
      <c r="E120" s="60" t="str">
        <f t="shared" si="15"/>
        <v>1</v>
      </c>
      <c r="F120" s="60">
        <v>1</v>
      </c>
      <c r="G120" s="60" t="s">
        <v>169</v>
      </c>
      <c r="H120" s="60" t="s">
        <v>40</v>
      </c>
      <c r="I120" s="60"/>
      <c r="J120" s="73">
        <v>0</v>
      </c>
      <c r="K120" s="73">
        <v>0</v>
      </c>
      <c r="L120" s="73"/>
      <c r="M120" s="73"/>
      <c r="N120" s="60">
        <v>1</v>
      </c>
      <c r="O120" s="60"/>
      <c r="P120" s="60"/>
      <c r="Q120" s="60"/>
      <c r="R120" s="60"/>
      <c r="S120" s="60"/>
      <c r="T120" s="60" t="s">
        <v>92</v>
      </c>
      <c r="U120" s="60">
        <v>20000301</v>
      </c>
      <c r="V120" s="60">
        <v>1</v>
      </c>
      <c r="W120" s="60"/>
      <c r="X120" s="60"/>
      <c r="Y120" s="60"/>
      <c r="Z120" s="60"/>
      <c r="AA120" s="60"/>
      <c r="AB120" s="60"/>
      <c r="AC120" s="60"/>
      <c r="AE120" s="60"/>
      <c r="AF120" s="60"/>
      <c r="AG120" s="60"/>
      <c r="AK120" s="60"/>
      <c r="AL120" s="60"/>
    </row>
    <row r="121" spans="1:38" s="59" customFormat="1" ht="18" customHeight="1" x14ac:dyDescent="0.15">
      <c r="A121" s="60">
        <v>12007001</v>
      </c>
      <c r="B121" s="60" t="s">
        <v>93</v>
      </c>
      <c r="C121" s="60"/>
      <c r="D121" s="60" t="str">
        <f t="shared" si="14"/>
        <v>120070</v>
      </c>
      <c r="E121" s="60" t="str">
        <f t="shared" si="15"/>
        <v>1</v>
      </c>
      <c r="F121" s="60">
        <v>4</v>
      </c>
      <c r="G121" s="60" t="s">
        <v>169</v>
      </c>
      <c r="H121" s="60" t="s">
        <v>59</v>
      </c>
      <c r="I121" s="60" t="s">
        <v>60</v>
      </c>
      <c r="J121" s="73">
        <v>20000</v>
      </c>
      <c r="K121" s="73">
        <v>250</v>
      </c>
      <c r="L121" s="73"/>
      <c r="M121" s="73"/>
      <c r="N121" s="73">
        <v>1</v>
      </c>
      <c r="O121" s="73"/>
      <c r="P121" s="73"/>
      <c r="Q121" s="73"/>
      <c r="R121" s="73"/>
      <c r="S121" s="73"/>
      <c r="T121" s="60" t="s">
        <v>43</v>
      </c>
      <c r="U121" s="60">
        <v>5</v>
      </c>
      <c r="V121" s="60"/>
      <c r="W121" s="60"/>
      <c r="X121" s="60"/>
      <c r="Y121" s="60"/>
      <c r="Z121" s="60"/>
      <c r="AA121" s="60"/>
      <c r="AB121" s="60"/>
      <c r="AC121" s="60"/>
      <c r="AD121" s="59" t="s">
        <v>61</v>
      </c>
      <c r="AE121" s="60" t="s">
        <v>62</v>
      </c>
      <c r="AF121" s="60" t="s">
        <v>62</v>
      </c>
      <c r="AG121" s="60" t="s">
        <v>62</v>
      </c>
      <c r="AH121" s="59" t="s">
        <v>63</v>
      </c>
      <c r="AI121" s="59" t="s">
        <v>64</v>
      </c>
      <c r="AJ121" s="59" t="s">
        <v>63</v>
      </c>
      <c r="AK121" s="60"/>
      <c r="AL121" s="60"/>
    </row>
    <row r="122" spans="1:38" s="59" customFormat="1" ht="18" customHeight="1" x14ac:dyDescent="0.15">
      <c r="A122" s="60">
        <v>12007002</v>
      </c>
      <c r="B122" s="60" t="s">
        <v>94</v>
      </c>
      <c r="C122" s="60"/>
      <c r="D122" s="60" t="str">
        <f t="shared" si="14"/>
        <v>120070</v>
      </c>
      <c r="E122" s="60" t="str">
        <f t="shared" si="15"/>
        <v>2</v>
      </c>
      <c r="F122" s="60">
        <v>4</v>
      </c>
      <c r="G122" s="60" t="s">
        <v>169</v>
      </c>
      <c r="H122" s="60" t="s">
        <v>59</v>
      </c>
      <c r="I122" s="60" t="s">
        <v>60</v>
      </c>
      <c r="J122" s="73">
        <v>20000</v>
      </c>
      <c r="K122" s="73">
        <v>250</v>
      </c>
      <c r="L122" s="73"/>
      <c r="M122" s="73"/>
      <c r="N122" s="73">
        <v>1</v>
      </c>
      <c r="O122" s="73"/>
      <c r="P122" s="73"/>
      <c r="Q122" s="73"/>
      <c r="R122" s="73"/>
      <c r="S122" s="73"/>
      <c r="T122" s="60" t="s">
        <v>43</v>
      </c>
      <c r="U122" s="60">
        <v>5</v>
      </c>
      <c r="V122" s="60"/>
      <c r="W122" s="60"/>
      <c r="X122" s="60"/>
      <c r="Y122" s="60"/>
      <c r="Z122" s="60"/>
      <c r="AA122" s="60"/>
      <c r="AB122" s="60"/>
      <c r="AC122" s="60"/>
      <c r="AD122" s="59" t="s">
        <v>61</v>
      </c>
      <c r="AE122" s="60" t="s">
        <v>62</v>
      </c>
      <c r="AF122" s="60" t="s">
        <v>62</v>
      </c>
      <c r="AG122" s="60" t="s">
        <v>62</v>
      </c>
      <c r="AH122" s="59" t="s">
        <v>63</v>
      </c>
      <c r="AI122" s="59" t="s">
        <v>64</v>
      </c>
      <c r="AJ122" s="59" t="s">
        <v>63</v>
      </c>
      <c r="AK122" s="60"/>
      <c r="AL122" s="60"/>
    </row>
    <row r="123" spans="1:38" s="59" customFormat="1" ht="18" customHeight="1" x14ac:dyDescent="0.15">
      <c r="A123" s="60">
        <v>12007003</v>
      </c>
      <c r="B123" s="60" t="s">
        <v>95</v>
      </c>
      <c r="C123" s="60"/>
      <c r="D123" s="60" t="str">
        <f t="shared" si="14"/>
        <v>120070</v>
      </c>
      <c r="E123" s="60" t="str">
        <f t="shared" si="15"/>
        <v>3</v>
      </c>
      <c r="F123" s="60">
        <v>4</v>
      </c>
      <c r="G123" s="60" t="s">
        <v>169</v>
      </c>
      <c r="H123" s="60" t="s">
        <v>59</v>
      </c>
      <c r="I123" s="60" t="s">
        <v>60</v>
      </c>
      <c r="J123" s="73">
        <v>20000</v>
      </c>
      <c r="K123" s="73">
        <v>250</v>
      </c>
      <c r="L123" s="73"/>
      <c r="M123" s="73"/>
      <c r="N123" s="73">
        <v>1</v>
      </c>
      <c r="O123" s="73"/>
      <c r="P123" s="73"/>
      <c r="Q123" s="73"/>
      <c r="R123" s="73"/>
      <c r="S123" s="73"/>
      <c r="T123" s="60" t="s">
        <v>43</v>
      </c>
      <c r="U123" s="60">
        <v>5</v>
      </c>
      <c r="V123" s="60"/>
      <c r="W123" s="60"/>
      <c r="X123" s="60"/>
      <c r="Y123" s="60"/>
      <c r="Z123" s="60"/>
      <c r="AA123" s="60"/>
      <c r="AB123" s="60"/>
      <c r="AC123" s="60"/>
      <c r="AD123" s="59" t="s">
        <v>61</v>
      </c>
      <c r="AE123" s="60" t="s">
        <v>62</v>
      </c>
      <c r="AF123" s="60" t="s">
        <v>62</v>
      </c>
      <c r="AG123" s="60" t="s">
        <v>62</v>
      </c>
      <c r="AH123" s="59" t="s">
        <v>63</v>
      </c>
      <c r="AI123" s="59" t="s">
        <v>64</v>
      </c>
      <c r="AJ123" s="59" t="s">
        <v>63</v>
      </c>
      <c r="AK123" s="60"/>
      <c r="AL123" s="60"/>
    </row>
    <row r="124" spans="1:38" s="59" customFormat="1" ht="18" customHeight="1" x14ac:dyDescent="0.15">
      <c r="A124" s="60">
        <v>12007004</v>
      </c>
      <c r="B124" s="60" t="s">
        <v>96</v>
      </c>
      <c r="C124" s="60"/>
      <c r="D124" s="60" t="str">
        <f t="shared" si="14"/>
        <v>120070</v>
      </c>
      <c r="E124" s="60" t="str">
        <f t="shared" si="15"/>
        <v>4</v>
      </c>
      <c r="F124" s="60">
        <v>4</v>
      </c>
      <c r="G124" s="60" t="s">
        <v>169</v>
      </c>
      <c r="H124" s="60" t="s">
        <v>59</v>
      </c>
      <c r="I124" s="60" t="s">
        <v>60</v>
      </c>
      <c r="J124" s="73">
        <v>20000</v>
      </c>
      <c r="K124" s="73">
        <v>250</v>
      </c>
      <c r="L124" s="73"/>
      <c r="M124" s="73"/>
      <c r="N124" s="73">
        <v>1</v>
      </c>
      <c r="O124" s="73"/>
      <c r="P124" s="73"/>
      <c r="Q124" s="73"/>
      <c r="R124" s="73"/>
      <c r="S124" s="73"/>
      <c r="T124" s="60" t="s">
        <v>43</v>
      </c>
      <c r="U124" s="60">
        <v>5</v>
      </c>
      <c r="V124" s="60"/>
      <c r="W124" s="60"/>
      <c r="X124" s="60"/>
      <c r="Y124" s="60"/>
      <c r="Z124" s="60"/>
      <c r="AA124" s="60"/>
      <c r="AB124" s="60"/>
      <c r="AC124" s="60"/>
      <c r="AD124" s="59" t="s">
        <v>61</v>
      </c>
      <c r="AE124" s="60" t="s">
        <v>62</v>
      </c>
      <c r="AF124" s="60" t="s">
        <v>62</v>
      </c>
      <c r="AG124" s="60" t="s">
        <v>62</v>
      </c>
      <c r="AH124" s="59" t="s">
        <v>63</v>
      </c>
      <c r="AI124" s="59" t="s">
        <v>64</v>
      </c>
      <c r="AJ124" s="59" t="s">
        <v>63</v>
      </c>
      <c r="AK124" s="60"/>
      <c r="AL124" s="60"/>
    </row>
    <row r="125" spans="1:38" s="59" customFormat="1" ht="18" customHeight="1" x14ac:dyDescent="0.15">
      <c r="A125" s="60">
        <v>12008001</v>
      </c>
      <c r="B125" s="60" t="s">
        <v>97</v>
      </c>
      <c r="C125" s="60"/>
      <c r="D125" s="60" t="str">
        <f t="shared" si="14"/>
        <v>120080</v>
      </c>
      <c r="E125" s="60" t="str">
        <f t="shared" si="15"/>
        <v>1</v>
      </c>
      <c r="F125" s="60">
        <v>1</v>
      </c>
      <c r="G125" s="60" t="s">
        <v>169</v>
      </c>
      <c r="H125" s="60" t="s">
        <v>40</v>
      </c>
      <c r="I125" s="60" t="s">
        <v>41</v>
      </c>
      <c r="J125" s="73">
        <v>0</v>
      </c>
      <c r="K125" s="73">
        <v>0</v>
      </c>
      <c r="L125" s="74"/>
      <c r="M125" s="74"/>
      <c r="N125" s="73">
        <v>1</v>
      </c>
      <c r="O125" s="73"/>
      <c r="P125" s="73"/>
      <c r="Q125" s="73"/>
      <c r="R125" s="73"/>
      <c r="S125" s="73"/>
      <c r="T125" s="60" t="s">
        <v>42</v>
      </c>
      <c r="U125" s="60">
        <v>20000323</v>
      </c>
      <c r="V125" s="60"/>
      <c r="W125" s="60"/>
      <c r="X125" s="60"/>
      <c r="Y125" s="60" t="s">
        <v>43</v>
      </c>
      <c r="Z125" s="60">
        <v>10</v>
      </c>
      <c r="AA125" s="60"/>
      <c r="AB125" s="60"/>
      <c r="AC125" s="60"/>
      <c r="AD125" s="59" t="s">
        <v>170</v>
      </c>
      <c r="AE125" s="60" t="s">
        <v>171</v>
      </c>
      <c r="AF125" s="60" t="s">
        <v>171</v>
      </c>
      <c r="AG125" s="60" t="s">
        <v>171</v>
      </c>
      <c r="AH125" s="59" t="s">
        <v>172</v>
      </c>
      <c r="AI125" s="59" t="s">
        <v>173</v>
      </c>
      <c r="AJ125" s="59" t="s">
        <v>172</v>
      </c>
      <c r="AK125" s="60"/>
      <c r="AL125" s="60"/>
    </row>
    <row r="126" spans="1:38" s="59" customFormat="1" ht="18" customHeight="1" x14ac:dyDescent="0.15">
      <c r="A126" s="60">
        <v>12009001</v>
      </c>
      <c r="B126" s="60" t="s">
        <v>99</v>
      </c>
      <c r="C126" s="60"/>
      <c r="D126" s="60" t="str">
        <f t="shared" si="14"/>
        <v>120090</v>
      </c>
      <c r="E126" s="60" t="str">
        <f t="shared" si="15"/>
        <v>1</v>
      </c>
      <c r="F126" s="60">
        <v>1</v>
      </c>
      <c r="G126" s="60" t="s">
        <v>169</v>
      </c>
      <c r="H126" s="60" t="s">
        <v>40</v>
      </c>
      <c r="I126" s="60" t="s">
        <v>41</v>
      </c>
      <c r="J126" s="73">
        <v>75000</v>
      </c>
      <c r="K126" s="73">
        <v>1000</v>
      </c>
      <c r="L126" s="74"/>
      <c r="M126" s="74"/>
      <c r="N126" s="73">
        <v>1</v>
      </c>
      <c r="O126" s="73"/>
      <c r="P126" s="73"/>
      <c r="Q126" s="73"/>
      <c r="R126" s="73"/>
      <c r="S126" s="73"/>
      <c r="T126" s="60" t="s">
        <v>42</v>
      </c>
      <c r="U126" s="60">
        <v>20000324</v>
      </c>
      <c r="V126" s="60"/>
      <c r="W126" s="60"/>
      <c r="X126" s="60"/>
      <c r="Y126" s="60"/>
      <c r="Z126" s="60"/>
      <c r="AA126" s="60"/>
      <c r="AB126" s="60"/>
      <c r="AC126" s="60"/>
      <c r="AD126" s="59" t="s">
        <v>174</v>
      </c>
      <c r="AE126" s="60" t="s">
        <v>175</v>
      </c>
      <c r="AF126" s="60" t="s">
        <v>175</v>
      </c>
      <c r="AG126" s="60" t="s">
        <v>175</v>
      </c>
      <c r="AH126" s="59" t="s">
        <v>176</v>
      </c>
      <c r="AI126" s="59" t="s">
        <v>177</v>
      </c>
      <c r="AJ126" s="59" t="s">
        <v>176</v>
      </c>
      <c r="AK126" s="60"/>
      <c r="AL126" s="60"/>
    </row>
    <row r="127" spans="1:38" s="59" customFormat="1" ht="18" customHeight="1" x14ac:dyDescent="0.15">
      <c r="A127" s="60">
        <v>12010001</v>
      </c>
      <c r="B127" s="60" t="s">
        <v>100</v>
      </c>
      <c r="C127" s="60"/>
      <c r="D127" s="60" t="str">
        <f t="shared" si="14"/>
        <v>120100</v>
      </c>
      <c r="E127" s="60" t="str">
        <f t="shared" si="15"/>
        <v>1</v>
      </c>
      <c r="F127" s="60">
        <v>1</v>
      </c>
      <c r="G127" s="60" t="s">
        <v>169</v>
      </c>
      <c r="H127" s="60" t="s">
        <v>40</v>
      </c>
      <c r="I127" s="60" t="s">
        <v>41</v>
      </c>
      <c r="J127" s="73">
        <v>90000</v>
      </c>
      <c r="K127" s="73">
        <v>1000</v>
      </c>
      <c r="L127" s="74"/>
      <c r="M127" s="74"/>
      <c r="N127" s="73">
        <v>2</v>
      </c>
      <c r="O127" s="73"/>
      <c r="P127" s="73"/>
      <c r="Q127" s="73"/>
      <c r="R127" s="73"/>
      <c r="S127" s="73"/>
      <c r="T127" s="60" t="s">
        <v>42</v>
      </c>
      <c r="U127" s="60">
        <v>20000325</v>
      </c>
      <c r="V127" s="60"/>
      <c r="W127" s="60"/>
      <c r="X127" s="60"/>
      <c r="Y127" s="60"/>
      <c r="Z127" s="60"/>
      <c r="AA127" s="60"/>
      <c r="AB127" s="60"/>
      <c r="AC127" s="60"/>
      <c r="AD127" s="59" t="s">
        <v>178</v>
      </c>
      <c r="AE127" s="60" t="s">
        <v>179</v>
      </c>
      <c r="AF127" s="60" t="s">
        <v>179</v>
      </c>
      <c r="AG127" s="60" t="s">
        <v>179</v>
      </c>
      <c r="AH127" s="59" t="s">
        <v>56</v>
      </c>
      <c r="AI127" s="59" t="s">
        <v>57</v>
      </c>
      <c r="AJ127" s="59" t="s">
        <v>56</v>
      </c>
      <c r="AK127" s="60"/>
      <c r="AL127" s="60"/>
    </row>
    <row r="128" spans="1:38" s="59" customFormat="1" ht="18" customHeight="1" x14ac:dyDescent="0.15">
      <c r="A128" s="60">
        <v>12011001</v>
      </c>
      <c r="B128" s="60" t="s">
        <v>101</v>
      </c>
      <c r="C128" s="60" t="s">
        <v>102</v>
      </c>
      <c r="D128" s="60" t="str">
        <f t="shared" si="14"/>
        <v>120110</v>
      </c>
      <c r="E128" s="60" t="str">
        <f t="shared" si="15"/>
        <v>1</v>
      </c>
      <c r="F128" s="60">
        <v>1</v>
      </c>
      <c r="G128" s="60" t="s">
        <v>169</v>
      </c>
      <c r="H128" s="60" t="s">
        <v>40</v>
      </c>
      <c r="I128" s="60" t="s">
        <v>103</v>
      </c>
      <c r="J128" s="73">
        <v>14000</v>
      </c>
      <c r="K128" s="73">
        <v>160</v>
      </c>
      <c r="L128" s="74">
        <f>0.6*K128</f>
        <v>96</v>
      </c>
      <c r="M128" s="74">
        <v>0</v>
      </c>
      <c r="N128" s="73">
        <v>1</v>
      </c>
      <c r="O128" s="73"/>
      <c r="P128" s="73"/>
      <c r="Q128" s="73"/>
      <c r="R128" s="73"/>
      <c r="S128" s="73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E128" s="60"/>
      <c r="AF128" s="60"/>
      <c r="AG128" s="60"/>
      <c r="AK128" s="60"/>
      <c r="AL128" s="60"/>
    </row>
    <row r="129" spans="1:38" s="59" customFormat="1" ht="18" customHeight="1" x14ac:dyDescent="0.15">
      <c r="A129" s="60">
        <v>12011101</v>
      </c>
      <c r="B129" s="60" t="s">
        <v>104</v>
      </c>
      <c r="C129" s="60" t="s">
        <v>102</v>
      </c>
      <c r="D129" s="60" t="str">
        <f t="shared" si="14"/>
        <v>120111</v>
      </c>
      <c r="E129" s="60" t="str">
        <f t="shared" si="15"/>
        <v>1</v>
      </c>
      <c r="F129" s="60">
        <v>1</v>
      </c>
      <c r="G129" s="60" t="s">
        <v>169</v>
      </c>
      <c r="H129" s="60" t="s">
        <v>40</v>
      </c>
      <c r="I129" s="60"/>
      <c r="J129" s="73">
        <v>0</v>
      </c>
      <c r="K129" s="73">
        <v>0</v>
      </c>
      <c r="L129" s="74"/>
      <c r="M129" s="74"/>
      <c r="N129" s="73">
        <v>1</v>
      </c>
      <c r="O129" s="73"/>
      <c r="P129" s="73"/>
      <c r="Q129" s="73"/>
      <c r="R129" s="73"/>
      <c r="S129" s="73"/>
      <c r="T129" s="60" t="s">
        <v>105</v>
      </c>
      <c r="U129" s="60">
        <v>20000301</v>
      </c>
      <c r="V129" s="60" t="s">
        <v>106</v>
      </c>
      <c r="W129" s="60"/>
      <c r="X129" s="60"/>
      <c r="Y129" s="60"/>
      <c r="Z129" s="60"/>
      <c r="AA129" s="60"/>
      <c r="AB129" s="60"/>
      <c r="AC129" s="60"/>
      <c r="AE129" s="60"/>
      <c r="AF129" s="60"/>
      <c r="AG129" s="60"/>
      <c r="AK129" s="60"/>
      <c r="AL129" s="60"/>
    </row>
    <row r="130" spans="1:38" s="59" customFormat="1" ht="18" customHeight="1" x14ac:dyDescent="0.15">
      <c r="A130" s="60">
        <v>12011201</v>
      </c>
      <c r="B130" s="60" t="s">
        <v>180</v>
      </c>
      <c r="C130" s="60" t="s">
        <v>102</v>
      </c>
      <c r="D130" s="60" t="str">
        <f t="shared" si="14"/>
        <v>120112</v>
      </c>
      <c r="E130" s="60" t="str">
        <f t="shared" si="15"/>
        <v>1</v>
      </c>
      <c r="F130" s="60">
        <v>1</v>
      </c>
      <c r="G130" s="60" t="s">
        <v>169</v>
      </c>
      <c r="H130" s="60" t="s">
        <v>40</v>
      </c>
      <c r="I130" s="60"/>
      <c r="J130" s="73">
        <v>0</v>
      </c>
      <c r="K130" s="73">
        <v>0</v>
      </c>
      <c r="L130" s="74"/>
      <c r="M130" s="74"/>
      <c r="N130" s="73">
        <v>2</v>
      </c>
      <c r="O130" s="73"/>
      <c r="P130" s="73"/>
      <c r="Q130" s="73"/>
      <c r="R130" s="73"/>
      <c r="S130" s="73"/>
      <c r="T130" s="60" t="s">
        <v>105</v>
      </c>
      <c r="U130" s="60">
        <v>20000301</v>
      </c>
      <c r="V130" s="60" t="s">
        <v>112</v>
      </c>
      <c r="W130" s="60"/>
      <c r="X130" s="60"/>
      <c r="Y130" s="60"/>
      <c r="Z130" s="60"/>
      <c r="AA130" s="60"/>
      <c r="AB130" s="60"/>
      <c r="AC130" s="60"/>
      <c r="AE130" s="60"/>
      <c r="AF130" s="60"/>
      <c r="AG130" s="60"/>
      <c r="AK130" s="60"/>
      <c r="AL130" s="60"/>
    </row>
    <row r="131" spans="1:38" s="59" customFormat="1" ht="18" customHeight="1" x14ac:dyDescent="0.15">
      <c r="A131" s="60">
        <v>12012001</v>
      </c>
      <c r="B131" s="60" t="s">
        <v>107</v>
      </c>
      <c r="C131" s="60" t="s">
        <v>102</v>
      </c>
      <c r="D131" s="60" t="str">
        <f t="shared" si="14"/>
        <v>120120</v>
      </c>
      <c r="E131" s="60" t="str">
        <f t="shared" si="15"/>
        <v>1</v>
      </c>
      <c r="F131" s="60">
        <v>1</v>
      </c>
      <c r="G131" s="60" t="s">
        <v>169</v>
      </c>
      <c r="H131" s="60" t="s">
        <v>40</v>
      </c>
      <c r="I131" s="60" t="s">
        <v>103</v>
      </c>
      <c r="J131" s="73">
        <v>24000</v>
      </c>
      <c r="K131" s="73">
        <v>300</v>
      </c>
      <c r="L131" s="74">
        <f>0.6*K131</f>
        <v>180</v>
      </c>
      <c r="M131" s="74">
        <v>0</v>
      </c>
      <c r="N131" s="73">
        <v>1</v>
      </c>
      <c r="O131" s="73"/>
      <c r="P131" s="73"/>
      <c r="Q131" s="73"/>
      <c r="R131" s="73"/>
      <c r="S131" s="73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E131" s="60"/>
      <c r="AF131" s="60"/>
      <c r="AG131" s="60"/>
      <c r="AK131" s="60"/>
      <c r="AL131" s="60"/>
    </row>
    <row r="132" spans="1:38" s="59" customFormat="1" ht="18" customHeight="1" x14ac:dyDescent="0.15">
      <c r="A132" s="60">
        <v>12012101</v>
      </c>
      <c r="B132" s="60" t="s">
        <v>108</v>
      </c>
      <c r="C132" s="60" t="s">
        <v>102</v>
      </c>
      <c r="D132" s="60" t="str">
        <f t="shared" si="14"/>
        <v>120121</v>
      </c>
      <c r="E132" s="60" t="str">
        <f t="shared" si="15"/>
        <v>1</v>
      </c>
      <c r="F132" s="60">
        <v>1</v>
      </c>
      <c r="G132" s="60" t="s">
        <v>169</v>
      </c>
      <c r="H132" s="60" t="s">
        <v>40</v>
      </c>
      <c r="I132" s="60"/>
      <c r="J132" s="73">
        <v>0</v>
      </c>
      <c r="K132" s="73">
        <v>0</v>
      </c>
      <c r="L132" s="74"/>
      <c r="M132" s="74"/>
      <c r="N132" s="73">
        <v>2</v>
      </c>
      <c r="O132" s="73"/>
      <c r="P132" s="73"/>
      <c r="Q132" s="73"/>
      <c r="R132" s="73"/>
      <c r="S132" s="73"/>
      <c r="T132" s="60" t="s">
        <v>105</v>
      </c>
      <c r="U132" s="60">
        <v>20000302</v>
      </c>
      <c r="V132" s="60" t="s">
        <v>106</v>
      </c>
      <c r="W132" s="60"/>
      <c r="X132" s="60"/>
      <c r="Y132" s="60"/>
      <c r="Z132" s="60"/>
      <c r="AA132" s="60"/>
      <c r="AB132" s="60"/>
      <c r="AC132" s="60"/>
      <c r="AE132" s="60"/>
      <c r="AF132" s="60"/>
      <c r="AG132" s="60"/>
      <c r="AK132" s="60"/>
      <c r="AL132" s="60"/>
    </row>
    <row r="133" spans="1:38" s="59" customFormat="1" ht="18" customHeight="1" x14ac:dyDescent="0.15">
      <c r="A133" s="60">
        <v>12013001</v>
      </c>
      <c r="B133" s="60" t="s">
        <v>109</v>
      </c>
      <c r="C133" s="60" t="s">
        <v>102</v>
      </c>
      <c r="D133" s="60" t="str">
        <f t="shared" si="14"/>
        <v>120130</v>
      </c>
      <c r="E133" s="60" t="str">
        <f t="shared" si="15"/>
        <v>1</v>
      </c>
      <c r="F133" s="60">
        <v>1</v>
      </c>
      <c r="G133" s="60" t="s">
        <v>169</v>
      </c>
      <c r="H133" s="60" t="s">
        <v>40</v>
      </c>
      <c r="I133" s="60" t="s">
        <v>103</v>
      </c>
      <c r="J133" s="73">
        <v>20000</v>
      </c>
      <c r="K133" s="73">
        <v>200</v>
      </c>
      <c r="L133" s="74">
        <f>0.6*K133</f>
        <v>120</v>
      </c>
      <c r="M133" s="74">
        <v>320</v>
      </c>
      <c r="N133" s="73">
        <v>2</v>
      </c>
      <c r="O133" s="73"/>
      <c r="P133" s="73"/>
      <c r="Q133" s="73"/>
      <c r="R133" s="73"/>
      <c r="S133" s="73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E133" s="60"/>
      <c r="AF133" s="60"/>
      <c r="AG133" s="60"/>
      <c r="AK133" s="60"/>
      <c r="AL133" s="60"/>
    </row>
    <row r="134" spans="1:38" s="59" customFormat="1" ht="18" customHeight="1" x14ac:dyDescent="0.15">
      <c r="A134" s="60">
        <v>12013101</v>
      </c>
      <c r="B134" s="60" t="s">
        <v>110</v>
      </c>
      <c r="C134" s="60" t="s">
        <v>102</v>
      </c>
      <c r="D134" s="60" t="str">
        <f t="shared" si="14"/>
        <v>120131</v>
      </c>
      <c r="E134" s="60" t="str">
        <f t="shared" si="15"/>
        <v>1</v>
      </c>
      <c r="F134" s="60">
        <v>1</v>
      </c>
      <c r="G134" s="60" t="s">
        <v>169</v>
      </c>
      <c r="H134" s="60" t="s">
        <v>40</v>
      </c>
      <c r="I134" s="60"/>
      <c r="J134" s="73">
        <v>0</v>
      </c>
      <c r="K134" s="73">
        <v>0</v>
      </c>
      <c r="L134" s="74"/>
      <c r="M134" s="74"/>
      <c r="N134" s="73">
        <v>2</v>
      </c>
      <c r="O134" s="73"/>
      <c r="P134" s="73"/>
      <c r="Q134" s="73"/>
      <c r="R134" s="73"/>
      <c r="S134" s="73"/>
      <c r="T134" s="60" t="s">
        <v>105</v>
      </c>
      <c r="U134" s="60">
        <v>20000303</v>
      </c>
      <c r="V134" s="60" t="s">
        <v>106</v>
      </c>
      <c r="W134" s="60"/>
      <c r="X134" s="60"/>
      <c r="Y134" s="60"/>
      <c r="Z134" s="60"/>
      <c r="AA134" s="60"/>
      <c r="AB134" s="60"/>
      <c r="AC134" s="60"/>
      <c r="AE134" s="60"/>
      <c r="AF134" s="60"/>
      <c r="AG134" s="60"/>
      <c r="AK134" s="60"/>
      <c r="AL134" s="60"/>
    </row>
    <row r="135" spans="1:38" s="59" customFormat="1" ht="18" customHeight="1" x14ac:dyDescent="0.15">
      <c r="A135" s="60">
        <v>12013201</v>
      </c>
      <c r="B135" s="60" t="s">
        <v>111</v>
      </c>
      <c r="C135" s="60" t="s">
        <v>102</v>
      </c>
      <c r="D135" s="60" t="str">
        <f t="shared" si="14"/>
        <v>120132</v>
      </c>
      <c r="E135" s="60" t="str">
        <f t="shared" si="15"/>
        <v>1</v>
      </c>
      <c r="F135" s="60">
        <v>1</v>
      </c>
      <c r="G135" s="60" t="s">
        <v>169</v>
      </c>
      <c r="H135" s="60" t="s">
        <v>40</v>
      </c>
      <c r="I135" s="60"/>
      <c r="J135" s="73">
        <v>0</v>
      </c>
      <c r="K135" s="73">
        <v>0</v>
      </c>
      <c r="L135" s="74"/>
      <c r="M135" s="74"/>
      <c r="N135" s="73">
        <v>3</v>
      </c>
      <c r="O135" s="73"/>
      <c r="P135" s="73"/>
      <c r="Q135" s="73"/>
      <c r="R135" s="73"/>
      <c r="S135" s="73"/>
      <c r="T135" s="60" t="s">
        <v>105</v>
      </c>
      <c r="U135" s="60">
        <v>20000303</v>
      </c>
      <c r="V135" s="60" t="s">
        <v>112</v>
      </c>
      <c r="W135" s="60"/>
      <c r="X135" s="60"/>
      <c r="Y135" s="60"/>
      <c r="Z135" s="60"/>
      <c r="AA135" s="60"/>
      <c r="AB135" s="60"/>
      <c r="AC135" s="60"/>
      <c r="AE135" s="60"/>
      <c r="AF135" s="60"/>
      <c r="AG135" s="60"/>
      <c r="AK135" s="60"/>
      <c r="AL135" s="60"/>
    </row>
    <row r="136" spans="1:38" s="59" customFormat="1" ht="18" customHeight="1" x14ac:dyDescent="0.15">
      <c r="A136" s="60">
        <v>12014001</v>
      </c>
      <c r="B136" s="60" t="s">
        <v>113</v>
      </c>
      <c r="C136" s="60" t="s">
        <v>102</v>
      </c>
      <c r="D136" s="60" t="str">
        <f t="shared" si="14"/>
        <v>120140</v>
      </c>
      <c r="E136" s="60" t="str">
        <f t="shared" si="15"/>
        <v>1</v>
      </c>
      <c r="F136" s="60">
        <v>1</v>
      </c>
      <c r="G136" s="60" t="s">
        <v>169</v>
      </c>
      <c r="H136" s="60" t="s">
        <v>40</v>
      </c>
      <c r="I136" s="60" t="s">
        <v>103</v>
      </c>
      <c r="J136" s="73">
        <v>19000</v>
      </c>
      <c r="K136" s="73">
        <v>190</v>
      </c>
      <c r="L136" s="74">
        <f>0.6*K136</f>
        <v>114</v>
      </c>
      <c r="M136" s="74">
        <v>320</v>
      </c>
      <c r="N136" s="73">
        <v>2</v>
      </c>
      <c r="O136" s="73"/>
      <c r="P136" s="73"/>
      <c r="Q136" s="73"/>
      <c r="R136" s="73"/>
      <c r="S136" s="73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E136" s="60"/>
      <c r="AF136" s="60"/>
      <c r="AG136" s="60"/>
      <c r="AK136" s="60"/>
      <c r="AL136" s="60"/>
    </row>
    <row r="137" spans="1:38" s="59" customFormat="1" ht="18" customHeight="1" x14ac:dyDescent="0.15">
      <c r="A137" s="60">
        <v>12014101</v>
      </c>
      <c r="B137" s="60" t="s">
        <v>114</v>
      </c>
      <c r="C137" s="60" t="s">
        <v>102</v>
      </c>
      <c r="D137" s="60" t="str">
        <f t="shared" si="14"/>
        <v>120141</v>
      </c>
      <c r="E137" s="60" t="str">
        <f t="shared" si="15"/>
        <v>1</v>
      </c>
      <c r="F137" s="60">
        <v>1</v>
      </c>
      <c r="G137" s="60" t="s">
        <v>169</v>
      </c>
      <c r="H137" s="60" t="s">
        <v>40</v>
      </c>
      <c r="I137" s="60"/>
      <c r="J137" s="73">
        <v>0</v>
      </c>
      <c r="K137" s="73">
        <v>0</v>
      </c>
      <c r="L137" s="74"/>
      <c r="M137" s="74"/>
      <c r="N137" s="73">
        <v>2</v>
      </c>
      <c r="O137" s="73"/>
      <c r="P137" s="73"/>
      <c r="Q137" s="73"/>
      <c r="R137" s="73"/>
      <c r="S137" s="73"/>
      <c r="T137" s="60" t="s">
        <v>105</v>
      </c>
      <c r="U137" s="60">
        <v>20000304</v>
      </c>
      <c r="V137" s="60" t="s">
        <v>106</v>
      </c>
      <c r="W137" s="60"/>
      <c r="X137" s="60"/>
      <c r="Y137" s="60"/>
      <c r="Z137" s="60"/>
      <c r="AA137" s="60"/>
      <c r="AB137" s="60"/>
      <c r="AC137" s="60"/>
      <c r="AE137" s="60"/>
      <c r="AF137" s="60"/>
      <c r="AG137" s="60"/>
      <c r="AK137" s="60"/>
      <c r="AL137" s="60"/>
    </row>
    <row r="138" spans="1:38" s="59" customFormat="1" ht="18" customHeight="1" x14ac:dyDescent="0.15">
      <c r="A138" s="60">
        <v>12014201</v>
      </c>
      <c r="B138" s="60" t="s">
        <v>115</v>
      </c>
      <c r="C138" s="60" t="s">
        <v>102</v>
      </c>
      <c r="D138" s="60" t="str">
        <f t="shared" si="14"/>
        <v>120142</v>
      </c>
      <c r="E138" s="60" t="str">
        <f t="shared" si="15"/>
        <v>1</v>
      </c>
      <c r="F138" s="60">
        <v>1</v>
      </c>
      <c r="G138" s="60" t="s">
        <v>169</v>
      </c>
      <c r="H138" s="60" t="s">
        <v>40</v>
      </c>
      <c r="I138" s="60"/>
      <c r="J138" s="73">
        <v>0</v>
      </c>
      <c r="K138" s="73">
        <v>0</v>
      </c>
      <c r="L138" s="74"/>
      <c r="M138" s="74"/>
      <c r="N138" s="73">
        <v>3</v>
      </c>
      <c r="O138" s="73"/>
      <c r="P138" s="73"/>
      <c r="Q138" s="73"/>
      <c r="R138" s="73"/>
      <c r="S138" s="73"/>
      <c r="T138" s="60" t="s">
        <v>105</v>
      </c>
      <c r="U138" s="60">
        <v>20000304</v>
      </c>
      <c r="V138" s="60" t="s">
        <v>112</v>
      </c>
      <c r="W138" s="60"/>
      <c r="X138" s="60"/>
      <c r="Y138" s="60"/>
      <c r="Z138" s="60"/>
      <c r="AA138" s="60"/>
      <c r="AB138" s="60"/>
      <c r="AC138" s="60"/>
      <c r="AE138" s="60"/>
      <c r="AF138" s="60"/>
      <c r="AG138" s="60"/>
      <c r="AK138" s="60"/>
      <c r="AL138" s="60"/>
    </row>
    <row r="139" spans="1:38" s="59" customFormat="1" ht="18" customHeight="1" x14ac:dyDescent="0.15">
      <c r="A139" s="60">
        <v>12015001</v>
      </c>
      <c r="B139" s="60" t="s">
        <v>118</v>
      </c>
      <c r="C139" s="60" t="s">
        <v>122</v>
      </c>
      <c r="D139" s="60" t="str">
        <f t="shared" si="14"/>
        <v>120150</v>
      </c>
      <c r="E139" s="60" t="str">
        <f t="shared" si="15"/>
        <v>1</v>
      </c>
      <c r="F139" s="60">
        <v>1</v>
      </c>
      <c r="G139" s="60" t="s">
        <v>169</v>
      </c>
      <c r="H139" s="60" t="s">
        <v>40</v>
      </c>
      <c r="I139" s="60" t="s">
        <v>103</v>
      </c>
      <c r="J139" s="73">
        <v>36000</v>
      </c>
      <c r="K139" s="73">
        <v>270</v>
      </c>
      <c r="L139" s="74">
        <f>0.6*K139</f>
        <v>162</v>
      </c>
      <c r="M139" s="74">
        <v>390</v>
      </c>
      <c r="N139" s="73">
        <v>2</v>
      </c>
      <c r="O139" s="73"/>
      <c r="P139" s="73"/>
      <c r="Q139" s="73"/>
      <c r="R139" s="73"/>
      <c r="S139" s="73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E139" s="60"/>
      <c r="AF139" s="60"/>
      <c r="AG139" s="60"/>
      <c r="AK139" s="60"/>
      <c r="AL139" s="60"/>
    </row>
    <row r="140" spans="1:38" s="59" customFormat="1" ht="18" customHeight="1" x14ac:dyDescent="0.15">
      <c r="A140" s="60">
        <v>12015011</v>
      </c>
      <c r="B140" s="60" t="s">
        <v>181</v>
      </c>
      <c r="C140" s="60" t="s">
        <v>122</v>
      </c>
      <c r="D140" s="60" t="str">
        <f t="shared" si="14"/>
        <v>120150</v>
      </c>
      <c r="E140" s="60" t="str">
        <f t="shared" si="15"/>
        <v>1</v>
      </c>
      <c r="F140" s="60">
        <v>1</v>
      </c>
      <c r="G140" s="60" t="s">
        <v>169</v>
      </c>
      <c r="H140" s="60" t="s">
        <v>40</v>
      </c>
      <c r="I140" s="60" t="s">
        <v>182</v>
      </c>
      <c r="J140" s="73">
        <v>5000</v>
      </c>
      <c r="K140" s="73">
        <v>300</v>
      </c>
      <c r="L140" s="74">
        <f>0.6*K140</f>
        <v>180</v>
      </c>
      <c r="M140" s="74">
        <v>540</v>
      </c>
      <c r="N140" s="73">
        <v>3</v>
      </c>
      <c r="O140" s="73"/>
      <c r="P140" s="73"/>
      <c r="Q140" s="73"/>
      <c r="R140" s="73"/>
      <c r="S140" s="73">
        <v>20000310</v>
      </c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E140" s="60"/>
      <c r="AF140" s="60"/>
      <c r="AG140" s="60"/>
      <c r="AK140" s="60"/>
      <c r="AL140" s="60"/>
    </row>
    <row r="141" spans="1:38" s="59" customFormat="1" ht="18" customHeight="1" x14ac:dyDescent="0.15">
      <c r="A141" s="60">
        <v>12015101</v>
      </c>
      <c r="B141" s="60" t="s">
        <v>120</v>
      </c>
      <c r="C141" s="60" t="s">
        <v>122</v>
      </c>
      <c r="D141" s="60" t="str">
        <f t="shared" si="14"/>
        <v>120151</v>
      </c>
      <c r="E141" s="60" t="str">
        <f t="shared" si="15"/>
        <v>1</v>
      </c>
      <c r="F141" s="60">
        <v>1</v>
      </c>
      <c r="G141" s="60" t="s">
        <v>169</v>
      </c>
      <c r="H141" s="60" t="s">
        <v>40</v>
      </c>
      <c r="I141" s="60"/>
      <c r="J141" s="73">
        <v>0</v>
      </c>
      <c r="K141" s="73">
        <v>0</v>
      </c>
      <c r="L141" s="74"/>
      <c r="M141" s="74"/>
      <c r="N141" s="73">
        <v>2</v>
      </c>
      <c r="O141" s="73"/>
      <c r="P141" s="73"/>
      <c r="Q141" s="73"/>
      <c r="R141" s="73"/>
      <c r="S141" s="73"/>
      <c r="T141" s="60" t="s">
        <v>105</v>
      </c>
      <c r="U141" s="60">
        <v>20000305</v>
      </c>
      <c r="V141" s="60" t="s">
        <v>106</v>
      </c>
      <c r="W141" s="60"/>
      <c r="X141" s="60"/>
      <c r="Y141" s="60"/>
      <c r="Z141" s="60"/>
      <c r="AA141" s="60"/>
      <c r="AB141" s="60"/>
      <c r="AC141" s="60"/>
      <c r="AE141" s="60"/>
      <c r="AF141" s="60"/>
      <c r="AG141" s="60"/>
      <c r="AK141" s="60"/>
      <c r="AL141" s="60"/>
    </row>
    <row r="142" spans="1:38" s="59" customFormat="1" ht="18" customHeight="1" x14ac:dyDescent="0.15">
      <c r="A142" s="60">
        <v>12015201</v>
      </c>
      <c r="B142" s="60" t="s">
        <v>161</v>
      </c>
      <c r="C142" s="60" t="s">
        <v>122</v>
      </c>
      <c r="D142" s="60" t="str">
        <f t="shared" si="14"/>
        <v>120152</v>
      </c>
      <c r="E142" s="60" t="str">
        <f t="shared" si="15"/>
        <v>1</v>
      </c>
      <c r="F142" s="60">
        <v>1</v>
      </c>
      <c r="G142" s="60" t="s">
        <v>169</v>
      </c>
      <c r="H142" s="60" t="s">
        <v>40</v>
      </c>
      <c r="I142" s="60"/>
      <c r="J142" s="73">
        <v>0</v>
      </c>
      <c r="K142" s="73">
        <v>0</v>
      </c>
      <c r="L142" s="74"/>
      <c r="M142" s="74"/>
      <c r="N142" s="73">
        <v>2</v>
      </c>
      <c r="O142" s="73"/>
      <c r="P142" s="73"/>
      <c r="Q142" s="73"/>
      <c r="R142" s="73"/>
      <c r="S142" s="73"/>
      <c r="T142" s="60" t="s">
        <v>105</v>
      </c>
      <c r="U142" s="60">
        <v>20000305</v>
      </c>
      <c r="V142" s="60" t="s">
        <v>112</v>
      </c>
      <c r="W142" s="60"/>
      <c r="X142" s="60"/>
      <c r="Y142" s="60"/>
      <c r="Z142" s="60"/>
      <c r="AA142" s="60"/>
      <c r="AB142" s="60"/>
      <c r="AC142" s="60"/>
      <c r="AE142" s="60"/>
      <c r="AF142" s="60"/>
      <c r="AG142" s="60"/>
      <c r="AK142" s="60"/>
      <c r="AL142" s="60"/>
    </row>
    <row r="143" spans="1:38" s="59" customFormat="1" ht="18" customHeight="1" x14ac:dyDescent="0.15">
      <c r="A143" s="60">
        <v>12016001</v>
      </c>
      <c r="B143" s="60" t="s">
        <v>121</v>
      </c>
      <c r="C143" s="60" t="s">
        <v>127</v>
      </c>
      <c r="D143" s="60" t="str">
        <f t="shared" si="14"/>
        <v>120160</v>
      </c>
      <c r="E143" s="60" t="str">
        <f t="shared" si="15"/>
        <v>1</v>
      </c>
      <c r="F143" s="60">
        <v>1</v>
      </c>
      <c r="G143" s="60" t="s">
        <v>169</v>
      </c>
      <c r="H143" s="60" t="s">
        <v>40</v>
      </c>
      <c r="I143" s="60" t="s">
        <v>103</v>
      </c>
      <c r="J143" s="73">
        <v>28000</v>
      </c>
      <c r="K143" s="73">
        <v>250</v>
      </c>
      <c r="L143" s="74">
        <f>0.6*K143</f>
        <v>150</v>
      </c>
      <c r="M143" s="74">
        <v>350</v>
      </c>
      <c r="N143" s="73">
        <v>2</v>
      </c>
      <c r="O143" s="73"/>
      <c r="P143" s="73"/>
      <c r="Q143" s="73"/>
      <c r="R143" s="73"/>
      <c r="S143" s="73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E143" s="60"/>
      <c r="AF143" s="60"/>
      <c r="AG143" s="60"/>
      <c r="AK143" s="60"/>
      <c r="AL143" s="60"/>
    </row>
    <row r="144" spans="1:38" s="59" customFormat="1" ht="18" customHeight="1" x14ac:dyDescent="0.15">
      <c r="A144" s="60">
        <v>12016101</v>
      </c>
      <c r="B144" s="60" t="s">
        <v>123</v>
      </c>
      <c r="C144" s="60" t="s">
        <v>127</v>
      </c>
      <c r="D144" s="60" t="str">
        <f t="shared" si="14"/>
        <v>120161</v>
      </c>
      <c r="E144" s="60" t="str">
        <f t="shared" si="15"/>
        <v>1</v>
      </c>
      <c r="F144" s="60">
        <v>1</v>
      </c>
      <c r="G144" s="60" t="s">
        <v>169</v>
      </c>
      <c r="H144" s="60" t="s">
        <v>40</v>
      </c>
      <c r="I144" s="60"/>
      <c r="J144" s="73">
        <v>0</v>
      </c>
      <c r="K144" s="73">
        <v>0</v>
      </c>
      <c r="L144" s="74"/>
      <c r="M144" s="74"/>
      <c r="N144" s="73">
        <v>2</v>
      </c>
      <c r="O144" s="73"/>
      <c r="P144" s="73"/>
      <c r="Q144" s="73"/>
      <c r="R144" s="73"/>
      <c r="S144" s="73"/>
      <c r="T144" s="60" t="s">
        <v>105</v>
      </c>
      <c r="U144" s="60">
        <v>20000306</v>
      </c>
      <c r="V144" s="60" t="s">
        <v>106</v>
      </c>
      <c r="W144" s="60"/>
      <c r="X144" s="60"/>
      <c r="Y144" s="60"/>
      <c r="Z144" s="60"/>
      <c r="AA144" s="60"/>
      <c r="AB144" s="60"/>
      <c r="AC144" s="60"/>
      <c r="AE144" s="60"/>
      <c r="AF144" s="60"/>
      <c r="AG144" s="60"/>
      <c r="AK144" s="60"/>
      <c r="AL144" s="60"/>
    </row>
    <row r="145" spans="1:38" s="59" customFormat="1" ht="18" customHeight="1" x14ac:dyDescent="0.15">
      <c r="A145" s="60">
        <v>12017001</v>
      </c>
      <c r="B145" s="60" t="s">
        <v>126</v>
      </c>
      <c r="C145" s="60" t="s">
        <v>119</v>
      </c>
      <c r="D145" s="60" t="str">
        <f t="shared" si="14"/>
        <v>120170</v>
      </c>
      <c r="E145" s="60" t="str">
        <f t="shared" si="15"/>
        <v>1</v>
      </c>
      <c r="F145" s="60">
        <v>1</v>
      </c>
      <c r="G145" s="60" t="s">
        <v>169</v>
      </c>
      <c r="H145" s="60" t="s">
        <v>40</v>
      </c>
      <c r="I145" s="60" t="s">
        <v>103</v>
      </c>
      <c r="J145" s="73">
        <v>36000</v>
      </c>
      <c r="K145" s="73">
        <v>330</v>
      </c>
      <c r="L145" s="74">
        <f>0.6*K145</f>
        <v>198</v>
      </c>
      <c r="M145" s="74">
        <v>440</v>
      </c>
      <c r="N145" s="73">
        <v>2</v>
      </c>
      <c r="O145" s="73"/>
      <c r="P145" s="73"/>
      <c r="Q145" s="73"/>
      <c r="R145" s="73"/>
      <c r="S145" s="73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E145" s="60"/>
      <c r="AF145" s="60"/>
      <c r="AG145" s="60"/>
      <c r="AK145" s="60"/>
      <c r="AL145" s="60"/>
    </row>
    <row r="146" spans="1:38" s="59" customFormat="1" ht="18" customHeight="1" x14ac:dyDescent="0.15">
      <c r="A146" s="60">
        <v>12017101</v>
      </c>
      <c r="B146" s="60" t="s">
        <v>128</v>
      </c>
      <c r="C146" s="60" t="s">
        <v>119</v>
      </c>
      <c r="D146" s="60" t="str">
        <f t="shared" si="14"/>
        <v>120171</v>
      </c>
      <c r="E146" s="60" t="str">
        <f t="shared" si="15"/>
        <v>1</v>
      </c>
      <c r="F146" s="60">
        <v>1</v>
      </c>
      <c r="G146" s="60" t="s">
        <v>169</v>
      </c>
      <c r="H146" s="60" t="s">
        <v>40</v>
      </c>
      <c r="I146" s="60"/>
      <c r="J146" s="73">
        <v>0</v>
      </c>
      <c r="K146" s="73">
        <v>0</v>
      </c>
      <c r="L146" s="74"/>
      <c r="M146" s="74"/>
      <c r="N146" s="73">
        <v>2</v>
      </c>
      <c r="O146" s="73"/>
      <c r="P146" s="73"/>
      <c r="Q146" s="73"/>
      <c r="R146" s="73"/>
      <c r="S146" s="73"/>
      <c r="T146" s="60" t="s">
        <v>105</v>
      </c>
      <c r="U146" s="60">
        <v>20000307</v>
      </c>
      <c r="V146" s="60" t="s">
        <v>106</v>
      </c>
      <c r="W146" s="60"/>
      <c r="X146" s="60"/>
      <c r="Y146" s="60"/>
      <c r="Z146" s="60"/>
      <c r="AA146" s="60"/>
      <c r="AB146" s="60"/>
      <c r="AC146" s="60"/>
      <c r="AE146" s="60"/>
      <c r="AF146" s="60"/>
      <c r="AG146" s="60"/>
      <c r="AK146" s="60"/>
      <c r="AL146" s="60"/>
    </row>
    <row r="147" spans="1:38" s="59" customFormat="1" ht="18" customHeight="1" x14ac:dyDescent="0.15">
      <c r="A147" s="60">
        <v>12017201</v>
      </c>
      <c r="B147" s="60" t="s">
        <v>183</v>
      </c>
      <c r="C147" s="60" t="s">
        <v>119</v>
      </c>
      <c r="D147" s="60" t="str">
        <f t="shared" si="14"/>
        <v>120172</v>
      </c>
      <c r="E147" s="60" t="str">
        <f t="shared" si="15"/>
        <v>1</v>
      </c>
      <c r="F147" s="60">
        <v>1</v>
      </c>
      <c r="G147" s="60" t="s">
        <v>169</v>
      </c>
      <c r="H147" s="60" t="s">
        <v>40</v>
      </c>
      <c r="I147" s="60"/>
      <c r="J147" s="73">
        <v>0</v>
      </c>
      <c r="K147" s="73">
        <v>0</v>
      </c>
      <c r="L147" s="74"/>
      <c r="M147" s="74"/>
      <c r="N147" s="73">
        <v>3</v>
      </c>
      <c r="O147" s="73"/>
      <c r="P147" s="73"/>
      <c r="Q147" s="73"/>
      <c r="R147" s="73"/>
      <c r="S147" s="73"/>
      <c r="T147" s="60" t="s">
        <v>105</v>
      </c>
      <c r="U147" s="60">
        <v>20000307</v>
      </c>
      <c r="V147" s="60" t="s">
        <v>112</v>
      </c>
      <c r="W147" s="60"/>
      <c r="X147" s="60"/>
      <c r="Y147" s="60"/>
      <c r="Z147" s="60"/>
      <c r="AA147" s="60"/>
      <c r="AB147" s="60"/>
      <c r="AC147" s="60"/>
      <c r="AE147" s="60"/>
      <c r="AF147" s="60"/>
      <c r="AG147" s="60"/>
      <c r="AK147" s="60"/>
      <c r="AL147" s="60"/>
    </row>
    <row r="148" spans="1:38" s="59" customFormat="1" ht="18" customHeight="1" x14ac:dyDescent="0.15">
      <c r="A148" s="60">
        <v>12018001</v>
      </c>
      <c r="B148" s="60" t="s">
        <v>129</v>
      </c>
      <c r="C148" s="60" t="s">
        <v>119</v>
      </c>
      <c r="D148" s="60" t="str">
        <f t="shared" si="14"/>
        <v>120180</v>
      </c>
      <c r="E148" s="60" t="str">
        <f t="shared" si="15"/>
        <v>1</v>
      </c>
      <c r="F148" s="60">
        <v>1</v>
      </c>
      <c r="G148" s="60" t="s">
        <v>169</v>
      </c>
      <c r="H148" s="60" t="s">
        <v>40</v>
      </c>
      <c r="I148" s="60" t="s">
        <v>103</v>
      </c>
      <c r="J148" s="73">
        <v>30000</v>
      </c>
      <c r="K148" s="73">
        <v>320</v>
      </c>
      <c r="L148" s="74">
        <f>0.6*K148</f>
        <v>192</v>
      </c>
      <c r="M148" s="74">
        <v>640</v>
      </c>
      <c r="N148" s="73">
        <v>3</v>
      </c>
      <c r="O148" s="73"/>
      <c r="P148" s="73"/>
      <c r="Q148" s="73"/>
      <c r="R148" s="73"/>
      <c r="S148" s="73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E148" s="60"/>
      <c r="AF148" s="60"/>
      <c r="AG148" s="60"/>
      <c r="AK148" s="60"/>
      <c r="AL148" s="60"/>
    </row>
    <row r="149" spans="1:38" s="59" customFormat="1" ht="18" customHeight="1" x14ac:dyDescent="0.15">
      <c r="A149" s="60">
        <v>12018101</v>
      </c>
      <c r="B149" s="60" t="s">
        <v>130</v>
      </c>
      <c r="C149" s="60" t="s">
        <v>119</v>
      </c>
      <c r="D149" s="60" t="str">
        <f t="shared" si="14"/>
        <v>120181</v>
      </c>
      <c r="E149" s="60" t="str">
        <f t="shared" si="15"/>
        <v>1</v>
      </c>
      <c r="F149" s="60">
        <v>1</v>
      </c>
      <c r="G149" s="60" t="s">
        <v>169</v>
      </c>
      <c r="H149" s="60" t="s">
        <v>40</v>
      </c>
      <c r="I149" s="60"/>
      <c r="J149" s="73">
        <v>0</v>
      </c>
      <c r="K149" s="73">
        <v>0</v>
      </c>
      <c r="L149" s="74"/>
      <c r="M149" s="74"/>
      <c r="N149" s="73">
        <v>3</v>
      </c>
      <c r="O149" s="73"/>
      <c r="P149" s="73"/>
      <c r="Q149" s="73"/>
      <c r="R149" s="73"/>
      <c r="S149" s="73"/>
      <c r="T149" s="60" t="s">
        <v>105</v>
      </c>
      <c r="U149" s="60">
        <v>20000308</v>
      </c>
      <c r="V149" s="60" t="s">
        <v>106</v>
      </c>
      <c r="W149" s="60"/>
      <c r="X149" s="60"/>
      <c r="Y149" s="60"/>
      <c r="Z149" s="60"/>
      <c r="AA149" s="60"/>
      <c r="AB149" s="60"/>
      <c r="AC149" s="60"/>
      <c r="AE149" s="60"/>
      <c r="AF149" s="60"/>
      <c r="AG149" s="60"/>
      <c r="AK149" s="60"/>
      <c r="AL149" s="60"/>
    </row>
    <row r="150" spans="1:38" s="59" customFormat="1" ht="18" customHeight="1" x14ac:dyDescent="0.15">
      <c r="A150" s="60">
        <v>12019001</v>
      </c>
      <c r="B150" s="60" t="s">
        <v>131</v>
      </c>
      <c r="C150" s="60" t="s">
        <v>127</v>
      </c>
      <c r="D150" s="60" t="str">
        <f t="shared" si="14"/>
        <v>120190</v>
      </c>
      <c r="E150" s="60" t="str">
        <f t="shared" si="15"/>
        <v>1</v>
      </c>
      <c r="F150" s="60">
        <v>1</v>
      </c>
      <c r="G150" s="60" t="s">
        <v>169</v>
      </c>
      <c r="H150" s="60" t="s">
        <v>40</v>
      </c>
      <c r="I150" s="60" t="s">
        <v>103</v>
      </c>
      <c r="J150" s="73">
        <v>52000</v>
      </c>
      <c r="K150" s="73">
        <v>630</v>
      </c>
      <c r="L150" s="74">
        <f>0.6*K150</f>
        <v>378</v>
      </c>
      <c r="M150" s="74">
        <v>900</v>
      </c>
      <c r="N150" s="73">
        <v>3</v>
      </c>
      <c r="O150" s="73"/>
      <c r="P150" s="73"/>
      <c r="Q150" s="73"/>
      <c r="R150" s="73"/>
      <c r="S150" s="73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E150" s="60"/>
      <c r="AF150" s="60"/>
      <c r="AG150" s="60"/>
      <c r="AK150" s="60"/>
      <c r="AL150" s="60"/>
    </row>
    <row r="151" spans="1:38" s="59" customFormat="1" ht="18" customHeight="1" x14ac:dyDescent="0.15">
      <c r="A151" s="60">
        <v>12019101</v>
      </c>
      <c r="B151" s="60" t="s">
        <v>184</v>
      </c>
      <c r="C151" s="60" t="s">
        <v>127</v>
      </c>
      <c r="D151" s="60" t="str">
        <f t="shared" si="14"/>
        <v>120191</v>
      </c>
      <c r="E151" s="60" t="str">
        <f t="shared" si="15"/>
        <v>1</v>
      </c>
      <c r="F151" s="60">
        <v>1</v>
      </c>
      <c r="G151" s="60" t="s">
        <v>169</v>
      </c>
      <c r="H151" s="60" t="s">
        <v>40</v>
      </c>
      <c r="I151" s="60"/>
      <c r="J151" s="73">
        <v>0</v>
      </c>
      <c r="K151" s="73">
        <v>0</v>
      </c>
      <c r="L151" s="74"/>
      <c r="M151" s="74"/>
      <c r="N151" s="73">
        <v>3</v>
      </c>
      <c r="O151" s="73"/>
      <c r="P151" s="73"/>
      <c r="Q151" s="73"/>
      <c r="R151" s="73"/>
      <c r="S151" s="73"/>
      <c r="T151" s="60" t="s">
        <v>105</v>
      </c>
      <c r="U151" s="60">
        <v>20000309</v>
      </c>
      <c r="V151" s="60" t="s">
        <v>165</v>
      </c>
      <c r="W151" s="60"/>
      <c r="X151" s="60"/>
      <c r="Y151" s="60"/>
      <c r="Z151" s="60"/>
      <c r="AA151" s="60"/>
      <c r="AB151" s="60"/>
      <c r="AC151" s="60"/>
      <c r="AE151" s="60"/>
      <c r="AF151" s="60"/>
      <c r="AG151" s="60"/>
      <c r="AK151" s="60"/>
      <c r="AL151" s="60"/>
    </row>
    <row r="152" spans="1:38" s="59" customFormat="1" ht="18" customHeight="1" x14ac:dyDescent="0.15">
      <c r="A152" s="60">
        <v>12020001</v>
      </c>
      <c r="B152" s="60" t="s">
        <v>133</v>
      </c>
      <c r="C152" s="60" t="s">
        <v>122</v>
      </c>
      <c r="D152" s="60" t="str">
        <f t="shared" si="14"/>
        <v>120200</v>
      </c>
      <c r="E152" s="60" t="str">
        <f t="shared" si="15"/>
        <v>1</v>
      </c>
      <c r="F152" s="60">
        <v>1</v>
      </c>
      <c r="G152" s="60" t="s">
        <v>169</v>
      </c>
      <c r="H152" s="60" t="s">
        <v>40</v>
      </c>
      <c r="I152" s="60" t="s">
        <v>103</v>
      </c>
      <c r="J152" s="60">
        <v>0</v>
      </c>
      <c r="K152" s="60">
        <v>0</v>
      </c>
      <c r="L152" s="75"/>
      <c r="M152" s="75"/>
      <c r="N152" s="73">
        <v>3</v>
      </c>
      <c r="O152" s="73"/>
      <c r="P152" s="73"/>
      <c r="Q152" s="73"/>
      <c r="R152" s="73"/>
      <c r="S152" s="73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E152" s="60"/>
      <c r="AF152" s="60"/>
      <c r="AG152" s="60"/>
      <c r="AK152" s="60"/>
      <c r="AL152" s="60"/>
    </row>
    <row r="153" spans="1:38" s="59" customFormat="1" ht="18" customHeight="1" x14ac:dyDescent="0.15">
      <c r="A153" s="60">
        <v>12020101</v>
      </c>
      <c r="B153" s="60" t="s">
        <v>134</v>
      </c>
      <c r="C153" s="60" t="s">
        <v>122</v>
      </c>
      <c r="D153" s="60" t="str">
        <f t="shared" si="14"/>
        <v>120201</v>
      </c>
      <c r="E153" s="60" t="str">
        <f t="shared" si="15"/>
        <v>1</v>
      </c>
      <c r="F153" s="60">
        <v>1</v>
      </c>
      <c r="G153" s="60" t="s">
        <v>169</v>
      </c>
      <c r="H153" s="60" t="s">
        <v>40</v>
      </c>
      <c r="I153" s="60"/>
      <c r="J153" s="73">
        <v>0</v>
      </c>
      <c r="K153" s="73">
        <v>0</v>
      </c>
      <c r="L153" s="74"/>
      <c r="M153" s="74"/>
      <c r="N153" s="73">
        <v>3</v>
      </c>
      <c r="O153" s="73"/>
      <c r="P153" s="73"/>
      <c r="Q153" s="73"/>
      <c r="R153" s="73"/>
      <c r="S153" s="73"/>
      <c r="T153" s="60" t="s">
        <v>105</v>
      </c>
      <c r="U153" s="60">
        <v>20000310</v>
      </c>
      <c r="V153" s="60" t="s">
        <v>106</v>
      </c>
      <c r="W153" s="60"/>
      <c r="X153" s="60"/>
      <c r="Y153" s="60"/>
      <c r="Z153" s="60"/>
      <c r="AA153" s="60"/>
      <c r="AB153" s="60"/>
      <c r="AC153" s="60"/>
      <c r="AE153" s="60"/>
      <c r="AF153" s="60"/>
      <c r="AG153" s="60"/>
      <c r="AK153" s="60"/>
      <c r="AL153" s="60"/>
    </row>
    <row r="154" spans="1:38" s="59" customFormat="1" ht="18" customHeight="1" x14ac:dyDescent="0.15">
      <c r="A154" s="60">
        <v>12020201</v>
      </c>
      <c r="B154" s="60" t="s">
        <v>185</v>
      </c>
      <c r="C154" s="60" t="s">
        <v>122</v>
      </c>
      <c r="D154" s="60" t="str">
        <f t="shared" si="14"/>
        <v>120202</v>
      </c>
      <c r="E154" s="60" t="str">
        <f t="shared" si="15"/>
        <v>1</v>
      </c>
      <c r="F154" s="60">
        <v>1</v>
      </c>
      <c r="G154" s="60" t="s">
        <v>169</v>
      </c>
      <c r="H154" s="60" t="s">
        <v>40</v>
      </c>
      <c r="I154" s="60"/>
      <c r="J154" s="73">
        <v>0</v>
      </c>
      <c r="K154" s="73">
        <v>0</v>
      </c>
      <c r="L154" s="73"/>
      <c r="M154" s="73"/>
      <c r="N154" s="73">
        <v>3</v>
      </c>
      <c r="O154" s="73"/>
      <c r="P154" s="73"/>
      <c r="Q154" s="73"/>
      <c r="R154" s="73"/>
      <c r="S154" s="73"/>
      <c r="T154" s="60" t="s">
        <v>105</v>
      </c>
      <c r="U154" s="60">
        <v>20000310</v>
      </c>
      <c r="V154" s="60" t="s">
        <v>112</v>
      </c>
      <c r="W154" s="60"/>
      <c r="X154" s="60"/>
      <c r="Y154" s="60"/>
      <c r="Z154" s="60"/>
      <c r="AA154" s="60"/>
      <c r="AB154" s="60"/>
      <c r="AC154" s="60"/>
      <c r="AE154" s="60"/>
      <c r="AF154" s="60"/>
      <c r="AG154" s="60"/>
      <c r="AK154" s="60"/>
      <c r="AL154" s="60"/>
    </row>
    <row r="155" spans="1:38" s="59" customFormat="1" ht="18" customHeight="1" x14ac:dyDescent="0.15">
      <c r="A155" s="60">
        <v>12020301</v>
      </c>
      <c r="B155" s="60" t="s">
        <v>186</v>
      </c>
      <c r="C155" s="60" t="s">
        <v>122</v>
      </c>
      <c r="D155" s="60" t="str">
        <f t="shared" si="14"/>
        <v>120203</v>
      </c>
      <c r="E155" s="60" t="str">
        <f t="shared" si="15"/>
        <v>1</v>
      </c>
      <c r="F155" s="60">
        <v>1</v>
      </c>
      <c r="G155" s="60" t="s">
        <v>169</v>
      </c>
      <c r="H155" s="60" t="s">
        <v>40</v>
      </c>
      <c r="I155" s="60"/>
      <c r="J155" s="73">
        <v>0</v>
      </c>
      <c r="K155" s="73">
        <v>0</v>
      </c>
      <c r="L155" s="73"/>
      <c r="M155" s="73"/>
      <c r="N155" s="73">
        <v>3</v>
      </c>
      <c r="O155" s="73"/>
      <c r="P155" s="73"/>
      <c r="Q155" s="73"/>
      <c r="R155" s="73"/>
      <c r="S155" s="73"/>
      <c r="T155" s="60" t="s">
        <v>105</v>
      </c>
      <c r="U155" s="60">
        <v>20000310</v>
      </c>
      <c r="V155" s="60" t="s">
        <v>117</v>
      </c>
      <c r="W155" s="60"/>
      <c r="X155" s="60"/>
      <c r="Y155" s="60"/>
      <c r="Z155" s="60"/>
      <c r="AA155" s="60"/>
      <c r="AB155" s="60"/>
      <c r="AC155" s="60"/>
      <c r="AE155" s="60"/>
      <c r="AF155" s="60"/>
      <c r="AG155" s="60"/>
      <c r="AK155" s="60"/>
      <c r="AL155" s="60"/>
    </row>
    <row r="156" spans="1:38" s="59" customFormat="1" ht="18" customHeight="1" x14ac:dyDescent="0.15">
      <c r="A156" s="60">
        <v>12021001</v>
      </c>
      <c r="B156" s="60" t="s">
        <v>135</v>
      </c>
      <c r="C156" s="60"/>
      <c r="D156" s="60" t="str">
        <f t="shared" si="14"/>
        <v>120210</v>
      </c>
      <c r="E156" s="60" t="str">
        <f t="shared" si="15"/>
        <v>1</v>
      </c>
      <c r="F156" s="60">
        <v>1</v>
      </c>
      <c r="G156" s="60" t="s">
        <v>169</v>
      </c>
      <c r="H156" s="60" t="s">
        <v>40</v>
      </c>
      <c r="I156" s="60" t="s">
        <v>136</v>
      </c>
      <c r="J156" s="73">
        <v>35000</v>
      </c>
      <c r="K156" s="73">
        <v>250</v>
      </c>
      <c r="L156" s="73"/>
      <c r="M156" s="73"/>
      <c r="N156" s="60">
        <v>1</v>
      </c>
      <c r="O156" s="60"/>
      <c r="P156" s="60">
        <v>3</v>
      </c>
      <c r="Q156" s="60">
        <v>1000</v>
      </c>
      <c r="R156" s="60">
        <v>-10000</v>
      </c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59" t="s">
        <v>187</v>
      </c>
      <c r="AE156" s="60" t="s">
        <v>138</v>
      </c>
      <c r="AF156" s="60" t="s">
        <v>138</v>
      </c>
      <c r="AG156" s="60" t="s">
        <v>138</v>
      </c>
      <c r="AH156" s="59" t="s">
        <v>139</v>
      </c>
      <c r="AI156" s="59" t="s">
        <v>139</v>
      </c>
      <c r="AJ156" s="59" t="s">
        <v>139</v>
      </c>
      <c r="AK156" s="59" t="s">
        <v>188</v>
      </c>
      <c r="AL156" s="59" t="s">
        <v>189</v>
      </c>
    </row>
    <row r="157" spans="1:38" s="60" customFormat="1" ht="18" customHeight="1" x14ac:dyDescent="0.15">
      <c r="A157" s="60">
        <v>12021101</v>
      </c>
      <c r="B157" s="60" t="s">
        <v>142</v>
      </c>
      <c r="D157" s="60" t="str">
        <f t="shared" si="14"/>
        <v>120211</v>
      </c>
      <c r="E157" s="60" t="str">
        <f t="shared" si="15"/>
        <v>1</v>
      </c>
      <c r="F157" s="60">
        <v>1</v>
      </c>
      <c r="G157" s="60" t="s">
        <v>169</v>
      </c>
      <c r="H157" s="60" t="s">
        <v>40</v>
      </c>
      <c r="J157" s="60">
        <v>0</v>
      </c>
      <c r="K157" s="60">
        <v>0</v>
      </c>
      <c r="N157" s="60">
        <v>2</v>
      </c>
      <c r="T157" s="60" t="s">
        <v>105</v>
      </c>
      <c r="U157" s="60">
        <v>20000315</v>
      </c>
      <c r="V157" s="60" t="s">
        <v>106</v>
      </c>
    </row>
    <row r="158" spans="1:38" s="60" customFormat="1" ht="18" customHeight="1" x14ac:dyDescent="0.15">
      <c r="A158" s="60">
        <v>12021201</v>
      </c>
      <c r="B158" s="60" t="s">
        <v>143</v>
      </c>
      <c r="D158" s="60" t="str">
        <f t="shared" si="14"/>
        <v>120212</v>
      </c>
      <c r="E158" s="60" t="str">
        <f t="shared" si="15"/>
        <v>1</v>
      </c>
      <c r="F158" s="60">
        <v>1</v>
      </c>
      <c r="G158" s="60" t="s">
        <v>169</v>
      </c>
      <c r="H158" s="60" t="s">
        <v>40</v>
      </c>
      <c r="J158" s="60">
        <v>0</v>
      </c>
      <c r="K158" s="60">
        <v>0</v>
      </c>
      <c r="N158" s="60">
        <v>3</v>
      </c>
      <c r="T158" s="60" t="s">
        <v>105</v>
      </c>
      <c r="U158" s="60">
        <v>20000315</v>
      </c>
      <c r="V158" s="60" t="s">
        <v>112</v>
      </c>
    </row>
    <row r="159" spans="1:38" s="59" customFormat="1" ht="18" customHeight="1" x14ac:dyDescent="0.15">
      <c r="A159" s="60">
        <v>12022001</v>
      </c>
      <c r="B159" s="60" t="s">
        <v>144</v>
      </c>
      <c r="C159" s="60"/>
      <c r="D159" s="60" t="str">
        <f t="shared" ref="D159:D228" si="16">LEFT(A159,6)</f>
        <v>120220</v>
      </c>
      <c r="E159" s="60" t="str">
        <f t="shared" ref="E159:E228" si="17">RIGHT(A159,1)</f>
        <v>1</v>
      </c>
      <c r="F159" s="60">
        <v>1</v>
      </c>
      <c r="G159" s="60" t="s">
        <v>169</v>
      </c>
      <c r="H159" s="60" t="s">
        <v>40</v>
      </c>
      <c r="I159" s="60" t="s">
        <v>145</v>
      </c>
      <c r="J159" s="73">
        <v>75000</v>
      </c>
      <c r="K159" s="73">
        <v>700</v>
      </c>
      <c r="L159" s="73"/>
      <c r="M159" s="73"/>
      <c r="N159" s="60">
        <v>1</v>
      </c>
      <c r="O159" s="60"/>
      <c r="P159" s="60"/>
      <c r="Q159" s="60">
        <v>1000</v>
      </c>
      <c r="R159" s="60">
        <v>-10000</v>
      </c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E159" s="60"/>
      <c r="AF159" s="60"/>
      <c r="AG159" s="60"/>
      <c r="AK159" s="60"/>
      <c r="AL159" s="60"/>
    </row>
    <row r="160" spans="1:38" s="60" customFormat="1" ht="18" customHeight="1" x14ac:dyDescent="0.15">
      <c r="A160" s="60">
        <v>12022101</v>
      </c>
      <c r="B160" s="60" t="s">
        <v>146</v>
      </c>
      <c r="D160" s="60" t="str">
        <f t="shared" si="16"/>
        <v>120221</v>
      </c>
      <c r="E160" s="60" t="str">
        <f t="shared" si="17"/>
        <v>1</v>
      </c>
      <c r="F160" s="60">
        <v>1</v>
      </c>
      <c r="G160" s="60" t="s">
        <v>169</v>
      </c>
      <c r="H160" s="60" t="s">
        <v>40</v>
      </c>
      <c r="J160" s="60">
        <v>0</v>
      </c>
      <c r="K160" s="60">
        <v>0</v>
      </c>
      <c r="N160" s="60">
        <v>2</v>
      </c>
      <c r="T160" s="60" t="s">
        <v>105</v>
      </c>
      <c r="U160" s="60">
        <v>20000311</v>
      </c>
      <c r="V160" s="60" t="s">
        <v>106</v>
      </c>
    </row>
    <row r="161" spans="1:38" s="60" customFormat="1" ht="18" customHeight="1" x14ac:dyDescent="0.15">
      <c r="A161" s="60">
        <v>12022201</v>
      </c>
      <c r="B161" s="60" t="s">
        <v>147</v>
      </c>
      <c r="D161" s="60" t="str">
        <f t="shared" si="16"/>
        <v>120222</v>
      </c>
      <c r="E161" s="60" t="str">
        <f t="shared" si="17"/>
        <v>1</v>
      </c>
      <c r="F161" s="60">
        <v>1</v>
      </c>
      <c r="G161" s="60" t="s">
        <v>169</v>
      </c>
      <c r="H161" s="60" t="s">
        <v>40</v>
      </c>
      <c r="J161" s="60">
        <v>0</v>
      </c>
      <c r="K161" s="60">
        <v>0</v>
      </c>
      <c r="N161" s="60">
        <v>3</v>
      </c>
      <c r="T161" s="60" t="s">
        <v>105</v>
      </c>
      <c r="U161" s="60">
        <v>20000311</v>
      </c>
      <c r="V161" s="60" t="s">
        <v>112</v>
      </c>
    </row>
    <row r="162" spans="1:38" s="60" customFormat="1" ht="18" customHeight="1" x14ac:dyDescent="0.15">
      <c r="A162" s="60">
        <v>12023101</v>
      </c>
      <c r="B162" s="60" t="s">
        <v>190</v>
      </c>
      <c r="D162" s="60" t="str">
        <f t="shared" si="16"/>
        <v>120231</v>
      </c>
      <c r="E162" s="60" t="str">
        <f t="shared" si="17"/>
        <v>1</v>
      </c>
      <c r="F162" s="60">
        <v>1</v>
      </c>
      <c r="G162" s="60" t="s">
        <v>169</v>
      </c>
      <c r="H162" s="60" t="s">
        <v>40</v>
      </c>
      <c r="J162" s="60">
        <v>0</v>
      </c>
      <c r="K162" s="60">
        <v>0</v>
      </c>
      <c r="N162" s="60">
        <v>3</v>
      </c>
      <c r="T162" s="60" t="s">
        <v>105</v>
      </c>
      <c r="U162" s="60">
        <v>20000326</v>
      </c>
      <c r="V162" s="60" t="s">
        <v>106</v>
      </c>
    </row>
    <row r="163" spans="1:38" s="60" customFormat="1" ht="18" customHeight="1" x14ac:dyDescent="0.15">
      <c r="A163" s="60">
        <v>12024101</v>
      </c>
      <c r="B163" s="60" t="s">
        <v>191</v>
      </c>
      <c r="D163" s="60" t="str">
        <f t="shared" si="16"/>
        <v>120241</v>
      </c>
      <c r="E163" s="60" t="str">
        <f t="shared" si="17"/>
        <v>1</v>
      </c>
      <c r="F163" s="60">
        <v>1</v>
      </c>
      <c r="G163" s="60" t="s">
        <v>169</v>
      </c>
      <c r="H163" s="60" t="s">
        <v>40</v>
      </c>
      <c r="J163" s="60">
        <v>0</v>
      </c>
      <c r="K163" s="60">
        <v>0</v>
      </c>
      <c r="N163" s="60">
        <v>3</v>
      </c>
      <c r="T163" s="60" t="s">
        <v>105</v>
      </c>
      <c r="U163" s="60">
        <v>20000327</v>
      </c>
      <c r="V163" s="60" t="s">
        <v>106</v>
      </c>
    </row>
    <row r="164" spans="1:38" s="61" customFormat="1" ht="18" customHeight="1" x14ac:dyDescent="0.15">
      <c r="A164" s="62">
        <v>13000001</v>
      </c>
      <c r="B164" s="62" t="s">
        <v>38</v>
      </c>
      <c r="C164" s="62"/>
      <c r="D164" s="62" t="str">
        <f t="shared" si="16"/>
        <v>130000</v>
      </c>
      <c r="E164" s="62" t="str">
        <f t="shared" si="17"/>
        <v>1</v>
      </c>
      <c r="F164" s="62">
        <v>1</v>
      </c>
      <c r="G164" s="62" t="s">
        <v>192</v>
      </c>
      <c r="H164" s="62" t="s">
        <v>40</v>
      </c>
      <c r="I164" s="62" t="s">
        <v>41</v>
      </c>
      <c r="J164" s="76">
        <v>0</v>
      </c>
      <c r="K164" s="76">
        <v>0</v>
      </c>
      <c r="L164" s="76"/>
      <c r="M164" s="76"/>
      <c r="N164" s="76">
        <v>1</v>
      </c>
      <c r="O164" s="76"/>
      <c r="P164" s="76"/>
      <c r="Q164" s="76"/>
      <c r="R164" s="76"/>
      <c r="S164" s="76"/>
      <c r="T164" s="62" t="s">
        <v>42</v>
      </c>
      <c r="U164" s="62">
        <v>20000417</v>
      </c>
      <c r="V164" s="62"/>
      <c r="W164" s="62"/>
      <c r="X164" s="62"/>
      <c r="Y164" s="62" t="s">
        <v>43</v>
      </c>
      <c r="Z164" s="62">
        <v>10</v>
      </c>
      <c r="AA164" s="62"/>
      <c r="AB164" s="62"/>
      <c r="AC164" s="62"/>
      <c r="AD164" s="61" t="s">
        <v>193</v>
      </c>
      <c r="AE164" s="62" t="s">
        <v>194</v>
      </c>
      <c r="AF164" s="62" t="s">
        <v>194</v>
      </c>
      <c r="AG164" s="62" t="s">
        <v>194</v>
      </c>
      <c r="AH164" s="61" t="s">
        <v>195</v>
      </c>
      <c r="AI164" s="61" t="s">
        <v>196</v>
      </c>
      <c r="AJ164" s="61" t="s">
        <v>195</v>
      </c>
    </row>
    <row r="165" spans="1:38" s="61" customFormat="1" ht="18" customHeight="1" x14ac:dyDescent="0.15">
      <c r="A165" s="62">
        <v>13001001</v>
      </c>
      <c r="B165" s="62" t="s">
        <v>48</v>
      </c>
      <c r="C165" s="62"/>
      <c r="D165" s="62" t="str">
        <f t="shared" si="16"/>
        <v>130010</v>
      </c>
      <c r="E165" s="62" t="str">
        <f t="shared" si="17"/>
        <v>1</v>
      </c>
      <c r="F165" s="62">
        <v>1</v>
      </c>
      <c r="G165" s="62" t="s">
        <v>192</v>
      </c>
      <c r="H165" s="62" t="s">
        <v>40</v>
      </c>
      <c r="I165" s="62" t="s">
        <v>41</v>
      </c>
      <c r="J165" s="76">
        <v>75000</v>
      </c>
      <c r="K165" s="76">
        <v>1000</v>
      </c>
      <c r="L165" s="76"/>
      <c r="M165" s="76"/>
      <c r="N165" s="76">
        <v>1</v>
      </c>
      <c r="O165" s="76"/>
      <c r="P165" s="76"/>
      <c r="Q165" s="76"/>
      <c r="R165" s="76"/>
      <c r="S165" s="76"/>
      <c r="T165" s="62" t="s">
        <v>42</v>
      </c>
      <c r="U165" s="62">
        <v>20000418</v>
      </c>
      <c r="V165" s="62"/>
      <c r="W165" s="62"/>
      <c r="X165" s="62"/>
      <c r="Y165" s="62"/>
      <c r="Z165" s="62"/>
      <c r="AA165" s="62"/>
      <c r="AB165" s="62"/>
      <c r="AC165" s="62"/>
      <c r="AD165" s="61" t="s">
        <v>197</v>
      </c>
      <c r="AE165" s="62" t="s">
        <v>198</v>
      </c>
      <c r="AF165" s="62" t="s">
        <v>198</v>
      </c>
      <c r="AG165" s="62" t="s">
        <v>198</v>
      </c>
      <c r="AH165" s="61" t="s">
        <v>199</v>
      </c>
      <c r="AI165" s="61" t="s">
        <v>200</v>
      </c>
      <c r="AJ165" s="61" t="s">
        <v>199</v>
      </c>
    </row>
    <row r="166" spans="1:38" s="61" customFormat="1" ht="18" customHeight="1" x14ac:dyDescent="0.15">
      <c r="A166" s="62">
        <v>13002001</v>
      </c>
      <c r="B166" s="62" t="s">
        <v>53</v>
      </c>
      <c r="C166" s="62"/>
      <c r="D166" s="62" t="str">
        <f t="shared" si="16"/>
        <v>130020</v>
      </c>
      <c r="E166" s="62" t="str">
        <f t="shared" si="17"/>
        <v>1</v>
      </c>
      <c r="F166" s="62">
        <v>1</v>
      </c>
      <c r="G166" s="62" t="s">
        <v>192</v>
      </c>
      <c r="H166" s="62" t="s">
        <v>40</v>
      </c>
      <c r="I166" s="62" t="s">
        <v>41</v>
      </c>
      <c r="J166" s="76">
        <v>90000</v>
      </c>
      <c r="K166" s="76">
        <v>1000</v>
      </c>
      <c r="L166" s="76"/>
      <c r="M166" s="76"/>
      <c r="N166" s="76">
        <v>2</v>
      </c>
      <c r="O166" s="76"/>
      <c r="P166" s="76"/>
      <c r="Q166" s="76"/>
      <c r="R166" s="76"/>
      <c r="S166" s="76"/>
      <c r="T166" s="62" t="s">
        <v>42</v>
      </c>
      <c r="U166" s="62">
        <v>20000419</v>
      </c>
      <c r="V166" s="62"/>
      <c r="W166" s="62"/>
      <c r="X166" s="62"/>
      <c r="Y166" s="62"/>
      <c r="Z166" s="62"/>
      <c r="AA166" s="62"/>
      <c r="AB166" s="62"/>
      <c r="AC166" s="62"/>
      <c r="AD166" s="61" t="s">
        <v>201</v>
      </c>
      <c r="AE166" s="62" t="s">
        <v>202</v>
      </c>
      <c r="AF166" s="62" t="s">
        <v>202</v>
      </c>
      <c r="AG166" s="62" t="s">
        <v>202</v>
      </c>
      <c r="AH166" s="61" t="s">
        <v>56</v>
      </c>
      <c r="AI166" s="61" t="s">
        <v>57</v>
      </c>
      <c r="AJ166" s="61" t="s">
        <v>56</v>
      </c>
    </row>
    <row r="167" spans="1:38" s="61" customFormat="1" ht="18" customHeight="1" x14ac:dyDescent="0.15">
      <c r="A167" s="62">
        <v>13003001</v>
      </c>
      <c r="B167" s="62" t="s">
        <v>58</v>
      </c>
      <c r="C167" s="62"/>
      <c r="D167" s="62" t="str">
        <f t="shared" si="16"/>
        <v>130030</v>
      </c>
      <c r="E167" s="62" t="str">
        <f t="shared" si="17"/>
        <v>1</v>
      </c>
      <c r="F167" s="62">
        <v>4</v>
      </c>
      <c r="G167" s="62" t="s">
        <v>192</v>
      </c>
      <c r="H167" s="62" t="s">
        <v>59</v>
      </c>
      <c r="I167" s="62" t="s">
        <v>60</v>
      </c>
      <c r="J167" s="76">
        <v>20000</v>
      </c>
      <c r="K167" s="76">
        <v>250</v>
      </c>
      <c r="L167" s="76"/>
      <c r="M167" s="76"/>
      <c r="N167" s="76">
        <v>1</v>
      </c>
      <c r="O167" s="76"/>
      <c r="P167" s="76"/>
      <c r="Q167" s="76"/>
      <c r="R167" s="76"/>
      <c r="S167" s="76"/>
      <c r="T167" s="62" t="s">
        <v>43</v>
      </c>
      <c r="U167" s="62">
        <v>5</v>
      </c>
      <c r="V167" s="62"/>
      <c r="W167" s="62"/>
      <c r="X167" s="62"/>
      <c r="Y167" s="62"/>
      <c r="Z167" s="62"/>
      <c r="AA167" s="62"/>
      <c r="AB167" s="62"/>
      <c r="AC167" s="62"/>
      <c r="AD167" s="61" t="s">
        <v>61</v>
      </c>
      <c r="AE167" s="62" t="s">
        <v>62</v>
      </c>
      <c r="AF167" s="62" t="s">
        <v>62</v>
      </c>
      <c r="AG167" s="62" t="s">
        <v>62</v>
      </c>
      <c r="AH167" s="61" t="s">
        <v>63</v>
      </c>
      <c r="AI167" s="61" t="s">
        <v>64</v>
      </c>
      <c r="AJ167" s="61" t="s">
        <v>63</v>
      </c>
      <c r="AK167" s="62"/>
      <c r="AL167" s="62"/>
    </row>
    <row r="168" spans="1:38" s="61" customFormat="1" ht="18" customHeight="1" x14ac:dyDescent="0.15">
      <c r="A168" s="62">
        <v>13003002</v>
      </c>
      <c r="B168" s="62" t="s">
        <v>65</v>
      </c>
      <c r="C168" s="62"/>
      <c r="D168" s="62" t="str">
        <f t="shared" si="16"/>
        <v>130030</v>
      </c>
      <c r="E168" s="62" t="str">
        <f t="shared" si="17"/>
        <v>2</v>
      </c>
      <c r="F168" s="62">
        <v>4</v>
      </c>
      <c r="G168" s="62" t="s">
        <v>192</v>
      </c>
      <c r="H168" s="62" t="s">
        <v>59</v>
      </c>
      <c r="I168" s="62" t="s">
        <v>60</v>
      </c>
      <c r="J168" s="76">
        <v>20000</v>
      </c>
      <c r="K168" s="76">
        <v>250</v>
      </c>
      <c r="L168" s="76"/>
      <c r="M168" s="76"/>
      <c r="N168" s="76">
        <v>1</v>
      </c>
      <c r="O168" s="76"/>
      <c r="P168" s="76"/>
      <c r="Q168" s="76"/>
      <c r="R168" s="76"/>
      <c r="S168" s="76"/>
      <c r="T168" s="62" t="s">
        <v>43</v>
      </c>
      <c r="U168" s="62">
        <v>5</v>
      </c>
      <c r="V168" s="62"/>
      <c r="W168" s="62"/>
      <c r="X168" s="62"/>
      <c r="Y168" s="62"/>
      <c r="Z168" s="62"/>
      <c r="AA168" s="62"/>
      <c r="AB168" s="62"/>
      <c r="AC168" s="62"/>
      <c r="AD168" s="61" t="s">
        <v>61</v>
      </c>
      <c r="AE168" s="62" t="s">
        <v>62</v>
      </c>
      <c r="AF168" s="62" t="s">
        <v>62</v>
      </c>
      <c r="AG168" s="62" t="s">
        <v>62</v>
      </c>
      <c r="AH168" s="61" t="s">
        <v>63</v>
      </c>
      <c r="AI168" s="61" t="s">
        <v>64</v>
      </c>
      <c r="AJ168" s="61" t="s">
        <v>63</v>
      </c>
      <c r="AK168" s="62"/>
      <c r="AL168" s="62"/>
    </row>
    <row r="169" spans="1:38" s="61" customFormat="1" ht="18" customHeight="1" x14ac:dyDescent="0.15">
      <c r="A169" s="62">
        <v>13003003</v>
      </c>
      <c r="B169" s="62" t="s">
        <v>66</v>
      </c>
      <c r="C169" s="62"/>
      <c r="D169" s="62" t="str">
        <f t="shared" si="16"/>
        <v>130030</v>
      </c>
      <c r="E169" s="62" t="str">
        <f t="shared" si="17"/>
        <v>3</v>
      </c>
      <c r="F169" s="62">
        <v>4</v>
      </c>
      <c r="G169" s="62" t="s">
        <v>192</v>
      </c>
      <c r="H169" s="62" t="s">
        <v>59</v>
      </c>
      <c r="I169" s="62" t="s">
        <v>60</v>
      </c>
      <c r="J169" s="76">
        <v>20000</v>
      </c>
      <c r="K169" s="76">
        <v>250</v>
      </c>
      <c r="L169" s="76"/>
      <c r="M169" s="76"/>
      <c r="N169" s="76">
        <v>1</v>
      </c>
      <c r="O169" s="76"/>
      <c r="P169" s="76"/>
      <c r="Q169" s="76"/>
      <c r="R169" s="76"/>
      <c r="S169" s="76"/>
      <c r="T169" s="62" t="s">
        <v>43</v>
      </c>
      <c r="U169" s="62">
        <v>5</v>
      </c>
      <c r="V169" s="62"/>
      <c r="W169" s="62"/>
      <c r="X169" s="62"/>
      <c r="Y169" s="62"/>
      <c r="Z169" s="62"/>
      <c r="AA169" s="62"/>
      <c r="AB169" s="62"/>
      <c r="AC169" s="62"/>
      <c r="AD169" s="61" t="s">
        <v>61</v>
      </c>
      <c r="AE169" s="62" t="s">
        <v>62</v>
      </c>
      <c r="AF169" s="62" t="s">
        <v>62</v>
      </c>
      <c r="AG169" s="62" t="s">
        <v>62</v>
      </c>
      <c r="AH169" s="61" t="s">
        <v>63</v>
      </c>
      <c r="AI169" s="61" t="s">
        <v>64</v>
      </c>
      <c r="AJ169" s="61" t="s">
        <v>63</v>
      </c>
      <c r="AK169" s="62"/>
      <c r="AL169" s="62"/>
    </row>
    <row r="170" spans="1:38" s="61" customFormat="1" ht="18" customHeight="1" x14ac:dyDescent="0.15">
      <c r="A170" s="62">
        <v>13003004</v>
      </c>
      <c r="B170" s="62" t="s">
        <v>67</v>
      </c>
      <c r="C170" s="62"/>
      <c r="D170" s="62" t="str">
        <f t="shared" si="16"/>
        <v>130030</v>
      </c>
      <c r="E170" s="62" t="str">
        <f t="shared" si="17"/>
        <v>4</v>
      </c>
      <c r="F170" s="62">
        <v>4</v>
      </c>
      <c r="G170" s="62" t="s">
        <v>192</v>
      </c>
      <c r="H170" s="62" t="s">
        <v>59</v>
      </c>
      <c r="I170" s="62" t="s">
        <v>60</v>
      </c>
      <c r="J170" s="76">
        <v>20000</v>
      </c>
      <c r="K170" s="76">
        <v>250</v>
      </c>
      <c r="L170" s="76"/>
      <c r="M170" s="76"/>
      <c r="N170" s="76">
        <v>1</v>
      </c>
      <c r="O170" s="76"/>
      <c r="P170" s="76"/>
      <c r="Q170" s="76"/>
      <c r="R170" s="76"/>
      <c r="S170" s="76"/>
      <c r="T170" s="62" t="s">
        <v>43</v>
      </c>
      <c r="U170" s="62">
        <v>5</v>
      </c>
      <c r="V170" s="62"/>
      <c r="W170" s="62"/>
      <c r="X170" s="62"/>
      <c r="Y170" s="62"/>
      <c r="Z170" s="62"/>
      <c r="AA170" s="62"/>
      <c r="AB170" s="62"/>
      <c r="AC170" s="62"/>
      <c r="AD170" s="61" t="s">
        <v>61</v>
      </c>
      <c r="AE170" s="62" t="s">
        <v>62</v>
      </c>
      <c r="AF170" s="62" t="s">
        <v>62</v>
      </c>
      <c r="AG170" s="62" t="s">
        <v>62</v>
      </c>
      <c r="AH170" s="61" t="s">
        <v>63</v>
      </c>
      <c r="AI170" s="61" t="s">
        <v>64</v>
      </c>
      <c r="AJ170" s="61" t="s">
        <v>63</v>
      </c>
      <c r="AK170" s="62"/>
      <c r="AL170" s="62"/>
    </row>
    <row r="171" spans="1:38" s="61" customFormat="1" ht="18" customHeight="1" x14ac:dyDescent="0.15">
      <c r="A171" s="62">
        <v>13004001</v>
      </c>
      <c r="B171" s="62" t="s">
        <v>68</v>
      </c>
      <c r="C171" s="62"/>
      <c r="D171" s="62" t="str">
        <f t="shared" si="16"/>
        <v>130040</v>
      </c>
      <c r="E171" s="62" t="str">
        <f t="shared" si="17"/>
        <v>1</v>
      </c>
      <c r="F171" s="62">
        <v>3</v>
      </c>
      <c r="G171" s="62" t="s">
        <v>192</v>
      </c>
      <c r="H171" s="62" t="s">
        <v>59</v>
      </c>
      <c r="I171" s="62" t="s">
        <v>69</v>
      </c>
      <c r="J171" s="62">
        <v>30000</v>
      </c>
      <c r="K171" s="76">
        <v>250</v>
      </c>
      <c r="L171" s="62"/>
      <c r="M171" s="62"/>
      <c r="N171" s="76">
        <v>1</v>
      </c>
      <c r="O171" s="76"/>
      <c r="P171" s="76"/>
      <c r="Q171" s="76"/>
      <c r="R171" s="76"/>
      <c r="S171" s="76"/>
      <c r="T171" s="62" t="s">
        <v>70</v>
      </c>
      <c r="U171" s="62" t="s">
        <v>71</v>
      </c>
      <c r="V171" s="62"/>
      <c r="W171" s="62"/>
      <c r="X171" s="62"/>
      <c r="Y171" s="62"/>
      <c r="Z171" s="62"/>
      <c r="AA171" s="62"/>
      <c r="AB171" s="62"/>
      <c r="AC171" s="62"/>
      <c r="AD171" s="61" t="s">
        <v>72</v>
      </c>
      <c r="AE171" s="62" t="s">
        <v>73</v>
      </c>
      <c r="AF171" s="62" t="s">
        <v>73</v>
      </c>
      <c r="AG171" s="62" t="s">
        <v>73</v>
      </c>
      <c r="AH171" s="85" t="s">
        <v>421</v>
      </c>
      <c r="AI171" s="85" t="s">
        <v>422</v>
      </c>
      <c r="AJ171" s="85" t="s">
        <v>421</v>
      </c>
      <c r="AK171" s="62"/>
      <c r="AL171" s="62"/>
    </row>
    <row r="172" spans="1:38" s="61" customFormat="1" ht="18" customHeight="1" x14ac:dyDescent="0.15">
      <c r="A172" s="62">
        <v>13004002</v>
      </c>
      <c r="B172" s="62" t="s">
        <v>74</v>
      </c>
      <c r="C172" s="62"/>
      <c r="D172" s="62" t="str">
        <f t="shared" si="16"/>
        <v>130040</v>
      </c>
      <c r="E172" s="62" t="str">
        <f t="shared" si="17"/>
        <v>2</v>
      </c>
      <c r="F172" s="62">
        <v>3</v>
      </c>
      <c r="G172" s="62" t="s">
        <v>192</v>
      </c>
      <c r="H172" s="62" t="s">
        <v>59</v>
      </c>
      <c r="I172" s="62" t="s">
        <v>69</v>
      </c>
      <c r="J172" s="62">
        <v>45000</v>
      </c>
      <c r="K172" s="76">
        <v>500</v>
      </c>
      <c r="L172" s="62"/>
      <c r="M172" s="62"/>
      <c r="N172" s="76">
        <v>2</v>
      </c>
      <c r="O172" s="76"/>
      <c r="P172" s="76"/>
      <c r="Q172" s="76"/>
      <c r="R172" s="76"/>
      <c r="S172" s="76"/>
      <c r="T172" s="62" t="s">
        <v>70</v>
      </c>
      <c r="U172" s="62" t="s">
        <v>71</v>
      </c>
      <c r="V172" s="62"/>
      <c r="W172" s="62"/>
      <c r="X172" s="62"/>
      <c r="Y172" s="62"/>
      <c r="Z172" s="62"/>
      <c r="AA172" s="62"/>
      <c r="AB172" s="62"/>
      <c r="AC172" s="62"/>
      <c r="AD172" s="61" t="s">
        <v>75</v>
      </c>
      <c r="AE172" s="62" t="s">
        <v>76</v>
      </c>
      <c r="AF172" s="62" t="s">
        <v>76</v>
      </c>
      <c r="AG172" s="62" t="s">
        <v>76</v>
      </c>
      <c r="AH172" s="85" t="s">
        <v>423</v>
      </c>
      <c r="AI172" s="85" t="s">
        <v>424</v>
      </c>
      <c r="AJ172" s="85" t="s">
        <v>423</v>
      </c>
      <c r="AK172" s="62"/>
      <c r="AL172" s="62"/>
    </row>
    <row r="173" spans="1:38" s="61" customFormat="1" ht="18" customHeight="1" x14ac:dyDescent="0.15">
      <c r="A173" s="62">
        <v>13004003</v>
      </c>
      <c r="B173" s="62" t="s">
        <v>77</v>
      </c>
      <c r="C173" s="62"/>
      <c r="D173" s="62" t="str">
        <f t="shared" si="16"/>
        <v>130040</v>
      </c>
      <c r="E173" s="62" t="str">
        <f t="shared" si="17"/>
        <v>3</v>
      </c>
      <c r="F173" s="62">
        <v>3</v>
      </c>
      <c r="G173" s="62" t="s">
        <v>192</v>
      </c>
      <c r="H173" s="62" t="s">
        <v>59</v>
      </c>
      <c r="I173" s="62" t="s">
        <v>69</v>
      </c>
      <c r="J173" s="62">
        <v>60000</v>
      </c>
      <c r="K173" s="76">
        <v>800</v>
      </c>
      <c r="L173" s="62"/>
      <c r="M173" s="62"/>
      <c r="N173" s="76">
        <v>3</v>
      </c>
      <c r="O173" s="76"/>
      <c r="P173" s="76"/>
      <c r="Q173" s="76"/>
      <c r="R173" s="76"/>
      <c r="S173" s="76"/>
      <c r="T173" s="62" t="s">
        <v>70</v>
      </c>
      <c r="U173" s="62" t="s">
        <v>71</v>
      </c>
      <c r="V173" s="62"/>
      <c r="W173" s="62"/>
      <c r="X173" s="62"/>
      <c r="Y173" s="62"/>
      <c r="Z173" s="62"/>
      <c r="AA173" s="62"/>
      <c r="AB173" s="62"/>
      <c r="AC173" s="62"/>
      <c r="AD173" s="61" t="s">
        <v>78</v>
      </c>
      <c r="AE173" s="62" t="s">
        <v>79</v>
      </c>
      <c r="AF173" s="62" t="s">
        <v>79</v>
      </c>
      <c r="AG173" s="62" t="s">
        <v>79</v>
      </c>
      <c r="AH173" s="85" t="s">
        <v>425</v>
      </c>
      <c r="AI173" s="85" t="s">
        <v>426</v>
      </c>
      <c r="AJ173" s="85" t="s">
        <v>425</v>
      </c>
      <c r="AK173" s="62"/>
      <c r="AL173" s="62"/>
    </row>
    <row r="174" spans="1:38" s="61" customFormat="1" ht="18" customHeight="1" x14ac:dyDescent="0.15">
      <c r="A174" s="62">
        <v>13005001</v>
      </c>
      <c r="B174" s="62" t="s">
        <v>80</v>
      </c>
      <c r="C174" s="62"/>
      <c r="D174" s="62" t="str">
        <f t="shared" si="16"/>
        <v>130050</v>
      </c>
      <c r="E174" s="62" t="str">
        <f t="shared" si="17"/>
        <v>1</v>
      </c>
      <c r="F174" s="62">
        <v>3</v>
      </c>
      <c r="G174" s="62" t="s">
        <v>192</v>
      </c>
      <c r="H174" s="62" t="s">
        <v>59</v>
      </c>
      <c r="I174" s="62" t="s">
        <v>81</v>
      </c>
      <c r="J174" s="62">
        <v>30000</v>
      </c>
      <c r="K174" s="76">
        <v>250</v>
      </c>
      <c r="L174" s="62"/>
      <c r="M174" s="62"/>
      <c r="N174" s="76">
        <v>1</v>
      </c>
      <c r="O174" s="76"/>
      <c r="P174" s="76"/>
      <c r="Q174" s="76"/>
      <c r="R174" s="76"/>
      <c r="S174" s="76"/>
      <c r="T174" s="62" t="s">
        <v>70</v>
      </c>
      <c r="U174" s="62" t="s">
        <v>82</v>
      </c>
      <c r="V174" s="62"/>
      <c r="W174" s="62"/>
      <c r="X174" s="62"/>
      <c r="Y174" s="62"/>
      <c r="Z174" s="62"/>
      <c r="AA174" s="62"/>
      <c r="AB174" s="62"/>
      <c r="AC174" s="62"/>
      <c r="AD174" s="61" t="s">
        <v>83</v>
      </c>
      <c r="AE174" s="62" t="s">
        <v>84</v>
      </c>
      <c r="AF174" s="62" t="s">
        <v>84</v>
      </c>
      <c r="AG174" s="62" t="s">
        <v>84</v>
      </c>
      <c r="AH174" s="85" t="s">
        <v>427</v>
      </c>
      <c r="AI174" s="85" t="s">
        <v>428</v>
      </c>
      <c r="AJ174" s="85" t="s">
        <v>427</v>
      </c>
      <c r="AK174" s="62"/>
      <c r="AL174" s="62"/>
    </row>
    <row r="175" spans="1:38" s="61" customFormat="1" ht="18" customHeight="1" x14ac:dyDescent="0.15">
      <c r="A175" s="62">
        <v>13005002</v>
      </c>
      <c r="B175" s="62" t="s">
        <v>85</v>
      </c>
      <c r="C175" s="62"/>
      <c r="D175" s="62" t="str">
        <f t="shared" si="16"/>
        <v>130050</v>
      </c>
      <c r="E175" s="62" t="str">
        <f t="shared" si="17"/>
        <v>2</v>
      </c>
      <c r="F175" s="62">
        <v>3</v>
      </c>
      <c r="G175" s="62" t="s">
        <v>192</v>
      </c>
      <c r="H175" s="62" t="s">
        <v>59</v>
      </c>
      <c r="I175" s="62" t="s">
        <v>81</v>
      </c>
      <c r="J175" s="62">
        <v>45000</v>
      </c>
      <c r="K175" s="76">
        <v>500</v>
      </c>
      <c r="L175" s="62"/>
      <c r="M175" s="62"/>
      <c r="N175" s="76">
        <v>2</v>
      </c>
      <c r="O175" s="76"/>
      <c r="P175" s="76"/>
      <c r="Q175" s="76"/>
      <c r="R175" s="76"/>
      <c r="S175" s="76"/>
      <c r="T175" s="62" t="s">
        <v>70</v>
      </c>
      <c r="U175" s="62" t="s">
        <v>82</v>
      </c>
      <c r="V175" s="62"/>
      <c r="W175" s="62"/>
      <c r="X175" s="62"/>
      <c r="Y175" s="62"/>
      <c r="Z175" s="62"/>
      <c r="AA175" s="62"/>
      <c r="AB175" s="62"/>
      <c r="AC175" s="62"/>
      <c r="AD175" s="61" t="s">
        <v>86</v>
      </c>
      <c r="AE175" s="62" t="s">
        <v>87</v>
      </c>
      <c r="AF175" s="62" t="s">
        <v>87</v>
      </c>
      <c r="AG175" s="62" t="s">
        <v>87</v>
      </c>
      <c r="AH175" s="85" t="s">
        <v>429</v>
      </c>
      <c r="AI175" s="85" t="s">
        <v>430</v>
      </c>
      <c r="AJ175" s="85" t="s">
        <v>429</v>
      </c>
      <c r="AK175" s="62"/>
      <c r="AL175" s="62"/>
    </row>
    <row r="176" spans="1:38" s="61" customFormat="1" ht="18" customHeight="1" x14ac:dyDescent="0.15">
      <c r="A176" s="62">
        <v>13005003</v>
      </c>
      <c r="B176" s="62" t="s">
        <v>88</v>
      </c>
      <c r="C176" s="62"/>
      <c r="D176" s="62" t="str">
        <f t="shared" si="16"/>
        <v>130050</v>
      </c>
      <c r="E176" s="62" t="str">
        <f t="shared" si="17"/>
        <v>3</v>
      </c>
      <c r="F176" s="62">
        <v>3</v>
      </c>
      <c r="G176" s="62" t="s">
        <v>192</v>
      </c>
      <c r="H176" s="62" t="s">
        <v>59</v>
      </c>
      <c r="I176" s="62" t="s">
        <v>81</v>
      </c>
      <c r="J176" s="62">
        <v>60000</v>
      </c>
      <c r="K176" s="76">
        <v>800</v>
      </c>
      <c r="L176" s="62"/>
      <c r="M176" s="62"/>
      <c r="N176" s="76">
        <v>3</v>
      </c>
      <c r="O176" s="76"/>
      <c r="P176" s="76"/>
      <c r="Q176" s="76"/>
      <c r="R176" s="76"/>
      <c r="S176" s="76"/>
      <c r="T176" s="62" t="s">
        <v>70</v>
      </c>
      <c r="U176" s="62" t="s">
        <v>82</v>
      </c>
      <c r="V176" s="62"/>
      <c r="W176" s="62"/>
      <c r="X176" s="62"/>
      <c r="Y176" s="62"/>
      <c r="Z176" s="62"/>
      <c r="AA176" s="62"/>
      <c r="AB176" s="62"/>
      <c r="AC176" s="62"/>
      <c r="AD176" s="61" t="s">
        <v>89</v>
      </c>
      <c r="AE176" s="62" t="s">
        <v>90</v>
      </c>
      <c r="AF176" s="62" t="s">
        <v>90</v>
      </c>
      <c r="AG176" s="62" t="s">
        <v>90</v>
      </c>
      <c r="AH176" s="85" t="s">
        <v>431</v>
      </c>
      <c r="AI176" s="85" t="s">
        <v>432</v>
      </c>
      <c r="AJ176" s="85" t="s">
        <v>431</v>
      </c>
      <c r="AK176" s="62"/>
      <c r="AL176" s="62"/>
    </row>
    <row r="177" spans="1:38" s="61" customFormat="1" ht="18" customHeight="1" x14ac:dyDescent="0.15">
      <c r="A177" s="62">
        <v>13006001</v>
      </c>
      <c r="B177" s="62" t="s">
        <v>159</v>
      </c>
      <c r="C177" s="62"/>
      <c r="D177" s="62" t="str">
        <f t="shared" si="16"/>
        <v>130060</v>
      </c>
      <c r="E177" s="62" t="str">
        <f t="shared" si="17"/>
        <v>1</v>
      </c>
      <c r="F177" s="62">
        <v>1</v>
      </c>
      <c r="G177" s="62" t="s">
        <v>192</v>
      </c>
      <c r="H177" s="62" t="s">
        <v>40</v>
      </c>
      <c r="I177" s="62"/>
      <c r="J177" s="76">
        <v>0</v>
      </c>
      <c r="K177" s="76">
        <v>0</v>
      </c>
      <c r="L177" s="76"/>
      <c r="M177" s="76"/>
      <c r="N177" s="62">
        <v>1</v>
      </c>
      <c r="O177" s="62"/>
      <c r="P177" s="62"/>
      <c r="Q177" s="62"/>
      <c r="R177" s="62"/>
      <c r="S177" s="62"/>
      <c r="T177" s="62" t="s">
        <v>92</v>
      </c>
      <c r="U177" s="62">
        <v>20000402</v>
      </c>
      <c r="V177" s="62">
        <v>1</v>
      </c>
      <c r="W177" s="62"/>
      <c r="X177" s="62"/>
      <c r="Y177" s="62"/>
      <c r="Z177" s="62"/>
      <c r="AA177" s="62"/>
      <c r="AB177" s="62"/>
      <c r="AC177" s="62"/>
      <c r="AE177" s="62"/>
      <c r="AF177" s="62"/>
      <c r="AG177" s="62"/>
      <c r="AK177" s="62"/>
      <c r="AL177" s="62"/>
    </row>
    <row r="178" spans="1:38" s="61" customFormat="1" ht="18" customHeight="1" x14ac:dyDescent="0.15">
      <c r="A178" s="62">
        <v>13007001</v>
      </c>
      <c r="B178" s="62" t="s">
        <v>93</v>
      </c>
      <c r="C178" s="62"/>
      <c r="D178" s="62" t="str">
        <f t="shared" si="16"/>
        <v>130070</v>
      </c>
      <c r="E178" s="62" t="str">
        <f t="shared" si="17"/>
        <v>1</v>
      </c>
      <c r="F178" s="62">
        <v>4</v>
      </c>
      <c r="G178" s="62" t="s">
        <v>192</v>
      </c>
      <c r="H178" s="62" t="s">
        <v>59</v>
      </c>
      <c r="I178" s="62" t="s">
        <v>60</v>
      </c>
      <c r="J178" s="76">
        <v>20000</v>
      </c>
      <c r="K178" s="76">
        <v>250</v>
      </c>
      <c r="L178" s="76"/>
      <c r="M178" s="76"/>
      <c r="N178" s="76">
        <v>1</v>
      </c>
      <c r="O178" s="76"/>
      <c r="P178" s="76"/>
      <c r="Q178" s="76"/>
      <c r="R178" s="76"/>
      <c r="S178" s="76"/>
      <c r="T178" s="62" t="s">
        <v>43</v>
      </c>
      <c r="U178" s="62">
        <v>5</v>
      </c>
      <c r="V178" s="62"/>
      <c r="W178" s="62"/>
      <c r="X178" s="62"/>
      <c r="Y178" s="62"/>
      <c r="Z178" s="62"/>
      <c r="AA178" s="62"/>
      <c r="AB178" s="62"/>
      <c r="AC178" s="62"/>
      <c r="AD178" s="61" t="s">
        <v>61</v>
      </c>
      <c r="AE178" s="62" t="s">
        <v>62</v>
      </c>
      <c r="AF178" s="62" t="s">
        <v>62</v>
      </c>
      <c r="AG178" s="62" t="s">
        <v>62</v>
      </c>
      <c r="AH178" s="61" t="s">
        <v>63</v>
      </c>
      <c r="AI178" s="61" t="s">
        <v>64</v>
      </c>
      <c r="AJ178" s="61" t="s">
        <v>63</v>
      </c>
      <c r="AK178" s="62"/>
      <c r="AL178" s="62"/>
    </row>
    <row r="179" spans="1:38" s="61" customFormat="1" ht="18" customHeight="1" x14ac:dyDescent="0.15">
      <c r="A179" s="62">
        <v>13007002</v>
      </c>
      <c r="B179" s="62" t="s">
        <v>94</v>
      </c>
      <c r="C179" s="62"/>
      <c r="D179" s="62" t="str">
        <f t="shared" si="16"/>
        <v>130070</v>
      </c>
      <c r="E179" s="62" t="str">
        <f t="shared" si="17"/>
        <v>2</v>
      </c>
      <c r="F179" s="62">
        <v>4</v>
      </c>
      <c r="G179" s="62" t="s">
        <v>192</v>
      </c>
      <c r="H179" s="62" t="s">
        <v>59</v>
      </c>
      <c r="I179" s="62" t="s">
        <v>60</v>
      </c>
      <c r="J179" s="76">
        <v>20000</v>
      </c>
      <c r="K179" s="76">
        <v>250</v>
      </c>
      <c r="L179" s="76"/>
      <c r="M179" s="76"/>
      <c r="N179" s="76">
        <v>1</v>
      </c>
      <c r="O179" s="76"/>
      <c r="P179" s="76"/>
      <c r="Q179" s="76"/>
      <c r="R179" s="76"/>
      <c r="S179" s="76"/>
      <c r="T179" s="62" t="s">
        <v>43</v>
      </c>
      <c r="U179" s="62">
        <v>5</v>
      </c>
      <c r="V179" s="62"/>
      <c r="W179" s="62"/>
      <c r="X179" s="62"/>
      <c r="Y179" s="62"/>
      <c r="Z179" s="62"/>
      <c r="AA179" s="62"/>
      <c r="AB179" s="62"/>
      <c r="AC179" s="62"/>
      <c r="AD179" s="61" t="s">
        <v>61</v>
      </c>
      <c r="AE179" s="62" t="s">
        <v>62</v>
      </c>
      <c r="AF179" s="62" t="s">
        <v>62</v>
      </c>
      <c r="AG179" s="62" t="s">
        <v>62</v>
      </c>
      <c r="AH179" s="61" t="s">
        <v>63</v>
      </c>
      <c r="AI179" s="61" t="s">
        <v>64</v>
      </c>
      <c r="AJ179" s="61" t="s">
        <v>63</v>
      </c>
      <c r="AK179" s="62"/>
      <c r="AL179" s="62"/>
    </row>
    <row r="180" spans="1:38" s="61" customFormat="1" ht="18" customHeight="1" x14ac:dyDescent="0.15">
      <c r="A180" s="62">
        <v>13007003</v>
      </c>
      <c r="B180" s="62" t="s">
        <v>95</v>
      </c>
      <c r="C180" s="62"/>
      <c r="D180" s="62" t="str">
        <f t="shared" si="16"/>
        <v>130070</v>
      </c>
      <c r="E180" s="62" t="str">
        <f t="shared" si="17"/>
        <v>3</v>
      </c>
      <c r="F180" s="62">
        <v>4</v>
      </c>
      <c r="G180" s="62" t="s">
        <v>192</v>
      </c>
      <c r="H180" s="62" t="s">
        <v>59</v>
      </c>
      <c r="I180" s="62" t="s">
        <v>60</v>
      </c>
      <c r="J180" s="76">
        <v>20000</v>
      </c>
      <c r="K180" s="76">
        <v>250</v>
      </c>
      <c r="L180" s="76"/>
      <c r="M180" s="76"/>
      <c r="N180" s="76">
        <v>1</v>
      </c>
      <c r="O180" s="76"/>
      <c r="P180" s="76"/>
      <c r="Q180" s="76"/>
      <c r="R180" s="76"/>
      <c r="S180" s="76"/>
      <c r="T180" s="62" t="s">
        <v>43</v>
      </c>
      <c r="U180" s="62">
        <v>5</v>
      </c>
      <c r="V180" s="62"/>
      <c r="W180" s="62"/>
      <c r="X180" s="62"/>
      <c r="Y180" s="62"/>
      <c r="Z180" s="62"/>
      <c r="AA180" s="62"/>
      <c r="AB180" s="62"/>
      <c r="AC180" s="62"/>
      <c r="AD180" s="61" t="s">
        <v>61</v>
      </c>
      <c r="AE180" s="62" t="s">
        <v>62</v>
      </c>
      <c r="AF180" s="62" t="s">
        <v>62</v>
      </c>
      <c r="AG180" s="62" t="s">
        <v>62</v>
      </c>
      <c r="AH180" s="61" t="s">
        <v>63</v>
      </c>
      <c r="AI180" s="61" t="s">
        <v>64</v>
      </c>
      <c r="AJ180" s="61" t="s">
        <v>63</v>
      </c>
      <c r="AK180" s="62"/>
      <c r="AL180" s="62"/>
    </row>
    <row r="181" spans="1:38" s="61" customFormat="1" ht="18" customHeight="1" x14ac:dyDescent="0.15">
      <c r="A181" s="62">
        <v>13007004</v>
      </c>
      <c r="B181" s="62" t="s">
        <v>96</v>
      </c>
      <c r="C181" s="62"/>
      <c r="D181" s="62" t="str">
        <f t="shared" si="16"/>
        <v>130070</v>
      </c>
      <c r="E181" s="62" t="str">
        <f t="shared" si="17"/>
        <v>4</v>
      </c>
      <c r="F181" s="62">
        <v>4</v>
      </c>
      <c r="G181" s="62" t="s">
        <v>192</v>
      </c>
      <c r="H181" s="62" t="s">
        <v>59</v>
      </c>
      <c r="I181" s="62" t="s">
        <v>60</v>
      </c>
      <c r="J181" s="76">
        <v>20000</v>
      </c>
      <c r="K181" s="76">
        <v>250</v>
      </c>
      <c r="L181" s="76"/>
      <c r="M181" s="76"/>
      <c r="N181" s="76">
        <v>1</v>
      </c>
      <c r="O181" s="76"/>
      <c r="P181" s="76"/>
      <c r="Q181" s="76"/>
      <c r="R181" s="76"/>
      <c r="S181" s="76"/>
      <c r="T181" s="62" t="s">
        <v>43</v>
      </c>
      <c r="U181" s="62">
        <v>5</v>
      </c>
      <c r="V181" s="62"/>
      <c r="W181" s="62"/>
      <c r="X181" s="62"/>
      <c r="Y181" s="62"/>
      <c r="Z181" s="62"/>
      <c r="AA181" s="62"/>
      <c r="AB181" s="62"/>
      <c r="AC181" s="62"/>
      <c r="AD181" s="61" t="s">
        <v>61</v>
      </c>
      <c r="AE181" s="62" t="s">
        <v>62</v>
      </c>
      <c r="AF181" s="62" t="s">
        <v>62</v>
      </c>
      <c r="AG181" s="62" t="s">
        <v>62</v>
      </c>
      <c r="AH181" s="61" t="s">
        <v>63</v>
      </c>
      <c r="AI181" s="61" t="s">
        <v>64</v>
      </c>
      <c r="AJ181" s="61" t="s">
        <v>63</v>
      </c>
      <c r="AK181" s="62"/>
      <c r="AL181" s="62"/>
    </row>
    <row r="182" spans="1:38" s="61" customFormat="1" ht="18" customHeight="1" x14ac:dyDescent="0.15">
      <c r="A182" s="62">
        <v>13008001</v>
      </c>
      <c r="B182" s="62" t="s">
        <v>97</v>
      </c>
      <c r="C182" s="62"/>
      <c r="D182" s="62" t="str">
        <f t="shared" si="16"/>
        <v>130080</v>
      </c>
      <c r="E182" s="62" t="str">
        <f t="shared" si="17"/>
        <v>1</v>
      </c>
      <c r="F182" s="62">
        <v>1</v>
      </c>
      <c r="G182" s="62" t="s">
        <v>192</v>
      </c>
      <c r="H182" s="62" t="s">
        <v>40</v>
      </c>
      <c r="I182" s="62" t="s">
        <v>41</v>
      </c>
      <c r="J182" s="76">
        <v>0</v>
      </c>
      <c r="K182" s="76">
        <v>0</v>
      </c>
      <c r="L182" s="76"/>
      <c r="M182" s="76"/>
      <c r="N182" s="76">
        <v>1</v>
      </c>
      <c r="O182" s="76"/>
      <c r="P182" s="76"/>
      <c r="Q182" s="76"/>
      <c r="R182" s="76"/>
      <c r="S182" s="76"/>
      <c r="T182" s="62" t="s">
        <v>42</v>
      </c>
      <c r="U182" s="62">
        <v>20000428</v>
      </c>
      <c r="V182" s="62"/>
      <c r="W182" s="62"/>
      <c r="X182" s="62"/>
      <c r="Y182" s="62" t="s">
        <v>43</v>
      </c>
      <c r="Z182" s="62">
        <v>10</v>
      </c>
      <c r="AA182" s="62"/>
      <c r="AB182" s="62"/>
      <c r="AC182" s="62"/>
      <c r="AD182" s="61" t="s">
        <v>193</v>
      </c>
      <c r="AE182" s="62" t="s">
        <v>194</v>
      </c>
      <c r="AF182" s="62" t="s">
        <v>194</v>
      </c>
      <c r="AG182" s="62" t="s">
        <v>194</v>
      </c>
      <c r="AH182" s="61" t="s">
        <v>195</v>
      </c>
      <c r="AI182" s="61" t="s">
        <v>196</v>
      </c>
      <c r="AJ182" s="61" t="s">
        <v>195</v>
      </c>
      <c r="AK182" s="62"/>
      <c r="AL182" s="62"/>
    </row>
    <row r="183" spans="1:38" s="61" customFormat="1" ht="18" customHeight="1" x14ac:dyDescent="0.15">
      <c r="A183" s="62">
        <v>13009001</v>
      </c>
      <c r="B183" s="62" t="s">
        <v>99</v>
      </c>
      <c r="C183" s="62"/>
      <c r="D183" s="62" t="str">
        <f t="shared" si="16"/>
        <v>130090</v>
      </c>
      <c r="E183" s="62" t="str">
        <f t="shared" si="17"/>
        <v>1</v>
      </c>
      <c r="F183" s="62">
        <v>1</v>
      </c>
      <c r="G183" s="62" t="s">
        <v>192</v>
      </c>
      <c r="H183" s="62" t="s">
        <v>40</v>
      </c>
      <c r="I183" s="62" t="s">
        <v>41</v>
      </c>
      <c r="J183" s="76">
        <v>75000</v>
      </c>
      <c r="K183" s="76">
        <v>1000</v>
      </c>
      <c r="L183" s="76"/>
      <c r="M183" s="76"/>
      <c r="N183" s="76">
        <v>1</v>
      </c>
      <c r="O183" s="76"/>
      <c r="P183" s="76"/>
      <c r="Q183" s="76"/>
      <c r="R183" s="76"/>
      <c r="S183" s="76"/>
      <c r="T183" s="62" t="s">
        <v>42</v>
      </c>
      <c r="U183" s="62">
        <v>20000429</v>
      </c>
      <c r="V183" s="62"/>
      <c r="W183" s="62"/>
      <c r="X183" s="62"/>
      <c r="Y183" s="62"/>
      <c r="Z183" s="62"/>
      <c r="AA183" s="62"/>
      <c r="AB183" s="62"/>
      <c r="AC183" s="62"/>
      <c r="AD183" s="61" t="s">
        <v>197</v>
      </c>
      <c r="AE183" s="62" t="s">
        <v>198</v>
      </c>
      <c r="AF183" s="62" t="s">
        <v>198</v>
      </c>
      <c r="AG183" s="62" t="s">
        <v>198</v>
      </c>
      <c r="AH183" s="61" t="s">
        <v>199</v>
      </c>
      <c r="AI183" s="61" t="s">
        <v>200</v>
      </c>
      <c r="AJ183" s="61" t="s">
        <v>199</v>
      </c>
      <c r="AK183" s="62"/>
      <c r="AL183" s="62"/>
    </row>
    <row r="184" spans="1:38" s="61" customFormat="1" ht="18" customHeight="1" x14ac:dyDescent="0.15">
      <c r="A184" s="62">
        <v>13010001</v>
      </c>
      <c r="B184" s="62" t="s">
        <v>100</v>
      </c>
      <c r="C184" s="62"/>
      <c r="D184" s="62" t="str">
        <f t="shared" si="16"/>
        <v>130100</v>
      </c>
      <c r="E184" s="62" t="str">
        <f t="shared" si="17"/>
        <v>1</v>
      </c>
      <c r="F184" s="62">
        <v>1</v>
      </c>
      <c r="G184" s="62" t="s">
        <v>192</v>
      </c>
      <c r="H184" s="62" t="s">
        <v>40</v>
      </c>
      <c r="I184" s="62" t="s">
        <v>41</v>
      </c>
      <c r="J184" s="76">
        <v>90000</v>
      </c>
      <c r="K184" s="76">
        <v>1000</v>
      </c>
      <c r="L184" s="76"/>
      <c r="M184" s="76"/>
      <c r="N184" s="76">
        <v>2</v>
      </c>
      <c r="O184" s="76"/>
      <c r="P184" s="76"/>
      <c r="Q184" s="76"/>
      <c r="R184" s="76"/>
      <c r="S184" s="76"/>
      <c r="T184" s="62" t="s">
        <v>42</v>
      </c>
      <c r="U184" s="62">
        <v>20000430</v>
      </c>
      <c r="V184" s="62"/>
      <c r="W184" s="62"/>
      <c r="X184" s="62"/>
      <c r="Y184" s="62"/>
      <c r="Z184" s="62"/>
      <c r="AA184" s="62"/>
      <c r="AB184" s="62"/>
      <c r="AC184" s="62"/>
      <c r="AD184" s="61" t="s">
        <v>201</v>
      </c>
      <c r="AE184" s="62" t="s">
        <v>202</v>
      </c>
      <c r="AF184" s="62" t="s">
        <v>202</v>
      </c>
      <c r="AG184" s="62" t="s">
        <v>202</v>
      </c>
      <c r="AH184" s="61" t="s">
        <v>56</v>
      </c>
      <c r="AI184" s="61" t="s">
        <v>57</v>
      </c>
      <c r="AJ184" s="61" t="s">
        <v>56</v>
      </c>
      <c r="AK184" s="62"/>
      <c r="AL184" s="62"/>
    </row>
    <row r="185" spans="1:38" s="61" customFormat="1" ht="18" customHeight="1" x14ac:dyDescent="0.15">
      <c r="A185" s="62">
        <v>13011001</v>
      </c>
      <c r="B185" s="62" t="s">
        <v>101</v>
      </c>
      <c r="C185" s="62" t="s">
        <v>102</v>
      </c>
      <c r="D185" s="62" t="str">
        <f t="shared" si="16"/>
        <v>130110</v>
      </c>
      <c r="E185" s="62" t="str">
        <f t="shared" si="17"/>
        <v>1</v>
      </c>
      <c r="F185" s="62">
        <v>1</v>
      </c>
      <c r="G185" s="62" t="s">
        <v>192</v>
      </c>
      <c r="H185" s="62" t="s">
        <v>40</v>
      </c>
      <c r="I185" s="62" t="s">
        <v>103</v>
      </c>
      <c r="J185" s="76">
        <v>24000</v>
      </c>
      <c r="K185" s="76">
        <v>210</v>
      </c>
      <c r="L185" s="76">
        <f>0.6*K185</f>
        <v>126</v>
      </c>
      <c r="M185" s="76">
        <v>0</v>
      </c>
      <c r="N185" s="76">
        <v>1</v>
      </c>
      <c r="O185" s="76"/>
      <c r="P185" s="76"/>
      <c r="Q185" s="76"/>
      <c r="R185" s="76"/>
      <c r="S185" s="76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E185" s="62"/>
      <c r="AF185" s="62"/>
      <c r="AG185" s="62"/>
      <c r="AK185" s="62"/>
      <c r="AL185" s="62"/>
    </row>
    <row r="186" spans="1:38" s="61" customFormat="1" ht="18" customHeight="1" x14ac:dyDescent="0.15">
      <c r="A186" s="62">
        <v>13011101</v>
      </c>
      <c r="B186" s="62" t="s">
        <v>104</v>
      </c>
      <c r="C186" s="62" t="s">
        <v>102</v>
      </c>
      <c r="D186" s="62" t="str">
        <f t="shared" si="16"/>
        <v>130111</v>
      </c>
      <c r="E186" s="62" t="str">
        <f t="shared" si="17"/>
        <v>1</v>
      </c>
      <c r="F186" s="62">
        <v>1</v>
      </c>
      <c r="G186" s="62" t="s">
        <v>192</v>
      </c>
      <c r="H186" s="62" t="s">
        <v>40</v>
      </c>
      <c r="I186" s="62"/>
      <c r="J186" s="76">
        <v>0</v>
      </c>
      <c r="K186" s="76">
        <v>0</v>
      </c>
      <c r="L186" s="76"/>
      <c r="M186" s="76"/>
      <c r="N186" s="76">
        <v>1</v>
      </c>
      <c r="O186" s="76"/>
      <c r="P186" s="76"/>
      <c r="Q186" s="76"/>
      <c r="R186" s="76"/>
      <c r="S186" s="76"/>
      <c r="T186" s="62" t="s">
        <v>105</v>
      </c>
      <c r="U186" s="62">
        <v>20000401</v>
      </c>
      <c r="V186" s="62" t="s">
        <v>106</v>
      </c>
      <c r="W186" s="62"/>
      <c r="X186" s="62"/>
      <c r="Y186" s="62"/>
      <c r="Z186" s="62"/>
      <c r="AA186" s="62"/>
      <c r="AB186" s="62"/>
      <c r="AC186" s="62"/>
      <c r="AE186" s="62"/>
      <c r="AF186" s="62"/>
      <c r="AG186" s="62"/>
      <c r="AK186" s="62"/>
      <c r="AL186" s="62"/>
    </row>
    <row r="187" spans="1:38" s="61" customFormat="1" ht="18" customHeight="1" x14ac:dyDescent="0.15">
      <c r="A187" s="62">
        <v>13011201</v>
      </c>
      <c r="B187" s="62" t="s">
        <v>203</v>
      </c>
      <c r="C187" s="62" t="s">
        <v>102</v>
      </c>
      <c r="D187" s="62" t="str">
        <f t="shared" si="16"/>
        <v>130112</v>
      </c>
      <c r="E187" s="62" t="str">
        <f t="shared" si="17"/>
        <v>1</v>
      </c>
      <c r="F187" s="62">
        <v>1</v>
      </c>
      <c r="G187" s="62" t="s">
        <v>192</v>
      </c>
      <c r="H187" s="62" t="s">
        <v>40</v>
      </c>
      <c r="I187" s="62"/>
      <c r="J187" s="76">
        <v>0</v>
      </c>
      <c r="K187" s="76">
        <v>0</v>
      </c>
      <c r="L187" s="76"/>
      <c r="M187" s="76"/>
      <c r="N187" s="76">
        <v>1</v>
      </c>
      <c r="O187" s="76"/>
      <c r="P187" s="76"/>
      <c r="Q187" s="76"/>
      <c r="R187" s="76"/>
      <c r="S187" s="76"/>
      <c r="T187" s="62" t="s">
        <v>105</v>
      </c>
      <c r="U187" s="62">
        <v>20000401</v>
      </c>
      <c r="V187" s="62" t="s">
        <v>112</v>
      </c>
      <c r="W187" s="62"/>
      <c r="X187" s="62"/>
      <c r="Y187" s="62"/>
      <c r="Z187" s="62"/>
      <c r="AA187" s="62"/>
      <c r="AB187" s="62"/>
      <c r="AC187" s="62"/>
      <c r="AE187" s="62"/>
      <c r="AF187" s="62"/>
      <c r="AG187" s="62"/>
      <c r="AK187" s="62"/>
      <c r="AL187" s="62"/>
    </row>
    <row r="188" spans="1:38" s="61" customFormat="1" ht="18" customHeight="1" x14ac:dyDescent="0.15">
      <c r="A188" s="62">
        <v>13012001</v>
      </c>
      <c r="B188" s="62" t="s">
        <v>107</v>
      </c>
      <c r="C188" s="62" t="s">
        <v>102</v>
      </c>
      <c r="D188" s="62" t="str">
        <f t="shared" si="16"/>
        <v>130120</v>
      </c>
      <c r="E188" s="62" t="str">
        <f t="shared" si="17"/>
        <v>1</v>
      </c>
      <c r="F188" s="62">
        <v>1</v>
      </c>
      <c r="G188" s="62" t="s">
        <v>192</v>
      </c>
      <c r="H188" s="62" t="s">
        <v>40</v>
      </c>
      <c r="I188" s="62" t="s">
        <v>103</v>
      </c>
      <c r="J188" s="76">
        <v>16000</v>
      </c>
      <c r="K188" s="76">
        <v>150</v>
      </c>
      <c r="L188" s="76">
        <f>0.6*K188</f>
        <v>90</v>
      </c>
      <c r="M188" s="76">
        <v>0</v>
      </c>
      <c r="N188" s="76">
        <v>1</v>
      </c>
      <c r="O188" s="76"/>
      <c r="P188" s="76"/>
      <c r="Q188" s="76"/>
      <c r="R188" s="76"/>
      <c r="S188" s="76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E188" s="62"/>
      <c r="AF188" s="62"/>
      <c r="AG188" s="62"/>
      <c r="AK188" s="62"/>
      <c r="AL188" s="62"/>
    </row>
    <row r="189" spans="1:38" s="61" customFormat="1" ht="18" customHeight="1" x14ac:dyDescent="0.15">
      <c r="A189" s="62">
        <v>13012101</v>
      </c>
      <c r="B189" s="62" t="s">
        <v>204</v>
      </c>
      <c r="C189" s="62" t="s">
        <v>102</v>
      </c>
      <c r="D189" s="62" t="str">
        <f t="shared" si="16"/>
        <v>130121</v>
      </c>
      <c r="E189" s="62" t="str">
        <f t="shared" si="17"/>
        <v>1</v>
      </c>
      <c r="F189" s="62">
        <v>1</v>
      </c>
      <c r="G189" s="62" t="s">
        <v>192</v>
      </c>
      <c r="H189" s="62" t="s">
        <v>40</v>
      </c>
      <c r="I189" s="62"/>
      <c r="J189" s="76">
        <v>0</v>
      </c>
      <c r="K189" s="76">
        <v>0</v>
      </c>
      <c r="L189" s="76"/>
      <c r="M189" s="76"/>
      <c r="N189" s="76">
        <v>2</v>
      </c>
      <c r="O189" s="76"/>
      <c r="P189" s="76"/>
      <c r="Q189" s="76"/>
      <c r="R189" s="76"/>
      <c r="S189" s="76"/>
      <c r="T189" s="62" t="s">
        <v>105</v>
      </c>
      <c r="U189" s="62">
        <v>20000402</v>
      </c>
      <c r="V189" s="62" t="s">
        <v>165</v>
      </c>
      <c r="W189" s="62"/>
      <c r="X189" s="62"/>
      <c r="Y189" s="62"/>
      <c r="Z189" s="62"/>
      <c r="AA189" s="62"/>
      <c r="AB189" s="62"/>
      <c r="AC189" s="62"/>
      <c r="AE189" s="62"/>
      <c r="AF189" s="62"/>
      <c r="AG189" s="62"/>
      <c r="AK189" s="62"/>
      <c r="AL189" s="62"/>
    </row>
    <row r="190" spans="1:38" s="61" customFormat="1" ht="18" customHeight="1" x14ac:dyDescent="0.15">
      <c r="A190" s="62">
        <v>13013001</v>
      </c>
      <c r="B190" s="62" t="s">
        <v>109</v>
      </c>
      <c r="C190" s="62" t="s">
        <v>102</v>
      </c>
      <c r="D190" s="62" t="str">
        <f t="shared" si="16"/>
        <v>130130</v>
      </c>
      <c r="E190" s="62" t="str">
        <f t="shared" si="17"/>
        <v>1</v>
      </c>
      <c r="F190" s="62">
        <v>1</v>
      </c>
      <c r="G190" s="62" t="s">
        <v>192</v>
      </c>
      <c r="H190" s="62" t="s">
        <v>40</v>
      </c>
      <c r="I190" s="62" t="s">
        <v>103</v>
      </c>
      <c r="J190" s="76">
        <v>18000</v>
      </c>
      <c r="K190" s="76">
        <v>190</v>
      </c>
      <c r="L190" s="76">
        <f>0.6*K190</f>
        <v>114</v>
      </c>
      <c r="M190" s="76">
        <v>340</v>
      </c>
      <c r="N190" s="76">
        <v>2</v>
      </c>
      <c r="O190" s="76"/>
      <c r="P190" s="76"/>
      <c r="Q190" s="76"/>
      <c r="R190" s="76"/>
      <c r="S190" s="76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E190" s="62"/>
      <c r="AF190" s="62"/>
      <c r="AG190" s="62"/>
      <c r="AK190" s="62"/>
      <c r="AL190" s="62"/>
    </row>
    <row r="191" spans="1:38" s="61" customFormat="1" ht="18" customHeight="1" x14ac:dyDescent="0.15">
      <c r="A191" s="62">
        <v>13013101</v>
      </c>
      <c r="B191" s="62" t="s">
        <v>110</v>
      </c>
      <c r="C191" s="62" t="s">
        <v>102</v>
      </c>
      <c r="D191" s="62" t="str">
        <f t="shared" si="16"/>
        <v>130131</v>
      </c>
      <c r="E191" s="62" t="str">
        <f t="shared" si="17"/>
        <v>1</v>
      </c>
      <c r="F191" s="62">
        <v>1</v>
      </c>
      <c r="G191" s="62" t="s">
        <v>192</v>
      </c>
      <c r="H191" s="62" t="s">
        <v>40</v>
      </c>
      <c r="I191" s="62"/>
      <c r="J191" s="76">
        <v>0</v>
      </c>
      <c r="K191" s="76">
        <v>0</v>
      </c>
      <c r="L191" s="76"/>
      <c r="M191" s="76"/>
      <c r="N191" s="76">
        <v>2</v>
      </c>
      <c r="O191" s="76"/>
      <c r="P191" s="76"/>
      <c r="Q191" s="76"/>
      <c r="R191" s="76"/>
      <c r="S191" s="76"/>
      <c r="T191" s="62" t="s">
        <v>105</v>
      </c>
      <c r="U191" s="62">
        <v>20000403</v>
      </c>
      <c r="V191" s="62" t="s">
        <v>106</v>
      </c>
      <c r="W191" s="62"/>
      <c r="X191" s="62"/>
      <c r="Y191" s="62"/>
      <c r="Z191" s="62"/>
      <c r="AA191" s="62"/>
      <c r="AB191" s="62"/>
      <c r="AC191" s="62"/>
      <c r="AE191" s="62"/>
      <c r="AF191" s="62"/>
      <c r="AG191" s="62"/>
      <c r="AK191" s="62"/>
      <c r="AL191" s="62"/>
    </row>
    <row r="192" spans="1:38" s="61" customFormat="1" ht="18" customHeight="1" x14ac:dyDescent="0.15">
      <c r="A192" s="62">
        <v>13013201</v>
      </c>
      <c r="B192" s="62" t="s">
        <v>111</v>
      </c>
      <c r="C192" s="62" t="s">
        <v>102</v>
      </c>
      <c r="D192" s="62" t="str">
        <f t="shared" si="16"/>
        <v>130132</v>
      </c>
      <c r="E192" s="62" t="str">
        <f t="shared" si="17"/>
        <v>1</v>
      </c>
      <c r="F192" s="62">
        <v>1</v>
      </c>
      <c r="G192" s="62" t="s">
        <v>192</v>
      </c>
      <c r="H192" s="62" t="s">
        <v>40</v>
      </c>
      <c r="I192" s="62"/>
      <c r="J192" s="76">
        <v>0</v>
      </c>
      <c r="K192" s="76">
        <v>0</v>
      </c>
      <c r="L192" s="76"/>
      <c r="M192" s="76"/>
      <c r="N192" s="76">
        <v>3</v>
      </c>
      <c r="O192" s="76"/>
      <c r="P192" s="76"/>
      <c r="Q192" s="76"/>
      <c r="R192" s="76"/>
      <c r="S192" s="76"/>
      <c r="T192" s="62" t="s">
        <v>105</v>
      </c>
      <c r="U192" s="62">
        <v>20000403</v>
      </c>
      <c r="V192" s="62" t="s">
        <v>112</v>
      </c>
      <c r="W192" s="62"/>
      <c r="X192" s="62"/>
      <c r="Y192" s="62"/>
      <c r="Z192" s="62"/>
      <c r="AA192" s="62"/>
      <c r="AB192" s="62"/>
      <c r="AC192" s="62"/>
      <c r="AE192" s="62"/>
      <c r="AF192" s="62"/>
      <c r="AG192" s="62"/>
      <c r="AK192" s="62"/>
      <c r="AL192" s="62"/>
    </row>
    <row r="193" spans="1:38" s="61" customFormat="1" ht="18" customHeight="1" x14ac:dyDescent="0.15">
      <c r="A193" s="62">
        <v>13014001</v>
      </c>
      <c r="B193" s="62" t="s">
        <v>113</v>
      </c>
      <c r="C193" s="77" t="s">
        <v>122</v>
      </c>
      <c r="D193" s="62" t="str">
        <f t="shared" si="16"/>
        <v>130140</v>
      </c>
      <c r="E193" s="62" t="str">
        <f t="shared" si="17"/>
        <v>1</v>
      </c>
      <c r="F193" s="62">
        <v>1</v>
      </c>
      <c r="G193" s="62" t="s">
        <v>192</v>
      </c>
      <c r="H193" s="62" t="s">
        <v>40</v>
      </c>
      <c r="I193" s="62" t="s">
        <v>103</v>
      </c>
      <c r="J193" s="76">
        <v>20000</v>
      </c>
      <c r="K193" s="76">
        <v>220</v>
      </c>
      <c r="L193" s="76">
        <f>0.6*K193</f>
        <v>132</v>
      </c>
      <c r="M193" s="76">
        <v>240</v>
      </c>
      <c r="N193" s="76">
        <v>2</v>
      </c>
      <c r="O193" s="76"/>
      <c r="P193" s="76"/>
      <c r="Q193" s="76"/>
      <c r="R193" s="76"/>
      <c r="S193" s="76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E193" s="62"/>
      <c r="AF193" s="62"/>
      <c r="AG193" s="62"/>
      <c r="AK193" s="62"/>
      <c r="AL193" s="62"/>
    </row>
    <row r="194" spans="1:38" s="61" customFormat="1" ht="18" customHeight="1" x14ac:dyDescent="0.15">
      <c r="A194" s="62">
        <v>13014101</v>
      </c>
      <c r="B194" s="62" t="s">
        <v>114</v>
      </c>
      <c r="C194" s="77" t="s">
        <v>122</v>
      </c>
      <c r="D194" s="62" t="str">
        <f t="shared" si="16"/>
        <v>130141</v>
      </c>
      <c r="E194" s="62" t="str">
        <f t="shared" si="17"/>
        <v>1</v>
      </c>
      <c r="F194" s="62">
        <v>1</v>
      </c>
      <c r="G194" s="62" t="s">
        <v>192</v>
      </c>
      <c r="H194" s="62" t="s">
        <v>40</v>
      </c>
      <c r="I194" s="62"/>
      <c r="J194" s="76">
        <v>0</v>
      </c>
      <c r="K194" s="76">
        <v>0</v>
      </c>
      <c r="L194" s="76"/>
      <c r="M194" s="76"/>
      <c r="N194" s="76">
        <v>2</v>
      </c>
      <c r="O194" s="76"/>
      <c r="P194" s="76"/>
      <c r="Q194" s="76"/>
      <c r="R194" s="76"/>
      <c r="S194" s="76"/>
      <c r="T194" s="62" t="s">
        <v>105</v>
      </c>
      <c r="U194" s="62">
        <v>20000404</v>
      </c>
      <c r="V194" s="62" t="s">
        <v>106</v>
      </c>
      <c r="W194" s="62"/>
      <c r="X194" s="62"/>
      <c r="Y194" s="62"/>
      <c r="Z194" s="62"/>
      <c r="AA194" s="62"/>
      <c r="AB194" s="62"/>
      <c r="AC194" s="62"/>
      <c r="AE194" s="62"/>
      <c r="AF194" s="62"/>
      <c r="AG194" s="62"/>
      <c r="AK194" s="62"/>
      <c r="AL194" s="62"/>
    </row>
    <row r="195" spans="1:38" s="61" customFormat="1" ht="18" customHeight="1" x14ac:dyDescent="0.15">
      <c r="A195" s="62">
        <v>13014201</v>
      </c>
      <c r="B195" s="62" t="s">
        <v>115</v>
      </c>
      <c r="C195" s="77" t="s">
        <v>122</v>
      </c>
      <c r="D195" s="62" t="str">
        <f t="shared" si="16"/>
        <v>130142</v>
      </c>
      <c r="E195" s="62" t="str">
        <f t="shared" si="17"/>
        <v>1</v>
      </c>
      <c r="F195" s="62">
        <v>1</v>
      </c>
      <c r="G195" s="62" t="s">
        <v>192</v>
      </c>
      <c r="H195" s="62" t="s">
        <v>40</v>
      </c>
      <c r="I195" s="62"/>
      <c r="J195" s="76">
        <v>0</v>
      </c>
      <c r="K195" s="76">
        <v>0</v>
      </c>
      <c r="L195" s="76"/>
      <c r="M195" s="76"/>
      <c r="N195" s="76">
        <v>2</v>
      </c>
      <c r="O195" s="76"/>
      <c r="P195" s="76"/>
      <c r="Q195" s="76"/>
      <c r="R195" s="76"/>
      <c r="S195" s="76"/>
      <c r="T195" s="62" t="s">
        <v>105</v>
      </c>
      <c r="U195" s="62">
        <v>20000404</v>
      </c>
      <c r="V195" s="62" t="s">
        <v>112</v>
      </c>
      <c r="W195" s="62"/>
      <c r="X195" s="62"/>
      <c r="Y195" s="62"/>
      <c r="Z195" s="62"/>
      <c r="AA195" s="62"/>
      <c r="AB195" s="62"/>
      <c r="AC195" s="62"/>
      <c r="AE195" s="62"/>
      <c r="AF195" s="62"/>
      <c r="AG195" s="62"/>
      <c r="AK195" s="62"/>
      <c r="AL195" s="62"/>
    </row>
    <row r="196" spans="1:38" s="61" customFormat="1" ht="18" customHeight="1" x14ac:dyDescent="0.15">
      <c r="A196" s="62">
        <v>13015001</v>
      </c>
      <c r="B196" s="62" t="s">
        <v>118</v>
      </c>
      <c r="C196" s="77" t="s">
        <v>122</v>
      </c>
      <c r="D196" s="62" t="str">
        <f t="shared" si="16"/>
        <v>130150</v>
      </c>
      <c r="E196" s="62" t="str">
        <f t="shared" si="17"/>
        <v>1</v>
      </c>
      <c r="F196" s="62">
        <v>1</v>
      </c>
      <c r="G196" s="62" t="s">
        <v>192</v>
      </c>
      <c r="H196" s="62" t="s">
        <v>40</v>
      </c>
      <c r="I196" s="62" t="s">
        <v>103</v>
      </c>
      <c r="J196" s="76">
        <v>28000</v>
      </c>
      <c r="K196" s="76">
        <v>350</v>
      </c>
      <c r="L196" s="76">
        <v>210</v>
      </c>
      <c r="M196" s="76">
        <v>480</v>
      </c>
      <c r="N196" s="76">
        <v>2</v>
      </c>
      <c r="O196" s="76"/>
      <c r="P196" s="76"/>
      <c r="Q196" s="76"/>
      <c r="R196" s="76"/>
      <c r="S196" s="76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E196" s="62"/>
      <c r="AF196" s="62"/>
      <c r="AG196" s="62"/>
      <c r="AK196" s="62"/>
      <c r="AL196" s="62"/>
    </row>
    <row r="197" spans="1:38" s="61" customFormat="1" ht="18" customHeight="1" x14ac:dyDescent="0.15">
      <c r="A197" s="62">
        <v>13015101</v>
      </c>
      <c r="B197" s="62" t="s">
        <v>120</v>
      </c>
      <c r="C197" s="62" t="s">
        <v>122</v>
      </c>
      <c r="D197" s="62" t="str">
        <f t="shared" si="16"/>
        <v>130151</v>
      </c>
      <c r="E197" s="62" t="str">
        <f t="shared" si="17"/>
        <v>1</v>
      </c>
      <c r="F197" s="62">
        <v>1</v>
      </c>
      <c r="G197" s="62" t="s">
        <v>192</v>
      </c>
      <c r="H197" s="62" t="s">
        <v>40</v>
      </c>
      <c r="I197" s="62"/>
      <c r="J197" s="76">
        <v>0</v>
      </c>
      <c r="K197" s="76">
        <v>0</v>
      </c>
      <c r="L197" s="76"/>
      <c r="M197" s="76"/>
      <c r="N197" s="76">
        <v>2</v>
      </c>
      <c r="O197" s="76"/>
      <c r="P197" s="76"/>
      <c r="Q197" s="76"/>
      <c r="R197" s="76"/>
      <c r="S197" s="76"/>
      <c r="T197" s="62" t="s">
        <v>105</v>
      </c>
      <c r="U197" s="62">
        <v>20000405</v>
      </c>
      <c r="V197" s="62" t="s">
        <v>106</v>
      </c>
      <c r="W197" s="62"/>
      <c r="X197" s="62"/>
      <c r="Y197" s="62"/>
      <c r="Z197" s="62"/>
      <c r="AA197" s="62"/>
      <c r="AB197" s="62"/>
      <c r="AC197" s="62"/>
      <c r="AE197" s="62"/>
      <c r="AF197" s="62"/>
      <c r="AG197" s="62"/>
      <c r="AK197" s="62"/>
      <c r="AL197" s="62"/>
    </row>
    <row r="198" spans="1:38" s="61" customFormat="1" ht="18" customHeight="1" x14ac:dyDescent="0.15">
      <c r="A198" s="62">
        <v>13015201</v>
      </c>
      <c r="B198" s="62" t="s">
        <v>161</v>
      </c>
      <c r="C198" s="62" t="s">
        <v>122</v>
      </c>
      <c r="D198" s="62" t="str">
        <f t="shared" si="16"/>
        <v>130152</v>
      </c>
      <c r="E198" s="62" t="str">
        <f t="shared" si="17"/>
        <v>1</v>
      </c>
      <c r="F198" s="62">
        <v>1</v>
      </c>
      <c r="G198" s="62" t="s">
        <v>192</v>
      </c>
      <c r="H198" s="62" t="s">
        <v>40</v>
      </c>
      <c r="I198" s="62"/>
      <c r="J198" s="76">
        <v>0</v>
      </c>
      <c r="K198" s="76">
        <v>0</v>
      </c>
      <c r="L198" s="76"/>
      <c r="M198" s="76"/>
      <c r="N198" s="76">
        <v>2</v>
      </c>
      <c r="O198" s="76"/>
      <c r="P198" s="76"/>
      <c r="Q198" s="76"/>
      <c r="R198" s="76"/>
      <c r="S198" s="76"/>
      <c r="T198" s="62" t="s">
        <v>105</v>
      </c>
      <c r="U198" s="62">
        <v>20000405</v>
      </c>
      <c r="V198" s="62" t="s">
        <v>112</v>
      </c>
      <c r="W198" s="62"/>
      <c r="X198" s="62"/>
      <c r="Y198" s="62"/>
      <c r="Z198" s="62"/>
      <c r="AA198" s="62"/>
      <c r="AB198" s="62"/>
      <c r="AC198" s="62"/>
      <c r="AE198" s="62"/>
      <c r="AF198" s="62"/>
      <c r="AG198" s="62"/>
      <c r="AK198" s="62"/>
      <c r="AL198" s="62"/>
    </row>
    <row r="199" spans="1:38" s="61" customFormat="1" ht="18" customHeight="1" x14ac:dyDescent="0.15">
      <c r="A199" s="62">
        <v>13015301</v>
      </c>
      <c r="B199" s="62" t="s">
        <v>162</v>
      </c>
      <c r="C199" s="62" t="s">
        <v>122</v>
      </c>
      <c r="D199" s="62" t="str">
        <f t="shared" si="16"/>
        <v>130153</v>
      </c>
      <c r="E199" s="62" t="str">
        <f t="shared" si="17"/>
        <v>1</v>
      </c>
      <c r="F199" s="62">
        <v>1</v>
      </c>
      <c r="G199" s="62" t="s">
        <v>192</v>
      </c>
      <c r="H199" s="62" t="s">
        <v>40</v>
      </c>
      <c r="I199" s="62"/>
      <c r="J199" s="76">
        <v>0</v>
      </c>
      <c r="K199" s="76">
        <v>0</v>
      </c>
      <c r="L199" s="76"/>
      <c r="M199" s="76"/>
      <c r="N199" s="76">
        <v>3</v>
      </c>
      <c r="O199" s="76"/>
      <c r="P199" s="76"/>
      <c r="Q199" s="76"/>
      <c r="R199" s="76"/>
      <c r="S199" s="76"/>
      <c r="T199" s="62" t="s">
        <v>105</v>
      </c>
      <c r="U199" s="62">
        <v>20000405</v>
      </c>
      <c r="V199" s="62" t="s">
        <v>117</v>
      </c>
      <c r="W199" s="62"/>
      <c r="X199" s="62"/>
      <c r="Y199" s="62"/>
      <c r="Z199" s="62"/>
      <c r="AA199" s="62"/>
      <c r="AB199" s="62"/>
      <c r="AC199" s="62"/>
      <c r="AE199" s="62"/>
      <c r="AF199" s="62"/>
      <c r="AG199" s="62"/>
      <c r="AK199" s="62"/>
      <c r="AL199" s="62"/>
    </row>
    <row r="200" spans="1:38" s="61" customFormat="1" ht="18" customHeight="1" x14ac:dyDescent="0.15">
      <c r="A200" s="62">
        <v>13016001</v>
      </c>
      <c r="B200" s="62" t="s">
        <v>121</v>
      </c>
      <c r="C200" s="77" t="s">
        <v>127</v>
      </c>
      <c r="D200" s="62" t="str">
        <f t="shared" si="16"/>
        <v>130160</v>
      </c>
      <c r="E200" s="62" t="str">
        <f t="shared" si="17"/>
        <v>1</v>
      </c>
      <c r="F200" s="62">
        <v>1</v>
      </c>
      <c r="G200" s="62" t="s">
        <v>192</v>
      </c>
      <c r="H200" s="62" t="s">
        <v>40</v>
      </c>
      <c r="I200" s="62" t="s">
        <v>103</v>
      </c>
      <c r="J200" s="76">
        <v>24000</v>
      </c>
      <c r="K200" s="76">
        <v>220</v>
      </c>
      <c r="L200" s="76">
        <f>0.6*K200</f>
        <v>132</v>
      </c>
      <c r="M200" s="76">
        <v>360</v>
      </c>
      <c r="N200" s="76">
        <v>2</v>
      </c>
      <c r="O200" s="76"/>
      <c r="P200" s="76"/>
      <c r="Q200" s="76"/>
      <c r="R200" s="76"/>
      <c r="S200" s="76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E200" s="62"/>
      <c r="AF200" s="62"/>
      <c r="AG200" s="62"/>
      <c r="AK200" s="62"/>
      <c r="AL200" s="62"/>
    </row>
    <row r="201" spans="1:38" s="61" customFormat="1" ht="18" customHeight="1" x14ac:dyDescent="0.15">
      <c r="A201" s="62">
        <v>13016101</v>
      </c>
      <c r="B201" s="62" t="s">
        <v>123</v>
      </c>
      <c r="C201" s="62" t="s">
        <v>127</v>
      </c>
      <c r="D201" s="62" t="str">
        <f t="shared" si="16"/>
        <v>130161</v>
      </c>
      <c r="E201" s="62" t="str">
        <f t="shared" si="17"/>
        <v>1</v>
      </c>
      <c r="F201" s="62">
        <v>1</v>
      </c>
      <c r="G201" s="62" t="s">
        <v>192</v>
      </c>
      <c r="H201" s="62" t="s">
        <v>40</v>
      </c>
      <c r="I201" s="62"/>
      <c r="J201" s="76">
        <v>0</v>
      </c>
      <c r="K201" s="76">
        <v>0</v>
      </c>
      <c r="L201" s="76"/>
      <c r="M201" s="76"/>
      <c r="N201" s="76">
        <v>2</v>
      </c>
      <c r="O201" s="76"/>
      <c r="P201" s="76"/>
      <c r="Q201" s="76"/>
      <c r="R201" s="76"/>
      <c r="S201" s="76"/>
      <c r="T201" s="62" t="s">
        <v>105</v>
      </c>
      <c r="U201" s="62">
        <v>20000406</v>
      </c>
      <c r="V201" s="62" t="s">
        <v>106</v>
      </c>
      <c r="W201" s="62"/>
      <c r="X201" s="62"/>
      <c r="Y201" s="62"/>
      <c r="Z201" s="62"/>
      <c r="AA201" s="62"/>
      <c r="AB201" s="62"/>
      <c r="AC201" s="62"/>
      <c r="AE201" s="62"/>
      <c r="AF201" s="62"/>
      <c r="AG201" s="62"/>
      <c r="AK201" s="62"/>
      <c r="AL201" s="62"/>
    </row>
    <row r="202" spans="1:38" s="61" customFormat="1" ht="18" customHeight="1" x14ac:dyDescent="0.15">
      <c r="A202" s="62">
        <v>13017001</v>
      </c>
      <c r="B202" s="62" t="s">
        <v>126</v>
      </c>
      <c r="C202" s="77" t="s">
        <v>102</v>
      </c>
      <c r="D202" s="62" t="str">
        <f t="shared" si="16"/>
        <v>130170</v>
      </c>
      <c r="E202" s="62" t="str">
        <f t="shared" si="17"/>
        <v>1</v>
      </c>
      <c r="F202" s="62">
        <v>1</v>
      </c>
      <c r="G202" s="62" t="s">
        <v>192</v>
      </c>
      <c r="H202" s="62" t="s">
        <v>40</v>
      </c>
      <c r="I202" s="62" t="s">
        <v>103</v>
      </c>
      <c r="J202" s="76">
        <v>24000</v>
      </c>
      <c r="K202" s="76">
        <v>280</v>
      </c>
      <c r="L202" s="76">
        <f>0.6*K202</f>
        <v>168</v>
      </c>
      <c r="M202" s="76">
        <v>400</v>
      </c>
      <c r="N202" s="76">
        <v>2</v>
      </c>
      <c r="O202" s="76"/>
      <c r="P202" s="76"/>
      <c r="Q202" s="76"/>
      <c r="R202" s="76"/>
      <c r="S202" s="76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E202" s="62"/>
      <c r="AF202" s="62"/>
      <c r="AG202" s="62"/>
      <c r="AK202" s="62"/>
      <c r="AL202" s="62"/>
    </row>
    <row r="203" spans="1:38" s="61" customFormat="1" ht="18" customHeight="1" x14ac:dyDescent="0.15">
      <c r="A203" s="62">
        <v>13017101</v>
      </c>
      <c r="B203" s="62" t="s">
        <v>128</v>
      </c>
      <c r="C203" s="77" t="s">
        <v>102</v>
      </c>
      <c r="D203" s="62" t="str">
        <f t="shared" si="16"/>
        <v>130171</v>
      </c>
      <c r="E203" s="62" t="str">
        <f t="shared" si="17"/>
        <v>1</v>
      </c>
      <c r="F203" s="62">
        <v>1</v>
      </c>
      <c r="G203" s="62" t="s">
        <v>192</v>
      </c>
      <c r="H203" s="62" t="s">
        <v>40</v>
      </c>
      <c r="I203" s="62"/>
      <c r="J203" s="76">
        <v>0</v>
      </c>
      <c r="K203" s="76">
        <v>0</v>
      </c>
      <c r="L203" s="76"/>
      <c r="M203" s="76"/>
      <c r="N203" s="76">
        <v>2</v>
      </c>
      <c r="O203" s="76"/>
      <c r="P203" s="76"/>
      <c r="Q203" s="76"/>
      <c r="R203" s="76"/>
      <c r="S203" s="76"/>
      <c r="T203" s="62" t="s">
        <v>105</v>
      </c>
      <c r="U203" s="62">
        <v>20000407</v>
      </c>
      <c r="V203" s="62" t="s">
        <v>106</v>
      </c>
      <c r="W203" s="62"/>
      <c r="X203" s="62"/>
      <c r="Y203" s="62"/>
      <c r="Z203" s="62"/>
      <c r="AA203" s="62"/>
      <c r="AB203" s="62"/>
      <c r="AC203" s="62"/>
      <c r="AE203" s="62"/>
      <c r="AF203" s="62"/>
      <c r="AG203" s="62"/>
      <c r="AK203" s="62"/>
      <c r="AL203" s="62"/>
    </row>
    <row r="204" spans="1:38" s="61" customFormat="1" ht="18" customHeight="1" x14ac:dyDescent="0.15">
      <c r="A204" s="62">
        <v>13017201</v>
      </c>
      <c r="B204" s="62" t="s">
        <v>183</v>
      </c>
      <c r="C204" s="77" t="s">
        <v>102</v>
      </c>
      <c r="D204" s="62" t="str">
        <f t="shared" si="16"/>
        <v>130172</v>
      </c>
      <c r="E204" s="62" t="str">
        <f t="shared" si="17"/>
        <v>1</v>
      </c>
      <c r="F204" s="62">
        <v>1</v>
      </c>
      <c r="G204" s="62" t="s">
        <v>192</v>
      </c>
      <c r="H204" s="62" t="s">
        <v>40</v>
      </c>
      <c r="I204" s="62"/>
      <c r="J204" s="76">
        <v>0</v>
      </c>
      <c r="K204" s="76">
        <v>0</v>
      </c>
      <c r="L204" s="76"/>
      <c r="M204" s="76"/>
      <c r="N204" s="76">
        <v>2</v>
      </c>
      <c r="O204" s="76"/>
      <c r="P204" s="76"/>
      <c r="Q204" s="76"/>
      <c r="R204" s="76"/>
      <c r="S204" s="76"/>
      <c r="T204" s="62" t="s">
        <v>105</v>
      </c>
      <c r="U204" s="62">
        <v>20000407</v>
      </c>
      <c r="V204" s="62" t="s">
        <v>112</v>
      </c>
      <c r="W204" s="62"/>
      <c r="X204" s="62"/>
      <c r="Y204" s="62"/>
      <c r="Z204" s="62"/>
      <c r="AA204" s="62"/>
      <c r="AB204" s="62"/>
      <c r="AC204" s="62"/>
      <c r="AE204" s="62"/>
      <c r="AF204" s="62"/>
      <c r="AG204" s="62"/>
      <c r="AK204" s="62"/>
      <c r="AL204" s="62"/>
    </row>
    <row r="205" spans="1:38" s="61" customFormat="1" ht="18" customHeight="1" x14ac:dyDescent="0.15">
      <c r="A205" s="62">
        <v>13017301</v>
      </c>
      <c r="B205" s="62" t="s">
        <v>205</v>
      </c>
      <c r="C205" s="77" t="s">
        <v>102</v>
      </c>
      <c r="D205" s="62" t="str">
        <f t="shared" si="16"/>
        <v>130173</v>
      </c>
      <c r="E205" s="62" t="str">
        <f t="shared" si="17"/>
        <v>1</v>
      </c>
      <c r="F205" s="62">
        <v>1</v>
      </c>
      <c r="G205" s="62" t="s">
        <v>192</v>
      </c>
      <c r="H205" s="62" t="s">
        <v>40</v>
      </c>
      <c r="I205" s="62"/>
      <c r="J205" s="76">
        <v>0</v>
      </c>
      <c r="K205" s="76">
        <v>0</v>
      </c>
      <c r="L205" s="76"/>
      <c r="M205" s="76"/>
      <c r="N205" s="76">
        <v>2</v>
      </c>
      <c r="O205" s="76"/>
      <c r="P205" s="76"/>
      <c r="Q205" s="76"/>
      <c r="R205" s="76"/>
      <c r="S205" s="76"/>
      <c r="T205" s="62" t="s">
        <v>105</v>
      </c>
      <c r="U205" s="62">
        <v>20000407</v>
      </c>
      <c r="V205" s="62" t="s">
        <v>117</v>
      </c>
      <c r="W205" s="62"/>
      <c r="X205" s="62"/>
      <c r="Y205" s="62"/>
      <c r="Z205" s="62"/>
      <c r="AA205" s="62"/>
      <c r="AB205" s="62"/>
      <c r="AC205" s="62"/>
      <c r="AE205" s="62"/>
      <c r="AF205" s="62"/>
      <c r="AG205" s="62"/>
      <c r="AK205" s="62"/>
      <c r="AL205" s="62"/>
    </row>
    <row r="206" spans="1:38" s="61" customFormat="1" ht="18" customHeight="1" x14ac:dyDescent="0.15">
      <c r="A206" s="62">
        <v>13018001</v>
      </c>
      <c r="B206" s="62" t="s">
        <v>129</v>
      </c>
      <c r="C206" s="62" t="s">
        <v>119</v>
      </c>
      <c r="D206" s="62" t="str">
        <f t="shared" si="16"/>
        <v>130180</v>
      </c>
      <c r="E206" s="62" t="str">
        <f t="shared" si="17"/>
        <v>1</v>
      </c>
      <c r="F206" s="62">
        <v>1</v>
      </c>
      <c r="G206" s="62" t="s">
        <v>192</v>
      </c>
      <c r="H206" s="62" t="s">
        <v>40</v>
      </c>
      <c r="I206" s="62" t="s">
        <v>103</v>
      </c>
      <c r="J206" s="76">
        <v>38000</v>
      </c>
      <c r="K206" s="76">
        <v>320</v>
      </c>
      <c r="L206" s="76">
        <f>0.6*K206</f>
        <v>192</v>
      </c>
      <c r="M206" s="76">
        <v>420</v>
      </c>
      <c r="N206" s="76">
        <v>2</v>
      </c>
      <c r="O206" s="76"/>
      <c r="P206" s="76"/>
      <c r="Q206" s="76"/>
      <c r="R206" s="76"/>
      <c r="S206" s="76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E206" s="62"/>
      <c r="AF206" s="62"/>
      <c r="AG206" s="62"/>
      <c r="AK206" s="62"/>
      <c r="AL206" s="62"/>
    </row>
    <row r="207" spans="1:38" s="61" customFormat="1" ht="18" customHeight="1" x14ac:dyDescent="0.15">
      <c r="A207" s="62">
        <v>13018101</v>
      </c>
      <c r="B207" s="62" t="s">
        <v>130</v>
      </c>
      <c r="C207" s="62" t="s">
        <v>119</v>
      </c>
      <c r="D207" s="62" t="str">
        <f t="shared" si="16"/>
        <v>130181</v>
      </c>
      <c r="E207" s="62" t="str">
        <f t="shared" si="17"/>
        <v>1</v>
      </c>
      <c r="F207" s="62">
        <v>1</v>
      </c>
      <c r="G207" s="62" t="s">
        <v>192</v>
      </c>
      <c r="H207" s="62" t="s">
        <v>40</v>
      </c>
      <c r="I207" s="62"/>
      <c r="J207" s="76">
        <v>0</v>
      </c>
      <c r="K207" s="76">
        <v>0</v>
      </c>
      <c r="L207" s="76"/>
      <c r="M207" s="76"/>
      <c r="N207" s="76">
        <v>2</v>
      </c>
      <c r="O207" s="76"/>
      <c r="P207" s="76"/>
      <c r="Q207" s="76"/>
      <c r="R207" s="76"/>
      <c r="S207" s="76"/>
      <c r="T207" s="62" t="s">
        <v>105</v>
      </c>
      <c r="U207" s="62">
        <v>20000408</v>
      </c>
      <c r="V207" s="62" t="s">
        <v>106</v>
      </c>
      <c r="W207" s="62"/>
      <c r="X207" s="62"/>
      <c r="Y207" s="62"/>
      <c r="Z207" s="62"/>
      <c r="AA207" s="62"/>
      <c r="AB207" s="62"/>
      <c r="AC207" s="62"/>
      <c r="AE207" s="62"/>
      <c r="AF207" s="62"/>
      <c r="AG207" s="62"/>
      <c r="AK207" s="62"/>
      <c r="AL207" s="62"/>
    </row>
    <row r="208" spans="1:38" s="61" customFormat="1" ht="18" customHeight="1" x14ac:dyDescent="0.15">
      <c r="A208" s="62">
        <v>13019001</v>
      </c>
      <c r="B208" s="62" t="s">
        <v>131</v>
      </c>
      <c r="C208" s="62" t="s">
        <v>119</v>
      </c>
      <c r="D208" s="62" t="str">
        <f t="shared" si="16"/>
        <v>130190</v>
      </c>
      <c r="E208" s="62" t="str">
        <f t="shared" si="17"/>
        <v>1</v>
      </c>
      <c r="F208" s="62">
        <v>1</v>
      </c>
      <c r="G208" s="62" t="s">
        <v>192</v>
      </c>
      <c r="H208" s="62" t="s">
        <v>40</v>
      </c>
      <c r="I208" s="62" t="s">
        <v>103</v>
      </c>
      <c r="J208" s="76">
        <v>40000</v>
      </c>
      <c r="K208" s="76">
        <v>640</v>
      </c>
      <c r="L208" s="76">
        <f>0.6*K208</f>
        <v>384</v>
      </c>
      <c r="M208" s="76">
        <v>700</v>
      </c>
      <c r="N208" s="76">
        <v>3</v>
      </c>
      <c r="O208" s="76"/>
      <c r="P208" s="76"/>
      <c r="Q208" s="76"/>
      <c r="R208" s="76"/>
      <c r="S208" s="76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E208" s="62"/>
      <c r="AF208" s="62"/>
      <c r="AG208" s="62"/>
      <c r="AK208" s="62"/>
      <c r="AL208" s="62"/>
    </row>
    <row r="209" spans="1:38" s="61" customFormat="1" ht="18" customHeight="1" x14ac:dyDescent="0.15">
      <c r="A209" s="62">
        <v>13019101</v>
      </c>
      <c r="B209" s="62" t="s">
        <v>132</v>
      </c>
      <c r="C209" s="62" t="s">
        <v>119</v>
      </c>
      <c r="D209" s="62" t="str">
        <f t="shared" si="16"/>
        <v>130191</v>
      </c>
      <c r="E209" s="62" t="str">
        <f t="shared" si="17"/>
        <v>1</v>
      </c>
      <c r="F209" s="62">
        <v>1</v>
      </c>
      <c r="G209" s="62" t="s">
        <v>192</v>
      </c>
      <c r="H209" s="62" t="s">
        <v>40</v>
      </c>
      <c r="I209" s="62"/>
      <c r="J209" s="76">
        <v>0</v>
      </c>
      <c r="K209" s="76">
        <v>0</v>
      </c>
      <c r="L209" s="76"/>
      <c r="M209" s="76"/>
      <c r="N209" s="76">
        <v>3</v>
      </c>
      <c r="O209" s="76"/>
      <c r="P209" s="76"/>
      <c r="Q209" s="76"/>
      <c r="R209" s="76"/>
      <c r="S209" s="76"/>
      <c r="T209" s="62" t="s">
        <v>105</v>
      </c>
      <c r="U209" s="62">
        <v>20000409</v>
      </c>
      <c r="V209" s="62" t="s">
        <v>106</v>
      </c>
      <c r="W209" s="62"/>
      <c r="X209" s="62"/>
      <c r="Y209" s="62"/>
      <c r="Z209" s="62"/>
      <c r="AA209" s="62"/>
      <c r="AB209" s="62"/>
      <c r="AC209" s="62"/>
      <c r="AE209" s="62"/>
      <c r="AF209" s="62"/>
      <c r="AG209" s="62"/>
      <c r="AK209" s="62"/>
      <c r="AL209" s="62"/>
    </row>
    <row r="210" spans="1:38" s="61" customFormat="1" ht="18" customHeight="1" x14ac:dyDescent="0.15">
      <c r="A210" s="62">
        <v>13019201</v>
      </c>
      <c r="B210" s="62" t="s">
        <v>206</v>
      </c>
      <c r="C210" s="62" t="s">
        <v>119</v>
      </c>
      <c r="D210" s="62" t="str">
        <f t="shared" si="16"/>
        <v>130192</v>
      </c>
      <c r="E210" s="62" t="str">
        <f t="shared" si="17"/>
        <v>1</v>
      </c>
      <c r="F210" s="62">
        <v>1</v>
      </c>
      <c r="G210" s="62" t="s">
        <v>192</v>
      </c>
      <c r="H210" s="62" t="s">
        <v>40</v>
      </c>
      <c r="I210" s="62"/>
      <c r="J210" s="76">
        <v>0</v>
      </c>
      <c r="K210" s="76">
        <v>0</v>
      </c>
      <c r="L210" s="76"/>
      <c r="M210" s="76"/>
      <c r="N210" s="76">
        <v>3</v>
      </c>
      <c r="O210" s="76"/>
      <c r="P210" s="76"/>
      <c r="Q210" s="76"/>
      <c r="R210" s="76"/>
      <c r="S210" s="76"/>
      <c r="T210" s="62" t="s">
        <v>105</v>
      </c>
      <c r="U210" s="62">
        <v>20000409</v>
      </c>
      <c r="V210" s="62" t="s">
        <v>112</v>
      </c>
      <c r="W210" s="62"/>
      <c r="X210" s="62"/>
      <c r="Y210" s="62"/>
      <c r="Z210" s="62"/>
      <c r="AA210" s="62"/>
      <c r="AB210" s="62"/>
      <c r="AC210" s="62"/>
      <c r="AE210" s="62"/>
      <c r="AF210" s="62"/>
      <c r="AG210" s="62"/>
      <c r="AK210" s="62"/>
      <c r="AL210" s="62"/>
    </row>
    <row r="211" spans="1:38" s="61" customFormat="1" ht="18" customHeight="1" x14ac:dyDescent="0.15">
      <c r="A211" s="62">
        <v>13020001</v>
      </c>
      <c r="B211" s="62" t="s">
        <v>133</v>
      </c>
      <c r="C211" s="62" t="s">
        <v>127</v>
      </c>
      <c r="D211" s="62" t="str">
        <f t="shared" si="16"/>
        <v>130200</v>
      </c>
      <c r="E211" s="62" t="str">
        <f t="shared" si="17"/>
        <v>1</v>
      </c>
      <c r="F211" s="62">
        <v>1</v>
      </c>
      <c r="G211" s="62" t="s">
        <v>192</v>
      </c>
      <c r="H211" s="62" t="s">
        <v>40</v>
      </c>
      <c r="I211" s="62" t="s">
        <v>103</v>
      </c>
      <c r="J211" s="76">
        <v>48000</v>
      </c>
      <c r="K211" s="76">
        <v>460</v>
      </c>
      <c r="L211" s="76">
        <f>0.6*K211</f>
        <v>276</v>
      </c>
      <c r="M211" s="76">
        <v>820</v>
      </c>
      <c r="N211" s="76">
        <v>3</v>
      </c>
      <c r="O211" s="76"/>
      <c r="P211" s="76"/>
      <c r="Q211" s="76"/>
      <c r="R211" s="76"/>
      <c r="S211" s="76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E211" s="62"/>
      <c r="AF211" s="62"/>
      <c r="AG211" s="62"/>
      <c r="AK211" s="62"/>
      <c r="AL211" s="62"/>
    </row>
    <row r="212" spans="1:38" s="61" customFormat="1" ht="18" customHeight="1" x14ac:dyDescent="0.15">
      <c r="A212" s="62">
        <v>13020101</v>
      </c>
      <c r="B212" s="62" t="s">
        <v>134</v>
      </c>
      <c r="C212" s="62" t="s">
        <v>127</v>
      </c>
      <c r="D212" s="62" t="str">
        <f t="shared" si="16"/>
        <v>130201</v>
      </c>
      <c r="E212" s="62" t="str">
        <f t="shared" si="17"/>
        <v>1</v>
      </c>
      <c r="F212" s="62">
        <v>1</v>
      </c>
      <c r="G212" s="62" t="s">
        <v>192</v>
      </c>
      <c r="H212" s="62" t="s">
        <v>40</v>
      </c>
      <c r="I212" s="62"/>
      <c r="J212" s="76">
        <v>0</v>
      </c>
      <c r="K212" s="76">
        <v>0</v>
      </c>
      <c r="L212" s="76"/>
      <c r="M212" s="76"/>
      <c r="N212" s="76">
        <v>3</v>
      </c>
      <c r="O212" s="76"/>
      <c r="P212" s="76"/>
      <c r="Q212" s="76"/>
      <c r="R212" s="76"/>
      <c r="S212" s="76"/>
      <c r="T212" s="62" t="s">
        <v>105</v>
      </c>
      <c r="U212" s="62">
        <v>20000410</v>
      </c>
      <c r="V212" s="62" t="s">
        <v>106</v>
      </c>
      <c r="W212" s="62"/>
      <c r="X212" s="62"/>
      <c r="Y212" s="62"/>
      <c r="Z212" s="62"/>
      <c r="AA212" s="62"/>
      <c r="AB212" s="62"/>
      <c r="AC212" s="62"/>
      <c r="AE212" s="62"/>
      <c r="AF212" s="62"/>
      <c r="AG212" s="62"/>
      <c r="AK212" s="62"/>
      <c r="AL212" s="62"/>
    </row>
    <row r="213" spans="1:38" s="61" customFormat="1" ht="18" customHeight="1" x14ac:dyDescent="0.15">
      <c r="A213" s="62">
        <v>13021001</v>
      </c>
      <c r="B213" s="62" t="s">
        <v>135</v>
      </c>
      <c r="C213" s="62"/>
      <c r="D213" s="62" t="str">
        <f t="shared" si="16"/>
        <v>130210</v>
      </c>
      <c r="E213" s="62" t="str">
        <f t="shared" si="17"/>
        <v>1</v>
      </c>
      <c r="F213" s="62">
        <v>1</v>
      </c>
      <c r="G213" s="62" t="s">
        <v>192</v>
      </c>
      <c r="H213" s="62" t="s">
        <v>40</v>
      </c>
      <c r="I213" s="62" t="s">
        <v>136</v>
      </c>
      <c r="J213" s="76">
        <v>35000</v>
      </c>
      <c r="K213" s="76">
        <v>250</v>
      </c>
      <c r="L213" s="76"/>
      <c r="M213" s="76"/>
      <c r="N213" s="62">
        <v>1</v>
      </c>
      <c r="O213" s="62"/>
      <c r="P213" s="62">
        <v>3</v>
      </c>
      <c r="Q213" s="62">
        <v>1000</v>
      </c>
      <c r="R213" s="62">
        <v>-10000</v>
      </c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1" t="s">
        <v>207</v>
      </c>
      <c r="AE213" s="62" t="s">
        <v>138</v>
      </c>
      <c r="AF213" s="62" t="s">
        <v>138</v>
      </c>
      <c r="AG213" s="62" t="s">
        <v>138</v>
      </c>
      <c r="AH213" s="61" t="s">
        <v>139</v>
      </c>
      <c r="AI213" s="61" t="s">
        <v>139</v>
      </c>
      <c r="AJ213" s="61" t="s">
        <v>139</v>
      </c>
      <c r="AK213" s="61" t="s">
        <v>208</v>
      </c>
      <c r="AL213" s="62" t="s">
        <v>209</v>
      </c>
    </row>
    <row r="214" spans="1:38" s="62" customFormat="1" ht="18" customHeight="1" x14ac:dyDescent="0.15">
      <c r="A214" s="62">
        <v>13021101</v>
      </c>
      <c r="B214" s="62" t="s">
        <v>142</v>
      </c>
      <c r="D214" s="62" t="str">
        <f t="shared" si="16"/>
        <v>130211</v>
      </c>
      <c r="E214" s="62" t="str">
        <f t="shared" si="17"/>
        <v>1</v>
      </c>
      <c r="F214" s="62">
        <v>1</v>
      </c>
      <c r="G214" s="62" t="s">
        <v>192</v>
      </c>
      <c r="H214" s="62" t="s">
        <v>40</v>
      </c>
      <c r="J214" s="62">
        <v>0</v>
      </c>
      <c r="K214" s="62">
        <v>0</v>
      </c>
      <c r="N214" s="62">
        <v>2</v>
      </c>
      <c r="T214" s="62" t="s">
        <v>105</v>
      </c>
      <c r="U214" s="62">
        <v>20000415</v>
      </c>
      <c r="V214" s="62" t="s">
        <v>106</v>
      </c>
    </row>
    <row r="215" spans="1:38" s="62" customFormat="1" ht="18" customHeight="1" x14ac:dyDescent="0.15">
      <c r="A215" s="62">
        <v>13021201</v>
      </c>
      <c r="B215" s="62" t="s">
        <v>143</v>
      </c>
      <c r="D215" s="62" t="str">
        <f t="shared" si="16"/>
        <v>130212</v>
      </c>
      <c r="E215" s="62" t="str">
        <f t="shared" si="17"/>
        <v>1</v>
      </c>
      <c r="F215" s="62">
        <v>1</v>
      </c>
      <c r="G215" s="62" t="s">
        <v>192</v>
      </c>
      <c r="H215" s="62" t="s">
        <v>40</v>
      </c>
      <c r="J215" s="62">
        <v>0</v>
      </c>
      <c r="K215" s="62">
        <v>0</v>
      </c>
      <c r="N215" s="62">
        <v>3</v>
      </c>
      <c r="T215" s="62" t="s">
        <v>105</v>
      </c>
      <c r="U215" s="62">
        <v>20000415</v>
      </c>
      <c r="V215" s="62" t="s">
        <v>112</v>
      </c>
    </row>
    <row r="216" spans="1:38" s="61" customFormat="1" ht="18" customHeight="1" x14ac:dyDescent="0.15">
      <c r="A216" s="62">
        <v>13022001</v>
      </c>
      <c r="B216" s="62" t="s">
        <v>144</v>
      </c>
      <c r="C216" s="62"/>
      <c r="D216" s="62" t="str">
        <f t="shared" si="16"/>
        <v>130220</v>
      </c>
      <c r="E216" s="62" t="str">
        <f t="shared" si="17"/>
        <v>1</v>
      </c>
      <c r="F216" s="62">
        <v>1</v>
      </c>
      <c r="G216" s="62" t="s">
        <v>192</v>
      </c>
      <c r="H216" s="62" t="s">
        <v>40</v>
      </c>
      <c r="I216" s="62" t="s">
        <v>145</v>
      </c>
      <c r="J216" s="76">
        <v>75000</v>
      </c>
      <c r="K216" s="76">
        <v>700</v>
      </c>
      <c r="L216" s="76"/>
      <c r="M216" s="76"/>
      <c r="N216" s="62">
        <v>1</v>
      </c>
      <c r="O216" s="62"/>
      <c r="P216" s="62"/>
      <c r="Q216" s="62">
        <v>1000</v>
      </c>
      <c r="R216" s="62">
        <v>-10000</v>
      </c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E216" s="62"/>
      <c r="AF216" s="62"/>
      <c r="AG216" s="62"/>
      <c r="AK216" s="62"/>
      <c r="AL216" s="62"/>
    </row>
    <row r="217" spans="1:38" s="62" customFormat="1" ht="18" customHeight="1" x14ac:dyDescent="0.15">
      <c r="A217" s="62">
        <v>13022101</v>
      </c>
      <c r="B217" s="62" t="s">
        <v>146</v>
      </c>
      <c r="D217" s="62" t="str">
        <f t="shared" si="16"/>
        <v>130221</v>
      </c>
      <c r="E217" s="62" t="str">
        <f t="shared" si="17"/>
        <v>1</v>
      </c>
      <c r="F217" s="62">
        <v>1</v>
      </c>
      <c r="G217" s="62" t="s">
        <v>192</v>
      </c>
      <c r="H217" s="62" t="s">
        <v>40</v>
      </c>
      <c r="J217" s="62">
        <v>0</v>
      </c>
      <c r="K217" s="62">
        <v>0</v>
      </c>
      <c r="N217" s="62">
        <v>2</v>
      </c>
      <c r="T217" s="62" t="s">
        <v>105</v>
      </c>
      <c r="U217" s="62">
        <v>20000411</v>
      </c>
      <c r="V217" s="62" t="s">
        <v>106</v>
      </c>
    </row>
    <row r="218" spans="1:38" s="62" customFormat="1" ht="18" customHeight="1" x14ac:dyDescent="0.15">
      <c r="A218" s="62">
        <v>13022201</v>
      </c>
      <c r="B218" s="62" t="s">
        <v>147</v>
      </c>
      <c r="D218" s="62" t="str">
        <f t="shared" si="16"/>
        <v>130222</v>
      </c>
      <c r="E218" s="62" t="str">
        <f t="shared" si="17"/>
        <v>1</v>
      </c>
      <c r="F218" s="62">
        <v>1</v>
      </c>
      <c r="G218" s="62" t="s">
        <v>192</v>
      </c>
      <c r="H218" s="62" t="s">
        <v>40</v>
      </c>
      <c r="J218" s="62">
        <v>0</v>
      </c>
      <c r="K218" s="62">
        <v>0</v>
      </c>
      <c r="N218" s="62">
        <v>3</v>
      </c>
      <c r="T218" s="62" t="s">
        <v>105</v>
      </c>
      <c r="U218" s="62">
        <v>20000411</v>
      </c>
      <c r="V218" s="62" t="s">
        <v>112</v>
      </c>
    </row>
    <row r="219" spans="1:38" s="62" customFormat="1" ht="18" customHeight="1" x14ac:dyDescent="0.15">
      <c r="A219" s="62">
        <v>13023001</v>
      </c>
      <c r="B219" s="62" t="s">
        <v>210</v>
      </c>
      <c r="D219" s="62" t="str">
        <f t="shared" si="16"/>
        <v>130230</v>
      </c>
      <c r="E219" s="62" t="str">
        <f t="shared" si="17"/>
        <v>1</v>
      </c>
      <c r="F219" s="62">
        <v>1</v>
      </c>
      <c r="G219" s="62" t="s">
        <v>192</v>
      </c>
      <c r="H219" s="62" t="s">
        <v>40</v>
      </c>
      <c r="J219" s="62">
        <v>0</v>
      </c>
      <c r="K219" s="62">
        <v>0</v>
      </c>
      <c r="N219" s="62">
        <v>1</v>
      </c>
      <c r="T219" s="62" t="s">
        <v>211</v>
      </c>
      <c r="U219" s="62">
        <v>40120001</v>
      </c>
    </row>
    <row r="220" spans="1:38" s="63" customFormat="1" ht="18" customHeight="1" x14ac:dyDescent="0.15">
      <c r="A220" s="63">
        <v>17000001</v>
      </c>
      <c r="B220" s="63" t="s">
        <v>212</v>
      </c>
      <c r="D220" s="63" t="str">
        <f t="shared" si="16"/>
        <v>170000</v>
      </c>
      <c r="E220" s="63" t="str">
        <f t="shared" si="17"/>
        <v>1</v>
      </c>
      <c r="F220" s="63">
        <v>1</v>
      </c>
      <c r="G220" s="63" t="s">
        <v>39</v>
      </c>
      <c r="H220" s="63" t="s">
        <v>40</v>
      </c>
      <c r="I220" s="63" t="s">
        <v>41</v>
      </c>
      <c r="J220" s="63">
        <v>0</v>
      </c>
      <c r="K220" s="63">
        <v>0</v>
      </c>
      <c r="N220" s="63">
        <v>1</v>
      </c>
      <c r="T220" s="63" t="s">
        <v>42</v>
      </c>
      <c r="U220" s="63">
        <v>20000704</v>
      </c>
      <c r="Y220" s="63" t="s">
        <v>43</v>
      </c>
      <c r="Z220" s="63">
        <v>10</v>
      </c>
      <c r="AC220" s="79"/>
      <c r="AD220" s="79" t="s">
        <v>44</v>
      </c>
      <c r="AE220" s="79" t="s">
        <v>45</v>
      </c>
      <c r="AF220" s="79" t="s">
        <v>45</v>
      </c>
      <c r="AG220" s="79" t="s">
        <v>45</v>
      </c>
      <c r="AH220" s="79" t="s">
        <v>213</v>
      </c>
      <c r="AI220" s="79" t="s">
        <v>47</v>
      </c>
      <c r="AJ220" s="79" t="s">
        <v>213</v>
      </c>
    </row>
    <row r="221" spans="1:38" s="63" customFormat="1" ht="18" customHeight="1" x14ac:dyDescent="0.15">
      <c r="A221" s="63">
        <v>17001001</v>
      </c>
      <c r="B221" s="63" t="s">
        <v>214</v>
      </c>
      <c r="D221" s="63" t="str">
        <f t="shared" si="16"/>
        <v>170010</v>
      </c>
      <c r="E221" s="63" t="str">
        <f t="shared" si="17"/>
        <v>1</v>
      </c>
      <c r="F221" s="63">
        <v>1</v>
      </c>
      <c r="G221" s="63" t="s">
        <v>39</v>
      </c>
      <c r="H221" s="63" t="s">
        <v>40</v>
      </c>
      <c r="I221" s="63" t="s">
        <v>41</v>
      </c>
      <c r="J221" s="63">
        <v>3000</v>
      </c>
      <c r="K221" s="63">
        <v>1000</v>
      </c>
      <c r="N221" s="63">
        <v>1</v>
      </c>
      <c r="T221" s="63" t="s">
        <v>42</v>
      </c>
      <c r="U221" s="63">
        <v>20000705</v>
      </c>
      <c r="AC221" s="79"/>
      <c r="AD221" s="79" t="s">
        <v>49</v>
      </c>
      <c r="AE221" s="79" t="s">
        <v>50</v>
      </c>
      <c r="AF221" s="79" t="s">
        <v>50</v>
      </c>
      <c r="AG221" s="79" t="s">
        <v>50</v>
      </c>
      <c r="AH221" s="79" t="s">
        <v>215</v>
      </c>
      <c r="AI221" s="79" t="s">
        <v>52</v>
      </c>
      <c r="AJ221" s="79" t="s">
        <v>215</v>
      </c>
    </row>
    <row r="222" spans="1:38" s="63" customFormat="1" ht="18" customHeight="1" x14ac:dyDescent="0.15">
      <c r="A222" s="63">
        <v>17002001</v>
      </c>
      <c r="B222" s="63" t="s">
        <v>216</v>
      </c>
      <c r="D222" s="63" t="str">
        <f t="shared" si="16"/>
        <v>170020</v>
      </c>
      <c r="E222" s="63" t="str">
        <f t="shared" si="17"/>
        <v>1</v>
      </c>
      <c r="F222" s="63">
        <v>1</v>
      </c>
      <c r="G222" s="63" t="s">
        <v>39</v>
      </c>
      <c r="H222" s="63" t="s">
        <v>40</v>
      </c>
      <c r="I222" s="63" t="s">
        <v>41</v>
      </c>
      <c r="J222" s="63">
        <v>3000</v>
      </c>
      <c r="K222" s="63">
        <v>1000</v>
      </c>
      <c r="N222" s="63">
        <v>2</v>
      </c>
      <c r="T222" s="63" t="s">
        <v>42</v>
      </c>
      <c r="U222" s="63">
        <v>20000706</v>
      </c>
      <c r="AC222" s="79"/>
      <c r="AD222" s="79" t="s">
        <v>54</v>
      </c>
      <c r="AE222" s="79" t="s">
        <v>55</v>
      </c>
      <c r="AF222" s="79" t="s">
        <v>55</v>
      </c>
      <c r="AG222" s="79" t="s">
        <v>55</v>
      </c>
      <c r="AH222" s="79" t="s">
        <v>217</v>
      </c>
      <c r="AI222" s="79" t="s">
        <v>57</v>
      </c>
      <c r="AJ222" s="79" t="s">
        <v>217</v>
      </c>
    </row>
    <row r="223" spans="1:38" s="63" customFormat="1" ht="18" customHeight="1" x14ac:dyDescent="0.15">
      <c r="A223" s="63">
        <v>17003001</v>
      </c>
      <c r="B223" s="63" t="s">
        <v>218</v>
      </c>
      <c r="D223" s="63" t="str">
        <f t="shared" si="16"/>
        <v>170030</v>
      </c>
      <c r="E223" s="63" t="str">
        <f t="shared" si="17"/>
        <v>1</v>
      </c>
      <c r="F223" s="63">
        <v>4</v>
      </c>
      <c r="G223" s="63" t="s">
        <v>39</v>
      </c>
      <c r="H223" s="63" t="s">
        <v>59</v>
      </c>
      <c r="I223" s="63" t="s">
        <v>60</v>
      </c>
      <c r="J223" s="63">
        <v>3000</v>
      </c>
      <c r="K223" s="63">
        <v>250</v>
      </c>
      <c r="N223" s="63">
        <v>1</v>
      </c>
      <c r="T223" s="63" t="s">
        <v>43</v>
      </c>
      <c r="U223" s="63">
        <v>5</v>
      </c>
      <c r="AC223" s="79"/>
      <c r="AD223" s="79" t="s">
        <v>219</v>
      </c>
      <c r="AE223" s="79" t="s">
        <v>62</v>
      </c>
      <c r="AF223" s="79" t="s">
        <v>62</v>
      </c>
      <c r="AG223" s="79" t="s">
        <v>62</v>
      </c>
      <c r="AH223" s="79" t="s">
        <v>63</v>
      </c>
      <c r="AI223" s="79" t="s">
        <v>64</v>
      </c>
      <c r="AJ223" s="79" t="s">
        <v>63</v>
      </c>
    </row>
    <row r="224" spans="1:38" s="63" customFormat="1" ht="18" customHeight="1" x14ac:dyDescent="0.15">
      <c r="A224" s="63">
        <v>17003002</v>
      </c>
      <c r="B224" s="63" t="s">
        <v>220</v>
      </c>
      <c r="D224" s="63" t="str">
        <f t="shared" si="16"/>
        <v>170030</v>
      </c>
      <c r="E224" s="63" t="str">
        <f t="shared" si="17"/>
        <v>2</v>
      </c>
      <c r="F224" s="63">
        <v>4</v>
      </c>
      <c r="G224" s="63" t="s">
        <v>39</v>
      </c>
      <c r="H224" s="63" t="s">
        <v>59</v>
      </c>
      <c r="I224" s="63" t="s">
        <v>60</v>
      </c>
      <c r="J224" s="63">
        <v>3000</v>
      </c>
      <c r="K224" s="63">
        <v>250</v>
      </c>
      <c r="N224" s="63">
        <v>1</v>
      </c>
      <c r="T224" s="63" t="s">
        <v>43</v>
      </c>
      <c r="U224" s="63">
        <v>5</v>
      </c>
      <c r="AC224" s="79"/>
      <c r="AD224" s="79" t="s">
        <v>219</v>
      </c>
      <c r="AE224" s="79" t="s">
        <v>62</v>
      </c>
      <c r="AF224" s="79" t="s">
        <v>62</v>
      </c>
      <c r="AG224" s="79" t="s">
        <v>62</v>
      </c>
      <c r="AH224" s="79" t="s">
        <v>63</v>
      </c>
      <c r="AI224" s="79" t="s">
        <v>64</v>
      </c>
      <c r="AJ224" s="79" t="s">
        <v>63</v>
      </c>
    </row>
    <row r="225" spans="1:36" s="63" customFormat="1" ht="18" customHeight="1" x14ac:dyDescent="0.15">
      <c r="A225" s="63">
        <v>17003003</v>
      </c>
      <c r="B225" s="63" t="s">
        <v>221</v>
      </c>
      <c r="D225" s="63" t="str">
        <f t="shared" ref="D225:D226" si="18">LEFT(A225,6)</f>
        <v>170030</v>
      </c>
      <c r="E225" s="63" t="str">
        <f t="shared" ref="E225:E226" si="19">RIGHT(A225,1)</f>
        <v>3</v>
      </c>
      <c r="F225" s="63">
        <v>4</v>
      </c>
      <c r="G225" s="63" t="s">
        <v>39</v>
      </c>
      <c r="H225" s="63" t="s">
        <v>59</v>
      </c>
      <c r="I225" s="63" t="s">
        <v>60</v>
      </c>
      <c r="J225" s="63">
        <v>3000</v>
      </c>
      <c r="K225" s="63">
        <v>250</v>
      </c>
      <c r="N225" s="63">
        <v>1</v>
      </c>
      <c r="T225" s="63" t="s">
        <v>43</v>
      </c>
      <c r="U225" s="63">
        <v>5</v>
      </c>
      <c r="AC225" s="79"/>
      <c r="AD225" s="79" t="s">
        <v>219</v>
      </c>
      <c r="AE225" s="79" t="s">
        <v>62</v>
      </c>
      <c r="AF225" s="79" t="s">
        <v>62</v>
      </c>
      <c r="AG225" s="79" t="s">
        <v>62</v>
      </c>
      <c r="AH225" s="79" t="s">
        <v>63</v>
      </c>
      <c r="AI225" s="79" t="s">
        <v>64</v>
      </c>
      <c r="AJ225" s="79" t="s">
        <v>63</v>
      </c>
    </row>
    <row r="226" spans="1:36" s="63" customFormat="1" ht="18" customHeight="1" x14ac:dyDescent="0.15">
      <c r="A226" s="63">
        <v>17003004</v>
      </c>
      <c r="B226" s="63" t="s">
        <v>222</v>
      </c>
      <c r="D226" s="63" t="str">
        <f t="shared" si="18"/>
        <v>170030</v>
      </c>
      <c r="E226" s="63" t="str">
        <f t="shared" si="19"/>
        <v>4</v>
      </c>
      <c r="F226" s="63">
        <v>4</v>
      </c>
      <c r="G226" s="63" t="s">
        <v>39</v>
      </c>
      <c r="H226" s="63" t="s">
        <v>59</v>
      </c>
      <c r="I226" s="63" t="s">
        <v>60</v>
      </c>
      <c r="J226" s="63">
        <v>3000</v>
      </c>
      <c r="K226" s="63">
        <v>250</v>
      </c>
      <c r="N226" s="63">
        <v>1</v>
      </c>
      <c r="T226" s="63" t="s">
        <v>43</v>
      </c>
      <c r="U226" s="63">
        <v>5</v>
      </c>
      <c r="AC226" s="79"/>
      <c r="AD226" s="79" t="s">
        <v>219</v>
      </c>
      <c r="AE226" s="79" t="s">
        <v>62</v>
      </c>
      <c r="AF226" s="79" t="s">
        <v>62</v>
      </c>
      <c r="AG226" s="79" t="s">
        <v>62</v>
      </c>
      <c r="AH226" s="79" t="s">
        <v>63</v>
      </c>
      <c r="AI226" s="79" t="s">
        <v>64</v>
      </c>
      <c r="AJ226" s="79" t="s">
        <v>63</v>
      </c>
    </row>
    <row r="227" spans="1:36" s="63" customFormat="1" ht="18" customHeight="1" x14ac:dyDescent="0.15">
      <c r="A227" s="63">
        <v>17004001</v>
      </c>
      <c r="B227" s="63" t="s">
        <v>68</v>
      </c>
      <c r="D227" s="63" t="str">
        <f t="shared" si="16"/>
        <v>170040</v>
      </c>
      <c r="E227" s="63" t="str">
        <f t="shared" si="17"/>
        <v>1</v>
      </c>
      <c r="F227" s="63">
        <v>3</v>
      </c>
      <c r="G227" s="63" t="s">
        <v>39</v>
      </c>
      <c r="H227" s="63" t="s">
        <v>59</v>
      </c>
      <c r="I227" s="63" t="s">
        <v>69</v>
      </c>
      <c r="J227" s="63">
        <v>3000</v>
      </c>
      <c r="K227" s="63">
        <v>250</v>
      </c>
      <c r="N227" s="63">
        <v>1</v>
      </c>
      <c r="T227" s="63" t="s">
        <v>70</v>
      </c>
      <c r="U227" s="63" t="s">
        <v>71</v>
      </c>
      <c r="AC227" s="79"/>
      <c r="AD227" s="79" t="s">
        <v>72</v>
      </c>
      <c r="AE227" s="79" t="s">
        <v>73</v>
      </c>
      <c r="AF227" s="79" t="s">
        <v>73</v>
      </c>
      <c r="AG227" s="79" t="s">
        <v>73</v>
      </c>
      <c r="AH227" s="86" t="s">
        <v>383</v>
      </c>
      <c r="AI227" s="79" t="s">
        <v>224</v>
      </c>
      <c r="AJ227" s="79" t="s">
        <v>223</v>
      </c>
    </row>
    <row r="228" spans="1:36" s="63" customFormat="1" ht="18" customHeight="1" x14ac:dyDescent="0.15">
      <c r="A228" s="63">
        <v>17004002</v>
      </c>
      <c r="B228" s="63" t="s">
        <v>74</v>
      </c>
      <c r="D228" s="63" t="str">
        <f t="shared" si="16"/>
        <v>170040</v>
      </c>
      <c r="E228" s="63" t="str">
        <f t="shared" si="17"/>
        <v>2</v>
      </c>
      <c r="F228" s="63">
        <v>3</v>
      </c>
      <c r="G228" s="63" t="s">
        <v>39</v>
      </c>
      <c r="H228" s="63" t="s">
        <v>59</v>
      </c>
      <c r="I228" s="63" t="s">
        <v>69</v>
      </c>
      <c r="J228" s="63">
        <v>3000</v>
      </c>
      <c r="K228" s="63">
        <v>500</v>
      </c>
      <c r="N228" s="63">
        <v>2</v>
      </c>
      <c r="T228" s="63" t="s">
        <v>70</v>
      </c>
      <c r="U228" s="63" t="s">
        <v>71</v>
      </c>
      <c r="AC228" s="79"/>
      <c r="AD228" s="79" t="s">
        <v>75</v>
      </c>
      <c r="AE228" s="79" t="s">
        <v>76</v>
      </c>
      <c r="AF228" s="79" t="s">
        <v>76</v>
      </c>
      <c r="AG228" s="79" t="s">
        <v>76</v>
      </c>
      <c r="AH228" s="79" t="s">
        <v>223</v>
      </c>
      <c r="AI228" s="79" t="s">
        <v>224</v>
      </c>
      <c r="AJ228" s="79" t="s">
        <v>223</v>
      </c>
    </row>
    <row r="229" spans="1:36" s="63" customFormat="1" ht="18" customHeight="1" x14ac:dyDescent="0.15">
      <c r="A229" s="63">
        <v>17004003</v>
      </c>
      <c r="B229" s="63" t="s">
        <v>77</v>
      </c>
      <c r="D229" s="63" t="str">
        <f t="shared" ref="D229:D299" si="20">LEFT(A229,6)</f>
        <v>170040</v>
      </c>
      <c r="E229" s="63" t="str">
        <f t="shared" ref="E229:E299" si="21">RIGHT(A229,1)</f>
        <v>3</v>
      </c>
      <c r="F229" s="63">
        <v>3</v>
      </c>
      <c r="G229" s="63" t="s">
        <v>39</v>
      </c>
      <c r="H229" s="63" t="s">
        <v>59</v>
      </c>
      <c r="I229" s="63" t="s">
        <v>69</v>
      </c>
      <c r="J229" s="63">
        <v>3000</v>
      </c>
      <c r="K229" s="63">
        <v>800</v>
      </c>
      <c r="N229" s="63">
        <v>3</v>
      </c>
      <c r="T229" s="63" t="s">
        <v>70</v>
      </c>
      <c r="U229" s="63" t="s">
        <v>71</v>
      </c>
      <c r="AC229" s="79"/>
      <c r="AD229" s="79" t="s">
        <v>78</v>
      </c>
      <c r="AE229" s="79" t="s">
        <v>79</v>
      </c>
      <c r="AF229" s="79" t="s">
        <v>79</v>
      </c>
      <c r="AG229" s="79" t="s">
        <v>79</v>
      </c>
      <c r="AH229" s="79" t="s">
        <v>223</v>
      </c>
      <c r="AI229" s="79" t="s">
        <v>224</v>
      </c>
      <c r="AJ229" s="79" t="s">
        <v>223</v>
      </c>
    </row>
    <row r="230" spans="1:36" s="63" customFormat="1" ht="18" customHeight="1" x14ac:dyDescent="0.15">
      <c r="A230" s="63">
        <v>17005001</v>
      </c>
      <c r="B230" s="63" t="s">
        <v>80</v>
      </c>
      <c r="D230" s="63" t="str">
        <f t="shared" si="20"/>
        <v>170050</v>
      </c>
      <c r="E230" s="63" t="str">
        <f t="shared" si="21"/>
        <v>1</v>
      </c>
      <c r="F230" s="63">
        <v>3</v>
      </c>
      <c r="G230" s="63" t="s">
        <v>39</v>
      </c>
      <c r="H230" s="63" t="s">
        <v>59</v>
      </c>
      <c r="I230" s="63" t="s">
        <v>81</v>
      </c>
      <c r="J230" s="63">
        <v>3000</v>
      </c>
      <c r="K230" s="63">
        <v>250</v>
      </c>
      <c r="N230" s="63">
        <v>1</v>
      </c>
      <c r="T230" s="63" t="s">
        <v>70</v>
      </c>
      <c r="U230" s="63" t="s">
        <v>82</v>
      </c>
      <c r="AC230" s="79"/>
      <c r="AD230" s="79" t="s">
        <v>83</v>
      </c>
      <c r="AE230" s="79" t="s">
        <v>84</v>
      </c>
      <c r="AF230" s="79" t="s">
        <v>84</v>
      </c>
      <c r="AG230" s="79" t="s">
        <v>84</v>
      </c>
      <c r="AH230" s="79" t="s">
        <v>225</v>
      </c>
      <c r="AI230" s="79" t="s">
        <v>226</v>
      </c>
      <c r="AJ230" s="79" t="s">
        <v>225</v>
      </c>
    </row>
    <row r="231" spans="1:36" s="63" customFormat="1" ht="18" customHeight="1" x14ac:dyDescent="0.15">
      <c r="A231" s="63">
        <v>17005002</v>
      </c>
      <c r="B231" s="63" t="s">
        <v>80</v>
      </c>
      <c r="D231" s="63" t="str">
        <f t="shared" si="20"/>
        <v>170050</v>
      </c>
      <c r="E231" s="63" t="str">
        <f t="shared" si="21"/>
        <v>2</v>
      </c>
      <c r="F231" s="63">
        <v>3</v>
      </c>
      <c r="G231" s="63" t="s">
        <v>39</v>
      </c>
      <c r="H231" s="63" t="s">
        <v>59</v>
      </c>
      <c r="I231" s="63" t="s">
        <v>81</v>
      </c>
      <c r="J231" s="63">
        <v>3000</v>
      </c>
      <c r="K231" s="63">
        <v>500</v>
      </c>
      <c r="N231" s="63">
        <v>2</v>
      </c>
      <c r="T231" s="63" t="s">
        <v>70</v>
      </c>
      <c r="U231" s="63" t="s">
        <v>82</v>
      </c>
      <c r="AC231" s="79"/>
      <c r="AD231" s="79" t="s">
        <v>86</v>
      </c>
      <c r="AE231" s="79" t="s">
        <v>87</v>
      </c>
      <c r="AF231" s="79" t="s">
        <v>87</v>
      </c>
      <c r="AG231" s="79" t="s">
        <v>87</v>
      </c>
      <c r="AH231" s="79" t="s">
        <v>225</v>
      </c>
      <c r="AI231" s="79" t="s">
        <v>226</v>
      </c>
      <c r="AJ231" s="79" t="s">
        <v>225</v>
      </c>
    </row>
    <row r="232" spans="1:36" s="63" customFormat="1" ht="18" customHeight="1" x14ac:dyDescent="0.15">
      <c r="A232" s="63">
        <v>17005003</v>
      </c>
      <c r="B232" s="63" t="s">
        <v>80</v>
      </c>
      <c r="D232" s="63" t="str">
        <f t="shared" si="20"/>
        <v>170050</v>
      </c>
      <c r="E232" s="63" t="str">
        <f t="shared" si="21"/>
        <v>3</v>
      </c>
      <c r="F232" s="63">
        <v>3</v>
      </c>
      <c r="G232" s="63" t="s">
        <v>39</v>
      </c>
      <c r="H232" s="63" t="s">
        <v>59</v>
      </c>
      <c r="I232" s="63" t="s">
        <v>81</v>
      </c>
      <c r="J232" s="63">
        <v>3000</v>
      </c>
      <c r="K232" s="63">
        <v>800</v>
      </c>
      <c r="L232" s="78"/>
      <c r="M232" s="78"/>
      <c r="N232" s="63">
        <v>3</v>
      </c>
      <c r="T232" s="63" t="s">
        <v>70</v>
      </c>
      <c r="U232" s="63" t="s">
        <v>82</v>
      </c>
      <c r="AC232" s="79"/>
      <c r="AD232" s="79" t="s">
        <v>89</v>
      </c>
      <c r="AE232" s="79" t="s">
        <v>90</v>
      </c>
      <c r="AF232" s="79" t="s">
        <v>90</v>
      </c>
      <c r="AG232" s="79" t="s">
        <v>90</v>
      </c>
      <c r="AH232" s="79" t="s">
        <v>225</v>
      </c>
      <c r="AI232" s="79" t="s">
        <v>226</v>
      </c>
      <c r="AJ232" s="79" t="s">
        <v>225</v>
      </c>
    </row>
    <row r="233" spans="1:36" s="63" customFormat="1" ht="18" customHeight="1" x14ac:dyDescent="0.15">
      <c r="A233" s="63">
        <v>17006001</v>
      </c>
      <c r="B233" s="63" t="s">
        <v>91</v>
      </c>
      <c r="D233" s="63" t="str">
        <f t="shared" si="20"/>
        <v>170060</v>
      </c>
      <c r="E233" s="63" t="str">
        <f t="shared" si="21"/>
        <v>1</v>
      </c>
      <c r="F233" s="63">
        <v>1</v>
      </c>
      <c r="G233" s="63" t="s">
        <v>39</v>
      </c>
      <c r="H233" s="63" t="s">
        <v>40</v>
      </c>
      <c r="J233" s="63">
        <v>0</v>
      </c>
      <c r="K233" s="63">
        <v>0</v>
      </c>
      <c r="L233" s="78"/>
      <c r="M233" s="78"/>
      <c r="N233" s="63">
        <v>1</v>
      </c>
      <c r="T233" s="63" t="s">
        <v>92</v>
      </c>
      <c r="U233" s="63">
        <v>20000707</v>
      </c>
      <c r="V233" s="63">
        <v>0</v>
      </c>
    </row>
    <row r="234" spans="1:36" s="63" customFormat="1" ht="13.5" customHeight="1" x14ac:dyDescent="0.15">
      <c r="A234" s="63">
        <v>17011001</v>
      </c>
      <c r="B234" s="63" t="s">
        <v>101</v>
      </c>
      <c r="C234" s="63" t="s">
        <v>102</v>
      </c>
      <c r="D234" s="63" t="str">
        <f t="shared" si="20"/>
        <v>170110</v>
      </c>
      <c r="E234" s="63" t="str">
        <f t="shared" si="21"/>
        <v>1</v>
      </c>
      <c r="F234" s="63">
        <v>1</v>
      </c>
      <c r="G234" s="63" t="s">
        <v>39</v>
      </c>
      <c r="H234" s="63" t="s">
        <v>40</v>
      </c>
      <c r="I234" s="63" t="s">
        <v>103</v>
      </c>
      <c r="J234" s="63">
        <v>2000</v>
      </c>
      <c r="K234" s="63">
        <v>180</v>
      </c>
      <c r="L234" s="63">
        <f>0.6*K234</f>
        <v>108</v>
      </c>
      <c r="N234" s="63">
        <v>1</v>
      </c>
    </row>
    <row r="235" spans="1:36" s="63" customFormat="1" ht="13.5" customHeight="1" x14ac:dyDescent="0.15">
      <c r="A235" s="63">
        <v>17011101</v>
      </c>
      <c r="B235" s="63" t="s">
        <v>104</v>
      </c>
      <c r="C235" s="63" t="s">
        <v>102</v>
      </c>
      <c r="D235" s="63" t="str">
        <f t="shared" si="20"/>
        <v>170111</v>
      </c>
      <c r="E235" s="63" t="str">
        <f t="shared" si="21"/>
        <v>1</v>
      </c>
      <c r="F235" s="63">
        <v>1</v>
      </c>
      <c r="G235" s="63" t="s">
        <v>39</v>
      </c>
      <c r="H235" s="63" t="s">
        <v>40</v>
      </c>
      <c r="J235" s="63">
        <v>0</v>
      </c>
      <c r="K235" s="63">
        <v>0</v>
      </c>
      <c r="N235" s="63">
        <v>1</v>
      </c>
      <c r="T235" s="63" t="s">
        <v>105</v>
      </c>
      <c r="U235" s="63">
        <v>20000707</v>
      </c>
      <c r="V235" s="63" t="s">
        <v>106</v>
      </c>
    </row>
    <row r="236" spans="1:36" s="63" customFormat="1" ht="13.5" customHeight="1" x14ac:dyDescent="0.15">
      <c r="A236" s="63">
        <v>17012001</v>
      </c>
      <c r="B236" s="63" t="s">
        <v>107</v>
      </c>
      <c r="C236" s="63" t="s">
        <v>102</v>
      </c>
      <c r="D236" s="63" t="str">
        <f t="shared" si="20"/>
        <v>170120</v>
      </c>
      <c r="E236" s="63" t="str">
        <f t="shared" si="21"/>
        <v>1</v>
      </c>
      <c r="F236" s="63">
        <v>1</v>
      </c>
      <c r="G236" s="63" t="s">
        <v>39</v>
      </c>
      <c r="H236" s="63" t="s">
        <v>40</v>
      </c>
      <c r="I236" s="63" t="s">
        <v>103</v>
      </c>
      <c r="J236" s="63">
        <v>3000</v>
      </c>
      <c r="K236" s="63">
        <v>250</v>
      </c>
      <c r="L236" s="63">
        <f>0.6*K236</f>
        <v>150</v>
      </c>
      <c r="N236" s="63">
        <v>1</v>
      </c>
    </row>
    <row r="237" spans="1:36" s="63" customFormat="1" ht="13.5" customHeight="1" x14ac:dyDescent="0.15">
      <c r="A237" s="63">
        <v>17012101</v>
      </c>
      <c r="B237" s="63" t="s">
        <v>108</v>
      </c>
      <c r="C237" s="63" t="s">
        <v>102</v>
      </c>
      <c r="D237" s="63" t="str">
        <f t="shared" si="20"/>
        <v>170121</v>
      </c>
      <c r="E237" s="63" t="str">
        <f t="shared" si="21"/>
        <v>1</v>
      </c>
      <c r="F237" s="63">
        <v>1</v>
      </c>
      <c r="G237" s="63" t="s">
        <v>39</v>
      </c>
      <c r="H237" s="63" t="s">
        <v>40</v>
      </c>
      <c r="J237" s="63">
        <v>0</v>
      </c>
      <c r="K237" s="63">
        <v>0</v>
      </c>
      <c r="N237" s="63">
        <v>2</v>
      </c>
      <c r="T237" s="63" t="s">
        <v>105</v>
      </c>
      <c r="U237" s="63">
        <v>20000708</v>
      </c>
      <c r="V237" s="63" t="s">
        <v>106</v>
      </c>
    </row>
    <row r="238" spans="1:36" s="63" customFormat="1" ht="13.5" customHeight="1" x14ac:dyDescent="0.15">
      <c r="A238" s="63">
        <v>17013001</v>
      </c>
      <c r="B238" s="63" t="s">
        <v>109</v>
      </c>
      <c r="C238" s="63" t="s">
        <v>102</v>
      </c>
      <c r="D238" s="63" t="str">
        <f t="shared" si="20"/>
        <v>170130</v>
      </c>
      <c r="E238" s="63" t="str">
        <f t="shared" si="21"/>
        <v>1</v>
      </c>
      <c r="F238" s="63">
        <v>1</v>
      </c>
      <c r="G238" s="63" t="s">
        <v>39</v>
      </c>
      <c r="H238" s="63" t="s">
        <v>40</v>
      </c>
      <c r="I238" s="63" t="s">
        <v>103</v>
      </c>
      <c r="J238" s="63">
        <v>3000</v>
      </c>
      <c r="K238" s="63">
        <v>240</v>
      </c>
      <c r="L238" s="63">
        <f>0.6*K238</f>
        <v>144</v>
      </c>
      <c r="N238" s="63">
        <v>2</v>
      </c>
    </row>
    <row r="239" spans="1:36" s="63" customFormat="1" ht="13.5" customHeight="1" x14ac:dyDescent="0.15">
      <c r="A239" s="63">
        <v>17013101</v>
      </c>
      <c r="B239" s="63" t="s">
        <v>110</v>
      </c>
      <c r="C239" s="63" t="s">
        <v>102</v>
      </c>
      <c r="D239" s="63" t="str">
        <f t="shared" si="20"/>
        <v>170131</v>
      </c>
      <c r="E239" s="63" t="str">
        <f t="shared" si="21"/>
        <v>1</v>
      </c>
      <c r="F239" s="63">
        <v>1</v>
      </c>
      <c r="G239" s="63" t="s">
        <v>39</v>
      </c>
      <c r="H239" s="63" t="s">
        <v>40</v>
      </c>
      <c r="J239" s="63">
        <v>0</v>
      </c>
      <c r="K239" s="63">
        <v>0</v>
      </c>
      <c r="N239" s="63">
        <v>2</v>
      </c>
      <c r="T239" s="63" t="s">
        <v>105</v>
      </c>
      <c r="U239" s="63">
        <v>20000709</v>
      </c>
      <c r="V239" s="63" t="s">
        <v>106</v>
      </c>
    </row>
    <row r="240" spans="1:36" s="63" customFormat="1" ht="13.5" customHeight="1" x14ac:dyDescent="0.15">
      <c r="A240" s="63">
        <v>17013201</v>
      </c>
      <c r="B240" s="63" t="s">
        <v>111</v>
      </c>
      <c r="C240" s="63" t="s">
        <v>102</v>
      </c>
      <c r="D240" s="63" t="str">
        <f t="shared" si="20"/>
        <v>170132</v>
      </c>
      <c r="E240" s="63" t="str">
        <f t="shared" si="21"/>
        <v>1</v>
      </c>
      <c r="F240" s="63">
        <v>1</v>
      </c>
      <c r="G240" s="63" t="s">
        <v>39</v>
      </c>
      <c r="H240" s="63" t="s">
        <v>40</v>
      </c>
      <c r="J240" s="63">
        <v>0</v>
      </c>
      <c r="K240" s="63">
        <v>0</v>
      </c>
      <c r="N240" s="63">
        <v>3</v>
      </c>
      <c r="T240" s="63" t="s">
        <v>105</v>
      </c>
      <c r="U240" s="63">
        <v>20000709</v>
      </c>
      <c r="V240" s="63" t="s">
        <v>112</v>
      </c>
    </row>
    <row r="241" spans="1:22" s="63" customFormat="1" ht="13.5" customHeight="1" x14ac:dyDescent="0.15">
      <c r="A241" s="63">
        <v>17014001</v>
      </c>
      <c r="B241" s="63" t="s">
        <v>113</v>
      </c>
      <c r="C241" s="63" t="s">
        <v>102</v>
      </c>
      <c r="D241" s="63" t="str">
        <f t="shared" si="20"/>
        <v>170140</v>
      </c>
      <c r="E241" s="63" t="str">
        <f t="shared" si="21"/>
        <v>1</v>
      </c>
      <c r="F241" s="63">
        <v>1</v>
      </c>
      <c r="G241" s="63" t="s">
        <v>39</v>
      </c>
      <c r="H241" s="63" t="s">
        <v>40</v>
      </c>
      <c r="I241" s="63" t="s">
        <v>103</v>
      </c>
      <c r="J241" s="63">
        <v>3000</v>
      </c>
      <c r="K241" s="63">
        <v>210</v>
      </c>
      <c r="L241" s="63">
        <f>0.6*K241</f>
        <v>126</v>
      </c>
      <c r="N241" s="63">
        <v>2</v>
      </c>
    </row>
    <row r="242" spans="1:22" s="63" customFormat="1" ht="13.5" customHeight="1" x14ac:dyDescent="0.15">
      <c r="A242" s="63">
        <v>17014101</v>
      </c>
      <c r="B242" s="63" t="s">
        <v>114</v>
      </c>
      <c r="C242" s="63" t="s">
        <v>102</v>
      </c>
      <c r="D242" s="63" t="str">
        <f t="shared" si="20"/>
        <v>170141</v>
      </c>
      <c r="E242" s="63" t="str">
        <f t="shared" si="21"/>
        <v>1</v>
      </c>
      <c r="F242" s="63">
        <v>1</v>
      </c>
      <c r="G242" s="63" t="s">
        <v>39</v>
      </c>
      <c r="H242" s="63" t="s">
        <v>40</v>
      </c>
      <c r="J242" s="63">
        <v>0</v>
      </c>
      <c r="K242" s="63">
        <v>0</v>
      </c>
      <c r="N242" s="63">
        <v>2</v>
      </c>
      <c r="T242" s="63" t="s">
        <v>105</v>
      </c>
      <c r="U242" s="63">
        <v>20000710</v>
      </c>
      <c r="V242" s="63" t="s">
        <v>106</v>
      </c>
    </row>
    <row r="243" spans="1:22" s="63" customFormat="1" ht="13.5" customHeight="1" x14ac:dyDescent="0.15">
      <c r="A243" s="63">
        <v>17014201</v>
      </c>
      <c r="B243" s="63" t="s">
        <v>115</v>
      </c>
      <c r="C243" s="63" t="s">
        <v>102</v>
      </c>
      <c r="D243" s="63" t="str">
        <f t="shared" si="20"/>
        <v>170142</v>
      </c>
      <c r="E243" s="63" t="str">
        <f t="shared" si="21"/>
        <v>1</v>
      </c>
      <c r="F243" s="63">
        <v>1</v>
      </c>
      <c r="G243" s="63" t="s">
        <v>39</v>
      </c>
      <c r="H243" s="63" t="s">
        <v>40</v>
      </c>
      <c r="J243" s="63">
        <v>0</v>
      </c>
      <c r="K243" s="63">
        <v>0</v>
      </c>
      <c r="N243" s="63">
        <v>2</v>
      </c>
      <c r="T243" s="63" t="s">
        <v>105</v>
      </c>
      <c r="U243" s="63">
        <v>20000710</v>
      </c>
      <c r="V243" s="63" t="s">
        <v>112</v>
      </c>
    </row>
    <row r="244" spans="1:22" s="63" customFormat="1" ht="13.5" customHeight="1" x14ac:dyDescent="0.15">
      <c r="A244" s="63">
        <v>17014301</v>
      </c>
      <c r="B244" s="63" t="s">
        <v>116</v>
      </c>
      <c r="C244" s="63" t="s">
        <v>102</v>
      </c>
      <c r="D244" s="63" t="str">
        <f t="shared" si="20"/>
        <v>170143</v>
      </c>
      <c r="E244" s="63" t="str">
        <f t="shared" si="21"/>
        <v>1</v>
      </c>
      <c r="F244" s="63">
        <v>1</v>
      </c>
      <c r="G244" s="63" t="s">
        <v>39</v>
      </c>
      <c r="H244" s="63" t="s">
        <v>40</v>
      </c>
      <c r="J244" s="63">
        <v>0</v>
      </c>
      <c r="K244" s="63">
        <v>0</v>
      </c>
      <c r="N244" s="63">
        <v>3</v>
      </c>
      <c r="T244" s="63" t="s">
        <v>105</v>
      </c>
      <c r="U244" s="63">
        <v>20000104</v>
      </c>
      <c r="V244" s="63" t="s">
        <v>117</v>
      </c>
    </row>
    <row r="245" spans="1:22" s="63" customFormat="1" ht="13.5" customHeight="1" x14ac:dyDescent="0.15">
      <c r="A245" s="63">
        <v>17015001</v>
      </c>
      <c r="B245" s="63" t="s">
        <v>118</v>
      </c>
      <c r="C245" s="63" t="s">
        <v>119</v>
      </c>
      <c r="D245" s="63" t="str">
        <f t="shared" si="20"/>
        <v>170150</v>
      </c>
      <c r="E245" s="63" t="str">
        <f t="shared" si="21"/>
        <v>1</v>
      </c>
      <c r="F245" s="63">
        <v>1</v>
      </c>
      <c r="G245" s="63" t="s">
        <v>39</v>
      </c>
      <c r="H245" s="63" t="s">
        <v>40</v>
      </c>
      <c r="I245" s="63" t="s">
        <v>103</v>
      </c>
      <c r="J245" s="63">
        <v>3000</v>
      </c>
      <c r="K245" s="63">
        <v>200</v>
      </c>
      <c r="L245" s="63">
        <f>0.6*K245</f>
        <v>120</v>
      </c>
      <c r="N245" s="63">
        <v>2</v>
      </c>
    </row>
    <row r="246" spans="1:22" s="63" customFormat="1" ht="13.5" customHeight="1" x14ac:dyDescent="0.15">
      <c r="A246" s="63">
        <v>17015101</v>
      </c>
      <c r="B246" s="63" t="s">
        <v>227</v>
      </c>
      <c r="C246" s="63" t="s">
        <v>119</v>
      </c>
      <c r="D246" s="63" t="str">
        <f t="shared" si="20"/>
        <v>170151</v>
      </c>
      <c r="E246" s="63" t="str">
        <f t="shared" si="21"/>
        <v>1</v>
      </c>
      <c r="F246" s="63">
        <v>1</v>
      </c>
      <c r="G246" s="63" t="s">
        <v>39</v>
      </c>
      <c r="H246" s="63" t="s">
        <v>40</v>
      </c>
      <c r="J246" s="63">
        <v>0</v>
      </c>
      <c r="K246" s="63">
        <v>0</v>
      </c>
      <c r="N246" s="63">
        <v>2</v>
      </c>
      <c r="T246" s="63" t="s">
        <v>105</v>
      </c>
      <c r="U246" s="63">
        <v>20000711</v>
      </c>
      <c r="V246" s="63" t="s">
        <v>106</v>
      </c>
    </row>
    <row r="247" spans="1:22" s="63" customFormat="1" ht="13.5" customHeight="1" x14ac:dyDescent="0.15">
      <c r="A247" s="63">
        <v>17016001</v>
      </c>
      <c r="B247" s="63" t="s">
        <v>121</v>
      </c>
      <c r="C247" s="63" t="s">
        <v>122</v>
      </c>
      <c r="D247" s="63" t="str">
        <f t="shared" si="20"/>
        <v>170160</v>
      </c>
      <c r="E247" s="63" t="str">
        <f t="shared" si="21"/>
        <v>1</v>
      </c>
      <c r="F247" s="63">
        <v>1</v>
      </c>
      <c r="G247" s="63" t="s">
        <v>39</v>
      </c>
      <c r="H247" s="63" t="s">
        <v>40</v>
      </c>
      <c r="I247" s="63" t="s">
        <v>103</v>
      </c>
      <c r="J247" s="63">
        <v>3000</v>
      </c>
      <c r="K247" s="63">
        <v>260</v>
      </c>
      <c r="L247" s="63">
        <f>0.6*K247</f>
        <v>156</v>
      </c>
      <c r="N247" s="63">
        <v>2</v>
      </c>
    </row>
    <row r="248" spans="1:22" s="63" customFormat="1" ht="13.5" customHeight="1" x14ac:dyDescent="0.15">
      <c r="A248" s="63">
        <v>17016101</v>
      </c>
      <c r="B248" s="63" t="s">
        <v>123</v>
      </c>
      <c r="C248" s="63" t="s">
        <v>122</v>
      </c>
      <c r="D248" s="63" t="str">
        <f t="shared" si="20"/>
        <v>170161</v>
      </c>
      <c r="E248" s="63" t="str">
        <f t="shared" si="21"/>
        <v>1</v>
      </c>
      <c r="F248" s="63">
        <v>1</v>
      </c>
      <c r="G248" s="63" t="s">
        <v>39</v>
      </c>
      <c r="H248" s="63" t="s">
        <v>40</v>
      </c>
      <c r="J248" s="63">
        <v>0</v>
      </c>
      <c r="K248" s="63">
        <v>0</v>
      </c>
      <c r="N248" s="63">
        <v>2</v>
      </c>
      <c r="T248" s="63" t="s">
        <v>105</v>
      </c>
      <c r="U248" s="63">
        <v>20000712</v>
      </c>
      <c r="V248" s="63" t="s">
        <v>106</v>
      </c>
    </row>
    <row r="249" spans="1:22" s="63" customFormat="1" ht="13.5" customHeight="1" x14ac:dyDescent="0.15">
      <c r="A249" s="63">
        <v>17016201</v>
      </c>
      <c r="B249" s="63" t="s">
        <v>124</v>
      </c>
      <c r="C249" s="63" t="s">
        <v>122</v>
      </c>
      <c r="D249" s="63" t="str">
        <f t="shared" si="20"/>
        <v>170162</v>
      </c>
      <c r="E249" s="63" t="str">
        <f t="shared" si="21"/>
        <v>1</v>
      </c>
      <c r="F249" s="63">
        <v>1</v>
      </c>
      <c r="G249" s="63" t="s">
        <v>39</v>
      </c>
      <c r="H249" s="63" t="s">
        <v>40</v>
      </c>
      <c r="J249" s="63">
        <v>0</v>
      </c>
      <c r="K249" s="63">
        <v>0</v>
      </c>
      <c r="N249" s="63">
        <v>2</v>
      </c>
      <c r="T249" s="63" t="s">
        <v>105</v>
      </c>
      <c r="U249" s="63">
        <v>20000712</v>
      </c>
      <c r="V249" s="63" t="s">
        <v>112</v>
      </c>
    </row>
    <row r="250" spans="1:22" s="63" customFormat="1" ht="13.5" customHeight="1" x14ac:dyDescent="0.15">
      <c r="A250" s="63">
        <v>17016301</v>
      </c>
      <c r="B250" s="63" t="s">
        <v>125</v>
      </c>
      <c r="C250" s="63" t="s">
        <v>122</v>
      </c>
      <c r="D250" s="63" t="str">
        <f t="shared" si="20"/>
        <v>170163</v>
      </c>
      <c r="E250" s="63" t="str">
        <f t="shared" si="21"/>
        <v>1</v>
      </c>
      <c r="F250" s="63">
        <v>1</v>
      </c>
      <c r="G250" s="63" t="s">
        <v>39</v>
      </c>
      <c r="H250" s="63" t="s">
        <v>40</v>
      </c>
      <c r="J250" s="63">
        <v>0</v>
      </c>
      <c r="K250" s="63">
        <v>0</v>
      </c>
      <c r="N250" s="63">
        <v>2</v>
      </c>
      <c r="T250" s="63" t="s">
        <v>105</v>
      </c>
      <c r="U250" s="63">
        <v>20000712</v>
      </c>
      <c r="V250" s="63" t="s">
        <v>117</v>
      </c>
    </row>
    <row r="251" spans="1:22" s="63" customFormat="1" ht="13.5" customHeight="1" x14ac:dyDescent="0.15">
      <c r="A251" s="63">
        <v>17017001</v>
      </c>
      <c r="B251" s="63" t="s">
        <v>126</v>
      </c>
      <c r="C251" s="63" t="s">
        <v>127</v>
      </c>
      <c r="D251" s="63" t="str">
        <f t="shared" si="20"/>
        <v>170170</v>
      </c>
      <c r="E251" s="63" t="str">
        <f t="shared" si="21"/>
        <v>1</v>
      </c>
      <c r="F251" s="63">
        <v>1</v>
      </c>
      <c r="G251" s="63" t="s">
        <v>39</v>
      </c>
      <c r="H251" s="63" t="s">
        <v>40</v>
      </c>
      <c r="I251" s="63" t="s">
        <v>103</v>
      </c>
      <c r="J251" s="63">
        <v>3000</v>
      </c>
      <c r="K251" s="63">
        <v>240</v>
      </c>
      <c r="L251" s="63">
        <f>0.6*K251</f>
        <v>144</v>
      </c>
      <c r="N251" s="63">
        <v>2</v>
      </c>
    </row>
    <row r="252" spans="1:22" s="63" customFormat="1" ht="13.5" customHeight="1" x14ac:dyDescent="0.15">
      <c r="A252" s="63">
        <v>17017101</v>
      </c>
      <c r="B252" s="63" t="s">
        <v>128</v>
      </c>
      <c r="C252" s="63" t="s">
        <v>127</v>
      </c>
      <c r="D252" s="63" t="str">
        <f t="shared" si="20"/>
        <v>170171</v>
      </c>
      <c r="E252" s="63" t="str">
        <f t="shared" si="21"/>
        <v>1</v>
      </c>
      <c r="F252" s="63">
        <v>1</v>
      </c>
      <c r="G252" s="63" t="s">
        <v>39</v>
      </c>
      <c r="H252" s="63" t="s">
        <v>40</v>
      </c>
      <c r="J252" s="63">
        <v>0</v>
      </c>
      <c r="K252" s="63">
        <v>0</v>
      </c>
      <c r="N252" s="63">
        <v>2</v>
      </c>
      <c r="T252" s="63" t="s">
        <v>105</v>
      </c>
      <c r="U252" s="63">
        <v>20000713</v>
      </c>
      <c r="V252" s="63" t="s">
        <v>106</v>
      </c>
    </row>
    <row r="253" spans="1:22" s="63" customFormat="1" ht="13.5" customHeight="1" x14ac:dyDescent="0.15">
      <c r="A253" s="63">
        <v>17018001</v>
      </c>
      <c r="B253" s="63" t="s">
        <v>129</v>
      </c>
      <c r="C253" s="63" t="s">
        <v>119</v>
      </c>
      <c r="D253" s="63" t="str">
        <f t="shared" si="20"/>
        <v>170180</v>
      </c>
      <c r="E253" s="63" t="str">
        <f t="shared" si="21"/>
        <v>1</v>
      </c>
      <c r="F253" s="63">
        <v>1</v>
      </c>
      <c r="G253" s="63" t="s">
        <v>39</v>
      </c>
      <c r="H253" s="63" t="s">
        <v>40</v>
      </c>
      <c r="I253" s="63" t="s">
        <v>103</v>
      </c>
      <c r="J253" s="63">
        <v>3000</v>
      </c>
      <c r="K253" s="63">
        <v>320</v>
      </c>
      <c r="L253" s="63">
        <f>0.6*K253</f>
        <v>192</v>
      </c>
      <c r="N253" s="63">
        <v>3</v>
      </c>
    </row>
    <row r="254" spans="1:22" s="63" customFormat="1" ht="13.5" customHeight="1" x14ac:dyDescent="0.15">
      <c r="A254" s="63">
        <v>17018101</v>
      </c>
      <c r="B254" s="63" t="s">
        <v>130</v>
      </c>
      <c r="C254" s="63" t="s">
        <v>119</v>
      </c>
      <c r="D254" s="63" t="str">
        <f t="shared" si="20"/>
        <v>170181</v>
      </c>
      <c r="E254" s="63" t="str">
        <f t="shared" si="21"/>
        <v>1</v>
      </c>
      <c r="F254" s="63">
        <v>1</v>
      </c>
      <c r="G254" s="63" t="s">
        <v>39</v>
      </c>
      <c r="H254" s="63" t="s">
        <v>40</v>
      </c>
      <c r="J254" s="63">
        <v>0</v>
      </c>
      <c r="K254" s="63">
        <v>0</v>
      </c>
      <c r="N254" s="63">
        <v>3</v>
      </c>
      <c r="T254" s="63" t="s">
        <v>105</v>
      </c>
      <c r="U254" s="63">
        <v>20000714</v>
      </c>
      <c r="V254" s="63" t="s">
        <v>106</v>
      </c>
    </row>
    <row r="255" spans="1:22" s="63" customFormat="1" ht="13.5" customHeight="1" x14ac:dyDescent="0.15">
      <c r="A255" s="63">
        <v>17019001</v>
      </c>
      <c r="B255" s="63" t="s">
        <v>131</v>
      </c>
      <c r="C255" s="63" t="s">
        <v>122</v>
      </c>
      <c r="D255" s="63" t="str">
        <f t="shared" si="20"/>
        <v>170190</v>
      </c>
      <c r="E255" s="63" t="str">
        <f t="shared" si="21"/>
        <v>1</v>
      </c>
      <c r="F255" s="63">
        <v>1</v>
      </c>
      <c r="G255" s="63" t="s">
        <v>39</v>
      </c>
      <c r="H255" s="63" t="s">
        <v>40</v>
      </c>
      <c r="I255" s="63" t="s">
        <v>103</v>
      </c>
      <c r="J255" s="63">
        <v>3000</v>
      </c>
      <c r="K255" s="63">
        <v>330</v>
      </c>
      <c r="L255" s="63">
        <f>0.6*K255</f>
        <v>198</v>
      </c>
      <c r="N255" s="63">
        <v>3</v>
      </c>
    </row>
    <row r="256" spans="1:22" s="63" customFormat="1" ht="13.5" customHeight="1" x14ac:dyDescent="0.15">
      <c r="A256" s="63">
        <v>17019101</v>
      </c>
      <c r="B256" s="63" t="s">
        <v>132</v>
      </c>
      <c r="C256" s="63" t="s">
        <v>122</v>
      </c>
      <c r="D256" s="63" t="str">
        <f t="shared" si="20"/>
        <v>170191</v>
      </c>
      <c r="E256" s="63" t="str">
        <f t="shared" si="21"/>
        <v>1</v>
      </c>
      <c r="F256" s="63">
        <v>1</v>
      </c>
      <c r="G256" s="63" t="s">
        <v>39</v>
      </c>
      <c r="H256" s="63" t="s">
        <v>40</v>
      </c>
      <c r="J256" s="63">
        <v>0</v>
      </c>
      <c r="K256" s="63">
        <v>0</v>
      </c>
      <c r="N256" s="63">
        <v>3</v>
      </c>
      <c r="T256" s="63" t="s">
        <v>105</v>
      </c>
      <c r="U256" s="63">
        <v>20000715</v>
      </c>
      <c r="V256" s="63" t="s">
        <v>106</v>
      </c>
    </row>
    <row r="257" spans="1:41" s="63" customFormat="1" ht="13.5" customHeight="1" x14ac:dyDescent="0.15">
      <c r="A257" s="63">
        <v>17020001</v>
      </c>
      <c r="B257" s="63" t="s">
        <v>133</v>
      </c>
      <c r="C257" s="63" t="s">
        <v>127</v>
      </c>
      <c r="D257" s="63" t="str">
        <f t="shared" si="20"/>
        <v>170200</v>
      </c>
      <c r="E257" s="63" t="str">
        <f t="shared" si="21"/>
        <v>1</v>
      </c>
      <c r="F257" s="63">
        <v>1</v>
      </c>
      <c r="G257" s="63" t="s">
        <v>39</v>
      </c>
      <c r="H257" s="63" t="s">
        <v>40</v>
      </c>
      <c r="I257" s="63" t="s">
        <v>103</v>
      </c>
      <c r="J257" s="63">
        <v>3000</v>
      </c>
      <c r="K257" s="63">
        <v>460</v>
      </c>
      <c r="L257" s="63">
        <f>0.6*K257</f>
        <v>276</v>
      </c>
      <c r="N257" s="63">
        <v>3</v>
      </c>
    </row>
    <row r="258" spans="1:41" s="63" customFormat="1" ht="13.5" customHeight="1" x14ac:dyDescent="0.15">
      <c r="A258" s="63">
        <v>17020101</v>
      </c>
      <c r="B258" s="63" t="s">
        <v>134</v>
      </c>
      <c r="C258" s="63" t="s">
        <v>127</v>
      </c>
      <c r="D258" s="63" t="str">
        <f t="shared" si="20"/>
        <v>170201</v>
      </c>
      <c r="E258" s="63" t="str">
        <f t="shared" si="21"/>
        <v>1</v>
      </c>
      <c r="F258" s="63">
        <v>1</v>
      </c>
      <c r="G258" s="63" t="s">
        <v>39</v>
      </c>
      <c r="H258" s="63" t="s">
        <v>40</v>
      </c>
      <c r="J258" s="63">
        <v>0</v>
      </c>
      <c r="K258" s="63">
        <v>0</v>
      </c>
      <c r="N258" s="63">
        <v>3</v>
      </c>
      <c r="T258" s="63" t="s">
        <v>105</v>
      </c>
      <c r="U258" s="63">
        <v>20000716</v>
      </c>
      <c r="V258" s="63" t="s">
        <v>106</v>
      </c>
    </row>
    <row r="259" spans="1:41" s="63" customFormat="1" ht="13.5" customHeight="1" x14ac:dyDescent="0.15">
      <c r="A259" s="63">
        <v>17021001</v>
      </c>
      <c r="B259" s="63" t="s">
        <v>135</v>
      </c>
      <c r="D259" s="63" t="str">
        <f t="shared" si="20"/>
        <v>170210</v>
      </c>
      <c r="E259" s="63" t="str">
        <f t="shared" si="21"/>
        <v>1</v>
      </c>
      <c r="F259" s="63">
        <v>1</v>
      </c>
      <c r="G259" s="63" t="s">
        <v>39</v>
      </c>
      <c r="H259" s="63" t="s">
        <v>40</v>
      </c>
      <c r="I259" s="63" t="s">
        <v>136</v>
      </c>
      <c r="J259" s="63">
        <v>3000</v>
      </c>
      <c r="K259" s="63">
        <v>0</v>
      </c>
      <c r="N259" s="63">
        <v>1</v>
      </c>
      <c r="P259" s="63">
        <v>2</v>
      </c>
      <c r="Q259" s="63">
        <v>1000</v>
      </c>
      <c r="R259" s="63">
        <v>-10000</v>
      </c>
      <c r="AD259" s="79" t="s">
        <v>137</v>
      </c>
      <c r="AE259" s="81" t="s">
        <v>138</v>
      </c>
      <c r="AF259" s="81" t="s">
        <v>138</v>
      </c>
      <c r="AG259" s="81" t="s">
        <v>138</v>
      </c>
      <c r="AH259" s="81" t="s">
        <v>139</v>
      </c>
      <c r="AI259" s="81" t="s">
        <v>139</v>
      </c>
      <c r="AJ259" s="81" t="s">
        <v>139</v>
      </c>
      <c r="AK259" s="81" t="s">
        <v>140</v>
      </c>
      <c r="AL259" s="81" t="s">
        <v>141</v>
      </c>
      <c r="AM259" s="81"/>
      <c r="AN259" s="81"/>
      <c r="AO259" s="79"/>
    </row>
    <row r="260" spans="1:41" s="63" customFormat="1" ht="13.5" customHeight="1" x14ac:dyDescent="0.15">
      <c r="A260" s="63">
        <v>17021101</v>
      </c>
      <c r="B260" s="63" t="s">
        <v>142</v>
      </c>
      <c r="D260" s="63" t="str">
        <f t="shared" si="20"/>
        <v>170211</v>
      </c>
      <c r="E260" s="63" t="str">
        <f t="shared" si="21"/>
        <v>1</v>
      </c>
      <c r="F260" s="63">
        <v>1</v>
      </c>
      <c r="G260" s="63" t="s">
        <v>39</v>
      </c>
      <c r="H260" s="63" t="s">
        <v>40</v>
      </c>
      <c r="J260" s="63">
        <v>0</v>
      </c>
      <c r="K260" s="63">
        <v>0</v>
      </c>
      <c r="N260" s="63">
        <v>2</v>
      </c>
      <c r="T260" s="63" t="s">
        <v>105</v>
      </c>
      <c r="U260" s="63">
        <v>20000718</v>
      </c>
      <c r="V260" s="63" t="s">
        <v>106</v>
      </c>
      <c r="AD260" s="79"/>
    </row>
    <row r="261" spans="1:41" s="63" customFormat="1" ht="13.5" customHeight="1" x14ac:dyDescent="0.15">
      <c r="A261" s="63">
        <v>17021201</v>
      </c>
      <c r="B261" s="63" t="s">
        <v>143</v>
      </c>
      <c r="D261" s="63" t="str">
        <f t="shared" si="20"/>
        <v>170212</v>
      </c>
      <c r="E261" s="63" t="str">
        <f t="shared" si="21"/>
        <v>1</v>
      </c>
      <c r="F261" s="63">
        <v>1</v>
      </c>
      <c r="G261" s="63" t="s">
        <v>39</v>
      </c>
      <c r="H261" s="63" t="s">
        <v>40</v>
      </c>
      <c r="J261" s="63">
        <v>0</v>
      </c>
      <c r="K261" s="63">
        <v>0</v>
      </c>
      <c r="N261" s="63">
        <v>3</v>
      </c>
      <c r="T261" s="63" t="s">
        <v>105</v>
      </c>
      <c r="U261" s="63">
        <v>20000718</v>
      </c>
      <c r="V261" s="63" t="s">
        <v>112</v>
      </c>
    </row>
    <row r="262" spans="1:41" s="63" customFormat="1" ht="13.5" customHeight="1" x14ac:dyDescent="0.15">
      <c r="A262" s="63">
        <v>17022001</v>
      </c>
      <c r="B262" s="63" t="s">
        <v>144</v>
      </c>
      <c r="D262" s="63" t="str">
        <f t="shared" si="20"/>
        <v>170220</v>
      </c>
      <c r="E262" s="63" t="str">
        <f t="shared" si="21"/>
        <v>1</v>
      </c>
      <c r="F262" s="63">
        <v>1</v>
      </c>
      <c r="G262" s="63" t="s">
        <v>39</v>
      </c>
      <c r="H262" s="63" t="s">
        <v>40</v>
      </c>
      <c r="I262" s="63" t="s">
        <v>145</v>
      </c>
      <c r="J262" s="63">
        <v>3000</v>
      </c>
      <c r="K262" s="63">
        <v>0</v>
      </c>
      <c r="N262" s="63">
        <v>1</v>
      </c>
      <c r="Q262" s="63">
        <v>1000</v>
      </c>
      <c r="R262" s="63">
        <v>-10000</v>
      </c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</row>
    <row r="263" spans="1:41" s="63" customFormat="1" ht="13.5" customHeight="1" x14ac:dyDescent="0.15">
      <c r="A263" s="63">
        <v>17022101</v>
      </c>
      <c r="B263" s="63" t="s">
        <v>146</v>
      </c>
      <c r="D263" s="63" t="str">
        <f t="shared" si="20"/>
        <v>170221</v>
      </c>
      <c r="E263" s="63" t="str">
        <f t="shared" si="21"/>
        <v>1</v>
      </c>
      <c r="F263" s="63">
        <v>1</v>
      </c>
      <c r="G263" s="63" t="s">
        <v>39</v>
      </c>
      <c r="H263" s="63" t="s">
        <v>40</v>
      </c>
      <c r="J263" s="63">
        <v>0</v>
      </c>
      <c r="K263" s="63">
        <v>0</v>
      </c>
      <c r="L263" s="78"/>
      <c r="M263" s="78"/>
      <c r="N263" s="63">
        <v>2</v>
      </c>
      <c r="T263" s="63" t="s">
        <v>105</v>
      </c>
      <c r="U263" s="63">
        <v>20000717</v>
      </c>
      <c r="V263" s="63" t="s">
        <v>106</v>
      </c>
    </row>
    <row r="264" spans="1:41" s="63" customFormat="1" ht="13.5" customHeight="1" x14ac:dyDescent="0.15">
      <c r="A264" s="63">
        <v>17022201</v>
      </c>
      <c r="B264" s="63" t="s">
        <v>147</v>
      </c>
      <c r="D264" s="63" t="str">
        <f t="shared" si="20"/>
        <v>170222</v>
      </c>
      <c r="E264" s="63" t="str">
        <f t="shared" si="21"/>
        <v>1</v>
      </c>
      <c r="F264" s="63">
        <v>1</v>
      </c>
      <c r="G264" s="63" t="s">
        <v>39</v>
      </c>
      <c r="H264" s="63" t="s">
        <v>40</v>
      </c>
      <c r="J264" s="63">
        <v>0</v>
      </c>
      <c r="K264" s="63">
        <v>0</v>
      </c>
      <c r="L264" s="78"/>
      <c r="M264" s="78"/>
      <c r="N264" s="63">
        <v>3</v>
      </c>
      <c r="T264" s="63" t="s">
        <v>105</v>
      </c>
      <c r="U264" s="63">
        <v>20000717</v>
      </c>
      <c r="V264" s="63" t="s">
        <v>112</v>
      </c>
    </row>
    <row r="265" spans="1:41" s="63" customFormat="1" ht="13.5" customHeight="1" x14ac:dyDescent="0.15">
      <c r="A265" s="63">
        <v>17023001</v>
      </c>
      <c r="B265" s="63" t="s">
        <v>135</v>
      </c>
      <c r="D265" s="63" t="str">
        <f t="shared" ref="D265:D266" si="22">LEFT(A265,6)</f>
        <v>170230</v>
      </c>
      <c r="E265" s="63" t="str">
        <f t="shared" ref="E265:E266" si="23">RIGHT(A265,1)</f>
        <v>1</v>
      </c>
      <c r="F265" s="63">
        <v>1</v>
      </c>
      <c r="G265" s="63" t="s">
        <v>39</v>
      </c>
      <c r="H265" s="63" t="s">
        <v>40</v>
      </c>
      <c r="I265" s="63" t="s">
        <v>136</v>
      </c>
      <c r="J265" s="63">
        <v>3000</v>
      </c>
      <c r="K265" s="63">
        <v>0</v>
      </c>
      <c r="N265" s="63">
        <v>1</v>
      </c>
      <c r="P265" s="63">
        <v>2</v>
      </c>
      <c r="Q265" s="63">
        <v>10000</v>
      </c>
      <c r="R265" s="63">
        <v>-10000</v>
      </c>
      <c r="AD265" s="79" t="s">
        <v>137</v>
      </c>
      <c r="AE265" s="81" t="s">
        <v>138</v>
      </c>
      <c r="AF265" s="81" t="s">
        <v>138</v>
      </c>
      <c r="AG265" s="81" t="s">
        <v>138</v>
      </c>
      <c r="AH265" s="81" t="s">
        <v>139</v>
      </c>
      <c r="AI265" s="81" t="s">
        <v>139</v>
      </c>
      <c r="AJ265" s="81" t="s">
        <v>139</v>
      </c>
      <c r="AK265" s="81" t="s">
        <v>140</v>
      </c>
      <c r="AL265" s="81" t="s">
        <v>141</v>
      </c>
      <c r="AM265" s="81"/>
      <c r="AN265" s="81"/>
      <c r="AO265" s="79"/>
    </row>
    <row r="266" spans="1:41" s="63" customFormat="1" ht="13.5" customHeight="1" x14ac:dyDescent="0.15">
      <c r="A266" s="63">
        <v>17024001</v>
      </c>
      <c r="B266" s="63" t="s">
        <v>144</v>
      </c>
      <c r="D266" s="63" t="str">
        <f t="shared" si="22"/>
        <v>170240</v>
      </c>
      <c r="E266" s="63" t="str">
        <f t="shared" si="23"/>
        <v>1</v>
      </c>
      <c r="F266" s="63">
        <v>1</v>
      </c>
      <c r="G266" s="63" t="s">
        <v>39</v>
      </c>
      <c r="H266" s="63" t="s">
        <v>40</v>
      </c>
      <c r="J266" s="63">
        <v>3000</v>
      </c>
      <c r="K266" s="63">
        <v>0</v>
      </c>
      <c r="N266" s="63">
        <v>1</v>
      </c>
      <c r="Q266" s="63">
        <v>10000</v>
      </c>
      <c r="R266" s="63">
        <v>-10000</v>
      </c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</row>
    <row r="267" spans="1:41" s="63" customFormat="1" ht="13.5" customHeight="1" x14ac:dyDescent="0.15">
      <c r="A267" s="63">
        <v>18000001</v>
      </c>
      <c r="B267" s="63" t="s">
        <v>97</v>
      </c>
      <c r="D267" s="63" t="str">
        <f t="shared" si="20"/>
        <v>180000</v>
      </c>
      <c r="E267" s="63" t="str">
        <f t="shared" si="21"/>
        <v>1</v>
      </c>
      <c r="F267" s="63">
        <v>1</v>
      </c>
      <c r="G267" s="63" t="s">
        <v>148</v>
      </c>
      <c r="H267" s="63" t="s">
        <v>40</v>
      </c>
      <c r="I267" s="63" t="s">
        <v>41</v>
      </c>
      <c r="J267" s="63">
        <v>0</v>
      </c>
      <c r="K267" s="63">
        <v>0</v>
      </c>
      <c r="N267" s="63">
        <v>1</v>
      </c>
      <c r="T267" s="63" t="s">
        <v>42</v>
      </c>
      <c r="U267" s="63">
        <v>20000724</v>
      </c>
      <c r="Y267" s="63" t="s">
        <v>43</v>
      </c>
      <c r="Z267" s="63">
        <v>50</v>
      </c>
      <c r="AD267" s="81" t="s">
        <v>149</v>
      </c>
      <c r="AE267" s="79" t="s">
        <v>150</v>
      </c>
      <c r="AF267" s="79" t="s">
        <v>150</v>
      </c>
      <c r="AG267" s="79" t="s">
        <v>150</v>
      </c>
      <c r="AH267" s="79" t="s">
        <v>151</v>
      </c>
      <c r="AI267" s="79" t="s">
        <v>152</v>
      </c>
      <c r="AJ267" s="79" t="s">
        <v>151</v>
      </c>
      <c r="AK267" s="81"/>
      <c r="AL267" s="81"/>
      <c r="AM267" s="81"/>
      <c r="AN267" s="81"/>
    </row>
    <row r="268" spans="1:41" s="63" customFormat="1" ht="13.5" customHeight="1" x14ac:dyDescent="0.15">
      <c r="A268" s="63">
        <v>18001001</v>
      </c>
      <c r="B268" s="63" t="s">
        <v>99</v>
      </c>
      <c r="D268" s="63" t="str">
        <f t="shared" si="20"/>
        <v>180010</v>
      </c>
      <c r="E268" s="63" t="str">
        <f t="shared" si="21"/>
        <v>1</v>
      </c>
      <c r="F268" s="63">
        <v>1</v>
      </c>
      <c r="G268" s="63" t="s">
        <v>148</v>
      </c>
      <c r="H268" s="63" t="s">
        <v>40</v>
      </c>
      <c r="I268" s="63" t="s">
        <v>41</v>
      </c>
      <c r="J268" s="63">
        <v>5000</v>
      </c>
      <c r="K268" s="63">
        <v>1000</v>
      </c>
      <c r="N268" s="63">
        <v>1</v>
      </c>
      <c r="T268" s="63" t="s">
        <v>42</v>
      </c>
      <c r="U268" s="63">
        <v>20000725</v>
      </c>
      <c r="AD268" s="81" t="s">
        <v>153</v>
      </c>
      <c r="AE268" s="79" t="s">
        <v>154</v>
      </c>
      <c r="AF268" s="79" t="s">
        <v>154</v>
      </c>
      <c r="AG268" s="79" t="s">
        <v>154</v>
      </c>
      <c r="AH268" s="79" t="s">
        <v>155</v>
      </c>
      <c r="AI268" s="79" t="s">
        <v>156</v>
      </c>
      <c r="AJ268" s="79" t="s">
        <v>155</v>
      </c>
      <c r="AK268" s="81"/>
      <c r="AL268" s="81"/>
      <c r="AM268" s="81"/>
      <c r="AN268" s="81"/>
    </row>
    <row r="269" spans="1:41" s="63" customFormat="1" ht="13.5" customHeight="1" x14ac:dyDescent="0.15">
      <c r="A269" s="63">
        <v>18002001</v>
      </c>
      <c r="B269" s="63" t="s">
        <v>100</v>
      </c>
      <c r="D269" s="63" t="str">
        <f t="shared" si="20"/>
        <v>180020</v>
      </c>
      <c r="E269" s="63" t="str">
        <f t="shared" si="21"/>
        <v>1</v>
      </c>
      <c r="F269" s="63">
        <v>1</v>
      </c>
      <c r="G269" s="63" t="s">
        <v>148</v>
      </c>
      <c r="H269" s="63" t="s">
        <v>40</v>
      </c>
      <c r="I269" s="63" t="s">
        <v>41</v>
      </c>
      <c r="J269" s="63">
        <v>5000</v>
      </c>
      <c r="K269" s="63">
        <v>1000</v>
      </c>
      <c r="N269" s="63">
        <v>2</v>
      </c>
      <c r="T269" s="63" t="s">
        <v>42</v>
      </c>
      <c r="U269" s="63">
        <v>20000726</v>
      </c>
      <c r="AD269" s="81" t="s">
        <v>157</v>
      </c>
      <c r="AE269" s="79" t="s">
        <v>158</v>
      </c>
      <c r="AF269" s="79" t="s">
        <v>158</v>
      </c>
      <c r="AG269" s="79" t="s">
        <v>158</v>
      </c>
      <c r="AH269" s="79" t="s">
        <v>56</v>
      </c>
      <c r="AI269" s="79" t="s">
        <v>57</v>
      </c>
      <c r="AJ269" s="79" t="s">
        <v>56</v>
      </c>
      <c r="AK269" s="81"/>
      <c r="AL269" s="81"/>
      <c r="AM269" s="81"/>
      <c r="AN269" s="81"/>
    </row>
    <row r="270" spans="1:41" s="63" customFormat="1" ht="13.5" customHeight="1" x14ac:dyDescent="0.15">
      <c r="A270" s="63">
        <v>18003001</v>
      </c>
      <c r="B270" s="63" t="s">
        <v>58</v>
      </c>
      <c r="D270" s="63" t="str">
        <f t="shared" si="20"/>
        <v>180030</v>
      </c>
      <c r="E270" s="63" t="str">
        <f t="shared" si="21"/>
        <v>1</v>
      </c>
      <c r="F270" s="63">
        <v>2</v>
      </c>
      <c r="G270" s="63" t="s">
        <v>148</v>
      </c>
      <c r="H270" s="63" t="s">
        <v>59</v>
      </c>
      <c r="I270" s="63" t="s">
        <v>60</v>
      </c>
      <c r="J270" s="63">
        <v>5000</v>
      </c>
      <c r="K270" s="63">
        <v>500</v>
      </c>
      <c r="N270" s="63">
        <v>1</v>
      </c>
      <c r="T270" s="63" t="s">
        <v>43</v>
      </c>
      <c r="U270" s="63">
        <v>10</v>
      </c>
      <c r="AD270" s="81" t="s">
        <v>61</v>
      </c>
      <c r="AE270" s="81" t="s">
        <v>228</v>
      </c>
      <c r="AF270" s="81" t="s">
        <v>228</v>
      </c>
      <c r="AG270" s="81" t="s">
        <v>228</v>
      </c>
      <c r="AH270" s="81" t="s">
        <v>229</v>
      </c>
      <c r="AI270" s="81" t="s">
        <v>230</v>
      </c>
      <c r="AJ270" s="81" t="s">
        <v>229</v>
      </c>
      <c r="AK270" s="81"/>
      <c r="AL270" s="81"/>
      <c r="AM270" s="81"/>
      <c r="AN270" s="81"/>
    </row>
    <row r="271" spans="1:41" s="63" customFormat="1" ht="13.5" customHeight="1" x14ac:dyDescent="0.15">
      <c r="A271" s="63">
        <v>18003002</v>
      </c>
      <c r="B271" s="63" t="s">
        <v>65</v>
      </c>
      <c r="D271" s="63" t="str">
        <f t="shared" si="20"/>
        <v>180030</v>
      </c>
      <c r="E271" s="63" t="str">
        <f t="shared" si="21"/>
        <v>2</v>
      </c>
      <c r="F271" s="63">
        <v>2</v>
      </c>
      <c r="G271" s="63" t="s">
        <v>148</v>
      </c>
      <c r="H271" s="63" t="s">
        <v>59</v>
      </c>
      <c r="I271" s="63" t="s">
        <v>60</v>
      </c>
      <c r="J271" s="63">
        <v>5000</v>
      </c>
      <c r="K271" s="63">
        <v>600</v>
      </c>
      <c r="N271" s="63">
        <v>1</v>
      </c>
      <c r="T271" s="63" t="s">
        <v>43</v>
      </c>
      <c r="U271" s="63">
        <v>10</v>
      </c>
      <c r="AD271" s="81" t="s">
        <v>61</v>
      </c>
      <c r="AE271" s="81" t="s">
        <v>231</v>
      </c>
      <c r="AF271" s="81" t="s">
        <v>231</v>
      </c>
      <c r="AG271" s="81" t="s">
        <v>231</v>
      </c>
      <c r="AH271" s="81" t="s">
        <v>229</v>
      </c>
      <c r="AI271" s="81" t="s">
        <v>230</v>
      </c>
      <c r="AJ271" s="81" t="s">
        <v>229</v>
      </c>
      <c r="AK271" s="81"/>
      <c r="AL271" s="81"/>
      <c r="AM271" s="81"/>
      <c r="AN271" s="81"/>
    </row>
    <row r="272" spans="1:41" s="63" customFormat="1" ht="13.5" customHeight="1" x14ac:dyDescent="0.15">
      <c r="A272" s="63">
        <v>18004001</v>
      </c>
      <c r="B272" s="63" t="s">
        <v>68</v>
      </c>
      <c r="D272" s="63" t="str">
        <f t="shared" si="20"/>
        <v>180040</v>
      </c>
      <c r="E272" s="63" t="str">
        <f t="shared" si="21"/>
        <v>1</v>
      </c>
      <c r="F272" s="63">
        <v>3</v>
      </c>
      <c r="G272" s="63" t="s">
        <v>148</v>
      </c>
      <c r="H272" s="63" t="s">
        <v>59</v>
      </c>
      <c r="I272" s="63" t="s">
        <v>69</v>
      </c>
      <c r="J272" s="63">
        <v>5000</v>
      </c>
      <c r="K272" s="63">
        <v>250</v>
      </c>
      <c r="N272" s="63">
        <v>1</v>
      </c>
      <c r="T272" s="63" t="s">
        <v>70</v>
      </c>
      <c r="U272" s="63" t="s">
        <v>71</v>
      </c>
      <c r="AD272" s="81" t="s">
        <v>72</v>
      </c>
      <c r="AE272" s="81" t="s">
        <v>73</v>
      </c>
      <c r="AF272" s="81" t="s">
        <v>73</v>
      </c>
      <c r="AG272" s="81" t="s">
        <v>73</v>
      </c>
      <c r="AH272" s="81" t="s">
        <v>223</v>
      </c>
      <c r="AI272" s="81" t="s">
        <v>224</v>
      </c>
      <c r="AJ272" s="81" t="s">
        <v>223</v>
      </c>
      <c r="AK272" s="81"/>
      <c r="AL272" s="81"/>
      <c r="AM272" s="81"/>
      <c r="AN272" s="81"/>
    </row>
    <row r="273" spans="1:40" s="63" customFormat="1" ht="13.5" customHeight="1" x14ac:dyDescent="0.15">
      <c r="A273" s="63">
        <v>18004002</v>
      </c>
      <c r="B273" s="63" t="s">
        <v>74</v>
      </c>
      <c r="D273" s="63" t="str">
        <f t="shared" si="20"/>
        <v>180040</v>
      </c>
      <c r="E273" s="63" t="str">
        <f t="shared" si="21"/>
        <v>2</v>
      </c>
      <c r="F273" s="63">
        <v>3</v>
      </c>
      <c r="G273" s="63" t="s">
        <v>148</v>
      </c>
      <c r="H273" s="63" t="s">
        <v>59</v>
      </c>
      <c r="I273" s="63" t="s">
        <v>69</v>
      </c>
      <c r="J273" s="63">
        <v>5000</v>
      </c>
      <c r="K273" s="63">
        <v>500</v>
      </c>
      <c r="N273" s="63">
        <v>2</v>
      </c>
      <c r="T273" s="63" t="s">
        <v>70</v>
      </c>
      <c r="U273" s="63" t="s">
        <v>71</v>
      </c>
      <c r="AD273" s="81" t="s">
        <v>75</v>
      </c>
      <c r="AE273" s="81" t="s">
        <v>76</v>
      </c>
      <c r="AF273" s="81" t="s">
        <v>76</v>
      </c>
      <c r="AG273" s="81" t="s">
        <v>76</v>
      </c>
      <c r="AH273" s="87" t="s">
        <v>384</v>
      </c>
      <c r="AI273" s="81" t="s">
        <v>224</v>
      </c>
      <c r="AJ273" s="81" t="s">
        <v>223</v>
      </c>
      <c r="AK273" s="81"/>
      <c r="AL273" s="81"/>
      <c r="AM273" s="81"/>
      <c r="AN273" s="81"/>
    </row>
    <row r="274" spans="1:40" s="63" customFormat="1" ht="13.5" customHeight="1" x14ac:dyDescent="0.15">
      <c r="A274" s="63">
        <v>18004003</v>
      </c>
      <c r="B274" s="63" t="s">
        <v>77</v>
      </c>
      <c r="D274" s="63" t="str">
        <f t="shared" si="20"/>
        <v>180040</v>
      </c>
      <c r="E274" s="63" t="str">
        <f t="shared" si="21"/>
        <v>3</v>
      </c>
      <c r="F274" s="63">
        <v>3</v>
      </c>
      <c r="G274" s="63" t="s">
        <v>148</v>
      </c>
      <c r="H274" s="63" t="s">
        <v>59</v>
      </c>
      <c r="I274" s="63" t="s">
        <v>69</v>
      </c>
      <c r="J274" s="63">
        <v>5000</v>
      </c>
      <c r="K274" s="63">
        <v>800</v>
      </c>
      <c r="N274" s="63">
        <v>3</v>
      </c>
      <c r="T274" s="63" t="s">
        <v>70</v>
      </c>
      <c r="U274" s="63" t="s">
        <v>71</v>
      </c>
      <c r="AD274" s="81" t="s">
        <v>78</v>
      </c>
      <c r="AE274" s="81" t="s">
        <v>79</v>
      </c>
      <c r="AF274" s="81" t="s">
        <v>79</v>
      </c>
      <c r="AG274" s="81" t="s">
        <v>79</v>
      </c>
      <c r="AH274" s="81" t="s">
        <v>223</v>
      </c>
      <c r="AI274" s="81" t="s">
        <v>224</v>
      </c>
      <c r="AJ274" s="81" t="s">
        <v>223</v>
      </c>
      <c r="AK274" s="81"/>
      <c r="AL274" s="81"/>
      <c r="AM274" s="81"/>
      <c r="AN274" s="81"/>
    </row>
    <row r="275" spans="1:40" s="63" customFormat="1" ht="13.5" customHeight="1" x14ac:dyDescent="0.15">
      <c r="A275" s="63">
        <v>18005001</v>
      </c>
      <c r="B275" s="63" t="s">
        <v>80</v>
      </c>
      <c r="D275" s="63" t="str">
        <f t="shared" si="20"/>
        <v>180050</v>
      </c>
      <c r="E275" s="63" t="str">
        <f t="shared" si="21"/>
        <v>1</v>
      </c>
      <c r="F275" s="63">
        <v>3</v>
      </c>
      <c r="G275" s="63" t="s">
        <v>148</v>
      </c>
      <c r="H275" s="63" t="s">
        <v>59</v>
      </c>
      <c r="I275" s="63" t="s">
        <v>81</v>
      </c>
      <c r="J275" s="63">
        <v>5000</v>
      </c>
      <c r="K275" s="63">
        <v>250</v>
      </c>
      <c r="N275" s="63">
        <v>1</v>
      </c>
      <c r="T275" s="63" t="s">
        <v>70</v>
      </c>
      <c r="U275" s="63" t="s">
        <v>82</v>
      </c>
      <c r="AD275" s="81" t="s">
        <v>83</v>
      </c>
      <c r="AE275" s="81" t="s">
        <v>84</v>
      </c>
      <c r="AF275" s="81" t="s">
        <v>84</v>
      </c>
      <c r="AG275" s="81" t="s">
        <v>84</v>
      </c>
      <c r="AH275" s="81" t="s">
        <v>225</v>
      </c>
      <c r="AI275" s="81" t="s">
        <v>226</v>
      </c>
      <c r="AJ275" s="81" t="s">
        <v>225</v>
      </c>
      <c r="AK275" s="81"/>
      <c r="AL275" s="81"/>
      <c r="AM275" s="81"/>
      <c r="AN275" s="81"/>
    </row>
    <row r="276" spans="1:40" s="63" customFormat="1" ht="13.5" customHeight="1" x14ac:dyDescent="0.15">
      <c r="A276" s="63">
        <v>18005002</v>
      </c>
      <c r="B276" s="63" t="s">
        <v>80</v>
      </c>
      <c r="D276" s="63" t="str">
        <f t="shared" si="20"/>
        <v>180050</v>
      </c>
      <c r="E276" s="63" t="str">
        <f t="shared" si="21"/>
        <v>2</v>
      </c>
      <c r="F276" s="63">
        <v>3</v>
      </c>
      <c r="G276" s="63" t="s">
        <v>148</v>
      </c>
      <c r="H276" s="63" t="s">
        <v>59</v>
      </c>
      <c r="I276" s="63" t="s">
        <v>81</v>
      </c>
      <c r="J276" s="63">
        <v>5000</v>
      </c>
      <c r="K276" s="63">
        <v>500</v>
      </c>
      <c r="N276" s="63">
        <v>2</v>
      </c>
      <c r="T276" s="63" t="s">
        <v>70</v>
      </c>
      <c r="U276" s="63" t="s">
        <v>82</v>
      </c>
      <c r="AD276" s="81" t="s">
        <v>86</v>
      </c>
      <c r="AE276" s="81" t="s">
        <v>87</v>
      </c>
      <c r="AF276" s="81" t="s">
        <v>87</v>
      </c>
      <c r="AG276" s="81" t="s">
        <v>87</v>
      </c>
      <c r="AH276" s="81" t="s">
        <v>225</v>
      </c>
      <c r="AI276" s="81" t="s">
        <v>226</v>
      </c>
      <c r="AJ276" s="81" t="s">
        <v>225</v>
      </c>
      <c r="AK276" s="81"/>
      <c r="AL276" s="81"/>
      <c r="AM276" s="81"/>
      <c r="AN276" s="81"/>
    </row>
    <row r="277" spans="1:40" s="63" customFormat="1" ht="13.5" customHeight="1" x14ac:dyDescent="0.15">
      <c r="A277" s="63">
        <v>18005003</v>
      </c>
      <c r="B277" s="63" t="s">
        <v>80</v>
      </c>
      <c r="D277" s="63" t="str">
        <f t="shared" si="20"/>
        <v>180050</v>
      </c>
      <c r="E277" s="63" t="str">
        <f t="shared" si="21"/>
        <v>3</v>
      </c>
      <c r="F277" s="63">
        <v>3</v>
      </c>
      <c r="G277" s="63" t="s">
        <v>148</v>
      </c>
      <c r="H277" s="63" t="s">
        <v>59</v>
      </c>
      <c r="I277" s="63" t="s">
        <v>81</v>
      </c>
      <c r="J277" s="63">
        <v>5000</v>
      </c>
      <c r="K277" s="63">
        <v>800</v>
      </c>
      <c r="N277" s="63">
        <v>3</v>
      </c>
      <c r="T277" s="63" t="s">
        <v>70</v>
      </c>
      <c r="U277" s="63" t="s">
        <v>82</v>
      </c>
      <c r="AD277" s="81" t="s">
        <v>89</v>
      </c>
      <c r="AE277" s="81" t="s">
        <v>90</v>
      </c>
      <c r="AF277" s="81" t="s">
        <v>90</v>
      </c>
      <c r="AG277" s="81" t="s">
        <v>90</v>
      </c>
      <c r="AH277" s="81" t="s">
        <v>225</v>
      </c>
      <c r="AI277" s="81" t="s">
        <v>226</v>
      </c>
      <c r="AJ277" s="81" t="s">
        <v>225</v>
      </c>
      <c r="AK277" s="81"/>
      <c r="AL277" s="81"/>
      <c r="AM277" s="81"/>
      <c r="AN277" s="81"/>
    </row>
    <row r="278" spans="1:40" s="63" customFormat="1" ht="13.5" customHeight="1" x14ac:dyDescent="0.15">
      <c r="A278" s="63">
        <v>18006001</v>
      </c>
      <c r="B278" s="63" t="s">
        <v>159</v>
      </c>
      <c r="D278" s="63" t="str">
        <f t="shared" si="20"/>
        <v>180060</v>
      </c>
      <c r="E278" s="63" t="str">
        <f t="shared" si="21"/>
        <v>1</v>
      </c>
      <c r="F278" s="63">
        <v>1</v>
      </c>
      <c r="G278" s="63" t="s">
        <v>148</v>
      </c>
      <c r="H278" s="63" t="s">
        <v>40</v>
      </c>
      <c r="J278" s="63">
        <v>0</v>
      </c>
      <c r="K278" s="63">
        <v>0</v>
      </c>
      <c r="L278" s="78"/>
      <c r="M278" s="78"/>
      <c r="N278" s="63">
        <v>1</v>
      </c>
      <c r="T278" s="63" t="s">
        <v>92</v>
      </c>
      <c r="U278" s="63">
        <v>20000738</v>
      </c>
      <c r="V278" s="63">
        <v>0</v>
      </c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</row>
    <row r="279" spans="1:40" s="63" customFormat="1" ht="13.5" customHeight="1" x14ac:dyDescent="0.15">
      <c r="A279" s="63">
        <v>18011001</v>
      </c>
      <c r="B279" s="63" t="s">
        <v>101</v>
      </c>
      <c r="D279" s="63" t="str">
        <f t="shared" si="20"/>
        <v>180110</v>
      </c>
      <c r="E279" s="63" t="str">
        <f t="shared" si="21"/>
        <v>1</v>
      </c>
      <c r="F279" s="63">
        <v>1</v>
      </c>
      <c r="G279" s="63" t="s">
        <v>148</v>
      </c>
      <c r="H279" s="63" t="s">
        <v>40</v>
      </c>
      <c r="I279" s="63" t="s">
        <v>103</v>
      </c>
      <c r="J279" s="63">
        <v>5000</v>
      </c>
      <c r="K279" s="63">
        <v>220</v>
      </c>
      <c r="L279" s="80">
        <f>0.6*K279</f>
        <v>132</v>
      </c>
      <c r="M279" s="80"/>
      <c r="N279" s="63">
        <v>1</v>
      </c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</row>
    <row r="280" spans="1:40" s="63" customFormat="1" ht="13.5" customHeight="1" x14ac:dyDescent="0.15">
      <c r="A280" s="63">
        <v>18011101</v>
      </c>
      <c r="B280" s="63" t="s">
        <v>104</v>
      </c>
      <c r="D280" s="63" t="str">
        <f t="shared" si="20"/>
        <v>180111</v>
      </c>
      <c r="E280" s="63" t="str">
        <f t="shared" si="21"/>
        <v>1</v>
      </c>
      <c r="F280" s="63">
        <v>1</v>
      </c>
      <c r="G280" s="63" t="s">
        <v>148</v>
      </c>
      <c r="H280" s="63" t="s">
        <v>40</v>
      </c>
      <c r="J280" s="63">
        <v>0</v>
      </c>
      <c r="K280" s="63">
        <v>0</v>
      </c>
      <c r="L280" s="78"/>
      <c r="M280" s="78"/>
      <c r="N280" s="63">
        <v>2</v>
      </c>
      <c r="T280" s="63" t="s">
        <v>105</v>
      </c>
      <c r="U280" s="63">
        <v>20000738</v>
      </c>
      <c r="V280" s="63" t="s">
        <v>106</v>
      </c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</row>
    <row r="281" spans="1:40" s="63" customFormat="1" ht="13.5" customHeight="1" x14ac:dyDescent="0.15">
      <c r="A281" s="63">
        <v>18012001</v>
      </c>
      <c r="B281" s="63" t="s">
        <v>107</v>
      </c>
      <c r="D281" s="63" t="str">
        <f t="shared" si="20"/>
        <v>180120</v>
      </c>
      <c r="E281" s="63" t="str">
        <f t="shared" si="21"/>
        <v>1</v>
      </c>
      <c r="F281" s="63">
        <v>1</v>
      </c>
      <c r="G281" s="63" t="s">
        <v>148</v>
      </c>
      <c r="H281" s="63" t="s">
        <v>40</v>
      </c>
      <c r="I281" s="63" t="s">
        <v>103</v>
      </c>
      <c r="J281" s="63">
        <v>5000</v>
      </c>
      <c r="K281" s="63">
        <v>190</v>
      </c>
      <c r="L281" s="80">
        <f>0.6*K281</f>
        <v>114</v>
      </c>
      <c r="M281" s="80"/>
      <c r="N281" s="63">
        <v>1</v>
      </c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</row>
    <row r="282" spans="1:40" s="63" customFormat="1" ht="13.5" customHeight="1" x14ac:dyDescent="0.15">
      <c r="A282" s="63">
        <v>18012101</v>
      </c>
      <c r="B282" s="63" t="s">
        <v>108</v>
      </c>
      <c r="D282" s="63" t="str">
        <f t="shared" si="20"/>
        <v>180121</v>
      </c>
      <c r="E282" s="63" t="str">
        <f t="shared" si="21"/>
        <v>1</v>
      </c>
      <c r="F282" s="63">
        <v>1</v>
      </c>
      <c r="G282" s="63" t="s">
        <v>148</v>
      </c>
      <c r="H282" s="63" t="s">
        <v>40</v>
      </c>
      <c r="J282" s="63">
        <v>0</v>
      </c>
      <c r="K282" s="63">
        <v>0</v>
      </c>
      <c r="L282" s="78"/>
      <c r="M282" s="78"/>
      <c r="N282" s="63">
        <v>2</v>
      </c>
      <c r="T282" s="63" t="s">
        <v>105</v>
      </c>
      <c r="U282" s="63">
        <v>20000739</v>
      </c>
      <c r="V282" s="63" t="s">
        <v>106</v>
      </c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</row>
    <row r="283" spans="1:40" s="63" customFormat="1" ht="13.5" customHeight="1" x14ac:dyDescent="0.15">
      <c r="A283" s="63">
        <v>18013001</v>
      </c>
      <c r="B283" s="63" t="s">
        <v>109</v>
      </c>
      <c r="D283" s="63" t="str">
        <f t="shared" si="20"/>
        <v>180130</v>
      </c>
      <c r="E283" s="63" t="str">
        <f t="shared" si="21"/>
        <v>1</v>
      </c>
      <c r="F283" s="63">
        <v>1</v>
      </c>
      <c r="G283" s="63" t="s">
        <v>148</v>
      </c>
      <c r="H283" s="63" t="s">
        <v>40</v>
      </c>
      <c r="I283" s="63" t="s">
        <v>103</v>
      </c>
      <c r="J283" s="63">
        <v>5000</v>
      </c>
      <c r="K283" s="63">
        <v>150</v>
      </c>
      <c r="L283" s="80">
        <f>0.6*K283</f>
        <v>90</v>
      </c>
      <c r="M283" s="80"/>
      <c r="N283" s="63">
        <v>2</v>
      </c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</row>
    <row r="284" spans="1:40" s="63" customFormat="1" ht="13.5" customHeight="1" x14ac:dyDescent="0.15">
      <c r="A284" s="63">
        <v>18013101</v>
      </c>
      <c r="B284" s="63" t="s">
        <v>110</v>
      </c>
      <c r="D284" s="63" t="str">
        <f t="shared" si="20"/>
        <v>180131</v>
      </c>
      <c r="E284" s="63" t="str">
        <f t="shared" si="21"/>
        <v>1</v>
      </c>
      <c r="F284" s="63">
        <v>1</v>
      </c>
      <c r="G284" s="63" t="s">
        <v>148</v>
      </c>
      <c r="H284" s="63" t="s">
        <v>40</v>
      </c>
      <c r="J284" s="63">
        <v>0</v>
      </c>
      <c r="K284" s="63">
        <v>0</v>
      </c>
      <c r="L284" s="78"/>
      <c r="M284" s="78"/>
      <c r="N284" s="63">
        <v>2</v>
      </c>
      <c r="T284" s="63" t="s">
        <v>105</v>
      </c>
      <c r="U284" s="63">
        <v>20000740</v>
      </c>
      <c r="V284" s="63" t="s">
        <v>106</v>
      </c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</row>
    <row r="285" spans="1:40" s="63" customFormat="1" ht="13.5" customHeight="1" x14ac:dyDescent="0.15">
      <c r="A285" s="63">
        <v>18013201</v>
      </c>
      <c r="B285" s="63" t="s">
        <v>111</v>
      </c>
      <c r="D285" s="63" t="str">
        <f t="shared" si="20"/>
        <v>180132</v>
      </c>
      <c r="E285" s="63" t="str">
        <f t="shared" si="21"/>
        <v>1</v>
      </c>
      <c r="F285" s="63">
        <v>1</v>
      </c>
      <c r="G285" s="63" t="s">
        <v>148</v>
      </c>
      <c r="H285" s="63" t="s">
        <v>40</v>
      </c>
      <c r="J285" s="63">
        <v>0</v>
      </c>
      <c r="K285" s="63">
        <v>0</v>
      </c>
      <c r="L285" s="78"/>
      <c r="M285" s="78"/>
      <c r="N285" s="63">
        <v>3</v>
      </c>
      <c r="T285" s="63" t="s">
        <v>105</v>
      </c>
      <c r="U285" s="63">
        <v>20000740</v>
      </c>
      <c r="V285" s="63" t="s">
        <v>112</v>
      </c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</row>
    <row r="286" spans="1:40" s="63" customFormat="1" ht="13.5" customHeight="1" x14ac:dyDescent="0.15">
      <c r="A286" s="63">
        <v>18014001</v>
      </c>
      <c r="B286" s="63" t="s">
        <v>113</v>
      </c>
      <c r="D286" s="63" t="str">
        <f t="shared" si="20"/>
        <v>180140</v>
      </c>
      <c r="E286" s="63" t="str">
        <f t="shared" si="21"/>
        <v>1</v>
      </c>
      <c r="F286" s="63">
        <v>1</v>
      </c>
      <c r="G286" s="63" t="s">
        <v>148</v>
      </c>
      <c r="H286" s="63" t="s">
        <v>40</v>
      </c>
      <c r="I286" s="63" t="s">
        <v>103</v>
      </c>
      <c r="J286" s="63">
        <v>5000</v>
      </c>
      <c r="K286" s="63">
        <v>190</v>
      </c>
      <c r="L286" s="80">
        <f>0.6*K286</f>
        <v>114</v>
      </c>
      <c r="M286" s="80"/>
      <c r="N286" s="63">
        <v>2</v>
      </c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</row>
    <row r="287" spans="1:40" s="63" customFormat="1" ht="13.5" customHeight="1" x14ac:dyDescent="0.15">
      <c r="A287" s="63">
        <v>18014101</v>
      </c>
      <c r="B287" s="63" t="s">
        <v>114</v>
      </c>
      <c r="D287" s="63" t="str">
        <f t="shared" si="20"/>
        <v>180141</v>
      </c>
      <c r="E287" s="63" t="str">
        <f t="shared" si="21"/>
        <v>1</v>
      </c>
      <c r="F287" s="63">
        <v>1</v>
      </c>
      <c r="G287" s="63" t="s">
        <v>148</v>
      </c>
      <c r="H287" s="63" t="s">
        <v>40</v>
      </c>
      <c r="J287" s="63">
        <v>0</v>
      </c>
      <c r="K287" s="63">
        <v>0</v>
      </c>
      <c r="L287" s="78"/>
      <c r="M287" s="78"/>
      <c r="N287" s="63">
        <v>2</v>
      </c>
      <c r="T287" s="63" t="s">
        <v>105</v>
      </c>
      <c r="U287" s="63">
        <v>20000741</v>
      </c>
      <c r="V287" s="63" t="s">
        <v>106</v>
      </c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</row>
    <row r="288" spans="1:40" s="63" customFormat="1" ht="13.5" customHeight="1" x14ac:dyDescent="0.15">
      <c r="A288" s="63">
        <v>18014201</v>
      </c>
      <c r="B288" s="63" t="s">
        <v>115</v>
      </c>
      <c r="D288" s="63" t="str">
        <f t="shared" si="20"/>
        <v>180142</v>
      </c>
      <c r="E288" s="63" t="str">
        <f t="shared" si="21"/>
        <v>1</v>
      </c>
      <c r="F288" s="63">
        <v>1</v>
      </c>
      <c r="G288" s="63" t="s">
        <v>148</v>
      </c>
      <c r="H288" s="63" t="s">
        <v>40</v>
      </c>
      <c r="J288" s="63">
        <v>0</v>
      </c>
      <c r="K288" s="63">
        <v>0</v>
      </c>
      <c r="L288" s="78"/>
      <c r="M288" s="78"/>
      <c r="N288" s="63">
        <v>3</v>
      </c>
      <c r="T288" s="63" t="s">
        <v>105</v>
      </c>
      <c r="U288" s="63">
        <v>20000741</v>
      </c>
      <c r="V288" s="63" t="s">
        <v>112</v>
      </c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</row>
    <row r="289" spans="1:40" s="63" customFormat="1" ht="13.5" customHeight="1" x14ac:dyDescent="0.15">
      <c r="A289" s="63">
        <v>18015001</v>
      </c>
      <c r="B289" s="63" t="s">
        <v>118</v>
      </c>
      <c r="D289" s="63" t="str">
        <f t="shared" si="20"/>
        <v>180150</v>
      </c>
      <c r="E289" s="63" t="str">
        <f t="shared" si="21"/>
        <v>1</v>
      </c>
      <c r="F289" s="63">
        <v>1</v>
      </c>
      <c r="G289" s="63" t="s">
        <v>148</v>
      </c>
      <c r="H289" s="63" t="s">
        <v>40</v>
      </c>
      <c r="I289" s="63" t="s">
        <v>103</v>
      </c>
      <c r="J289" s="63">
        <v>5000</v>
      </c>
      <c r="K289" s="63">
        <v>260</v>
      </c>
      <c r="L289" s="80">
        <f>0.6*K289</f>
        <v>156</v>
      </c>
      <c r="M289" s="80"/>
      <c r="N289" s="63">
        <v>2</v>
      </c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</row>
    <row r="290" spans="1:40" s="63" customFormat="1" ht="13.5" customHeight="1" x14ac:dyDescent="0.15">
      <c r="A290" s="63">
        <v>18015101</v>
      </c>
      <c r="B290" s="63" t="s">
        <v>120</v>
      </c>
      <c r="D290" s="63" t="str">
        <f t="shared" si="20"/>
        <v>180151</v>
      </c>
      <c r="E290" s="63" t="str">
        <f t="shared" si="21"/>
        <v>1</v>
      </c>
      <c r="F290" s="63">
        <v>1</v>
      </c>
      <c r="G290" s="63" t="s">
        <v>148</v>
      </c>
      <c r="H290" s="63" t="s">
        <v>40</v>
      </c>
      <c r="J290" s="63">
        <v>0</v>
      </c>
      <c r="K290" s="63">
        <v>0</v>
      </c>
      <c r="L290" s="78"/>
      <c r="M290" s="78"/>
      <c r="N290" s="63">
        <v>2</v>
      </c>
      <c r="T290" s="63" t="s">
        <v>105</v>
      </c>
      <c r="U290" s="63">
        <v>20000742</v>
      </c>
      <c r="V290" s="63" t="s">
        <v>106</v>
      </c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</row>
    <row r="291" spans="1:40" s="63" customFormat="1" ht="13.5" customHeight="1" x14ac:dyDescent="0.15">
      <c r="A291" s="63">
        <v>18015201</v>
      </c>
      <c r="B291" s="63" t="s">
        <v>161</v>
      </c>
      <c r="D291" s="63" t="str">
        <f t="shared" si="20"/>
        <v>180152</v>
      </c>
      <c r="E291" s="63" t="str">
        <f t="shared" si="21"/>
        <v>1</v>
      </c>
      <c r="F291" s="63">
        <v>1</v>
      </c>
      <c r="G291" s="63" t="s">
        <v>148</v>
      </c>
      <c r="H291" s="63" t="s">
        <v>40</v>
      </c>
      <c r="J291" s="63">
        <v>0</v>
      </c>
      <c r="K291" s="63">
        <v>0</v>
      </c>
      <c r="L291" s="78"/>
      <c r="M291" s="78"/>
      <c r="N291" s="63">
        <v>2</v>
      </c>
      <c r="T291" s="63" t="s">
        <v>105</v>
      </c>
      <c r="U291" s="63">
        <v>20000742</v>
      </c>
      <c r="V291" s="63" t="s">
        <v>112</v>
      </c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</row>
    <row r="292" spans="1:40" s="63" customFormat="1" ht="13.5" customHeight="1" x14ac:dyDescent="0.15">
      <c r="A292" s="63">
        <v>18015301</v>
      </c>
      <c r="B292" s="63" t="s">
        <v>162</v>
      </c>
      <c r="D292" s="63" t="str">
        <f t="shared" si="20"/>
        <v>180153</v>
      </c>
      <c r="E292" s="63" t="str">
        <f t="shared" si="21"/>
        <v>1</v>
      </c>
      <c r="F292" s="63">
        <v>1</v>
      </c>
      <c r="G292" s="63" t="s">
        <v>148</v>
      </c>
      <c r="H292" s="63" t="s">
        <v>40</v>
      </c>
      <c r="J292" s="63">
        <v>0</v>
      </c>
      <c r="K292" s="63">
        <v>0</v>
      </c>
      <c r="L292" s="78"/>
      <c r="M292" s="78"/>
      <c r="N292" s="63">
        <v>3</v>
      </c>
      <c r="T292" s="63" t="s">
        <v>105</v>
      </c>
      <c r="U292" s="63">
        <v>20000742</v>
      </c>
      <c r="V292" s="63" t="s">
        <v>117</v>
      </c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</row>
    <row r="293" spans="1:40" s="63" customFormat="1" ht="13.5" customHeight="1" x14ac:dyDescent="0.15">
      <c r="A293" s="63">
        <v>18016001</v>
      </c>
      <c r="B293" s="63" t="s">
        <v>121</v>
      </c>
      <c r="D293" s="63" t="str">
        <f t="shared" si="20"/>
        <v>180160</v>
      </c>
      <c r="E293" s="63" t="str">
        <f t="shared" si="21"/>
        <v>1</v>
      </c>
      <c r="F293" s="63">
        <v>1</v>
      </c>
      <c r="G293" s="63" t="s">
        <v>148</v>
      </c>
      <c r="H293" s="63" t="s">
        <v>40</v>
      </c>
      <c r="I293" s="63" t="s">
        <v>103</v>
      </c>
      <c r="J293" s="63">
        <v>5000</v>
      </c>
      <c r="K293" s="63">
        <v>250</v>
      </c>
      <c r="L293" s="80">
        <f>0.6*K293</f>
        <v>150</v>
      </c>
      <c r="M293" s="80"/>
      <c r="N293" s="63">
        <v>2</v>
      </c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</row>
    <row r="294" spans="1:40" s="63" customFormat="1" ht="13.5" customHeight="1" x14ac:dyDescent="0.15">
      <c r="A294" s="63">
        <v>18016101</v>
      </c>
      <c r="B294" s="63" t="s">
        <v>123</v>
      </c>
      <c r="D294" s="63" t="str">
        <f t="shared" si="20"/>
        <v>180161</v>
      </c>
      <c r="E294" s="63" t="str">
        <f t="shared" si="21"/>
        <v>1</v>
      </c>
      <c r="F294" s="63">
        <v>1</v>
      </c>
      <c r="G294" s="63" t="s">
        <v>148</v>
      </c>
      <c r="H294" s="63" t="s">
        <v>40</v>
      </c>
      <c r="J294" s="63">
        <v>0</v>
      </c>
      <c r="K294" s="63">
        <v>0</v>
      </c>
      <c r="L294" s="78"/>
      <c r="M294" s="78"/>
      <c r="N294" s="63">
        <v>2</v>
      </c>
      <c r="T294" s="63" t="s">
        <v>105</v>
      </c>
      <c r="U294" s="63">
        <v>20000743</v>
      </c>
      <c r="V294" s="63" t="s">
        <v>106</v>
      </c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</row>
    <row r="295" spans="1:40" s="63" customFormat="1" ht="13.5" customHeight="1" x14ac:dyDescent="0.15">
      <c r="A295" s="63">
        <v>18017001</v>
      </c>
      <c r="B295" s="63" t="s">
        <v>126</v>
      </c>
      <c r="D295" s="63" t="str">
        <f t="shared" si="20"/>
        <v>180170</v>
      </c>
      <c r="E295" s="63" t="str">
        <f t="shared" si="21"/>
        <v>1</v>
      </c>
      <c r="F295" s="63">
        <v>1</v>
      </c>
      <c r="G295" s="63" t="s">
        <v>148</v>
      </c>
      <c r="H295" s="63" t="s">
        <v>40</v>
      </c>
      <c r="I295" s="63" t="s">
        <v>103</v>
      </c>
      <c r="J295" s="63">
        <v>5000</v>
      </c>
      <c r="K295" s="63">
        <v>200</v>
      </c>
      <c r="L295" s="80">
        <f>0.6*K295</f>
        <v>120</v>
      </c>
      <c r="M295" s="80"/>
      <c r="N295" s="63">
        <v>2</v>
      </c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</row>
    <row r="296" spans="1:40" s="63" customFormat="1" ht="13.5" customHeight="1" x14ac:dyDescent="0.15">
      <c r="A296" s="63">
        <v>18017101</v>
      </c>
      <c r="B296" s="63" t="s">
        <v>128</v>
      </c>
      <c r="D296" s="63" t="str">
        <f t="shared" si="20"/>
        <v>180171</v>
      </c>
      <c r="E296" s="63" t="str">
        <f t="shared" si="21"/>
        <v>1</v>
      </c>
      <c r="F296" s="63">
        <v>1</v>
      </c>
      <c r="G296" s="63" t="s">
        <v>148</v>
      </c>
      <c r="H296" s="63" t="s">
        <v>40</v>
      </c>
      <c r="J296" s="63">
        <v>0</v>
      </c>
      <c r="K296" s="63">
        <v>0</v>
      </c>
      <c r="L296" s="78"/>
      <c r="M296" s="78"/>
      <c r="N296" s="63">
        <v>2</v>
      </c>
      <c r="T296" s="63" t="s">
        <v>105</v>
      </c>
      <c r="U296" s="63">
        <v>20000744</v>
      </c>
      <c r="V296" s="63" t="s">
        <v>106</v>
      </c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</row>
    <row r="297" spans="1:40" s="63" customFormat="1" ht="13.5" customHeight="1" x14ac:dyDescent="0.15">
      <c r="A297" s="63">
        <v>18018001</v>
      </c>
      <c r="B297" s="63" t="s">
        <v>129</v>
      </c>
      <c r="D297" s="63" t="str">
        <f t="shared" si="20"/>
        <v>180180</v>
      </c>
      <c r="E297" s="63" t="str">
        <f t="shared" si="21"/>
        <v>1</v>
      </c>
      <c r="F297" s="63">
        <v>1</v>
      </c>
      <c r="G297" s="63" t="s">
        <v>148</v>
      </c>
      <c r="H297" s="63" t="s">
        <v>40</v>
      </c>
      <c r="I297" s="63" t="s">
        <v>103</v>
      </c>
      <c r="J297" s="63">
        <v>5000</v>
      </c>
      <c r="K297" s="63">
        <v>340</v>
      </c>
      <c r="L297" s="80">
        <f>0.6*K297</f>
        <v>204</v>
      </c>
      <c r="M297" s="80"/>
      <c r="N297" s="63">
        <v>2</v>
      </c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</row>
    <row r="298" spans="1:40" s="63" customFormat="1" ht="13.5" customHeight="1" x14ac:dyDescent="0.15">
      <c r="A298" s="63">
        <v>18018101</v>
      </c>
      <c r="B298" s="63" t="s">
        <v>164</v>
      </c>
      <c r="D298" s="63" t="str">
        <f t="shared" si="20"/>
        <v>180181</v>
      </c>
      <c r="E298" s="63" t="str">
        <f t="shared" si="21"/>
        <v>1</v>
      </c>
      <c r="F298" s="63">
        <v>1</v>
      </c>
      <c r="G298" s="63" t="s">
        <v>148</v>
      </c>
      <c r="H298" s="63" t="s">
        <v>40</v>
      </c>
      <c r="J298" s="63">
        <v>0</v>
      </c>
      <c r="K298" s="63">
        <v>0</v>
      </c>
      <c r="L298" s="78"/>
      <c r="M298" s="78"/>
      <c r="N298" s="63">
        <v>3</v>
      </c>
      <c r="T298" s="63" t="s">
        <v>105</v>
      </c>
      <c r="U298" s="63">
        <v>20000745</v>
      </c>
      <c r="V298" s="63" t="s">
        <v>165</v>
      </c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</row>
    <row r="299" spans="1:40" s="63" customFormat="1" ht="13.5" customHeight="1" x14ac:dyDescent="0.15">
      <c r="A299" s="63">
        <v>18019001</v>
      </c>
      <c r="B299" s="63" t="s">
        <v>131</v>
      </c>
      <c r="D299" s="63" t="str">
        <f t="shared" si="20"/>
        <v>180190</v>
      </c>
      <c r="E299" s="63" t="str">
        <f t="shared" si="21"/>
        <v>1</v>
      </c>
      <c r="F299" s="63">
        <v>1</v>
      </c>
      <c r="G299" s="63" t="s">
        <v>148</v>
      </c>
      <c r="H299" s="63" t="s">
        <v>40</v>
      </c>
      <c r="I299" s="63" t="s">
        <v>103</v>
      </c>
      <c r="J299" s="63">
        <v>5000</v>
      </c>
      <c r="K299" s="63">
        <v>320</v>
      </c>
      <c r="L299" s="80">
        <f>0.6*K299</f>
        <v>192</v>
      </c>
      <c r="M299" s="80"/>
      <c r="N299" s="63">
        <v>3</v>
      </c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</row>
    <row r="300" spans="1:40" s="63" customFormat="1" ht="13.5" customHeight="1" x14ac:dyDescent="0.15">
      <c r="A300" s="63">
        <v>18019101</v>
      </c>
      <c r="B300" s="63" t="s">
        <v>132</v>
      </c>
      <c r="D300" s="63" t="str">
        <f t="shared" ref="D300:D308" si="24">LEFT(A300,6)</f>
        <v>180191</v>
      </c>
      <c r="E300" s="63" t="str">
        <f t="shared" ref="E300:E308" si="25">RIGHT(A300,1)</f>
        <v>1</v>
      </c>
      <c r="F300" s="63">
        <v>1</v>
      </c>
      <c r="G300" s="63" t="s">
        <v>148</v>
      </c>
      <c r="H300" s="63" t="s">
        <v>40</v>
      </c>
      <c r="J300" s="63">
        <v>0</v>
      </c>
      <c r="K300" s="63">
        <v>0</v>
      </c>
      <c r="L300" s="78"/>
      <c r="M300" s="78"/>
      <c r="N300" s="63">
        <v>3</v>
      </c>
      <c r="T300" s="63" t="s">
        <v>105</v>
      </c>
      <c r="U300" s="63">
        <v>20000746</v>
      </c>
      <c r="V300" s="63" t="s">
        <v>106</v>
      </c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</row>
    <row r="301" spans="1:40" s="63" customFormat="1" ht="13.5" customHeight="1" x14ac:dyDescent="0.15">
      <c r="A301" s="63">
        <v>18020001</v>
      </c>
      <c r="B301" s="63" t="s">
        <v>133</v>
      </c>
      <c r="D301" s="63" t="str">
        <f t="shared" si="24"/>
        <v>180200</v>
      </c>
      <c r="E301" s="63" t="str">
        <f t="shared" si="25"/>
        <v>1</v>
      </c>
      <c r="F301" s="63">
        <v>1</v>
      </c>
      <c r="G301" s="63" t="s">
        <v>148</v>
      </c>
      <c r="H301" s="63" t="s">
        <v>40</v>
      </c>
      <c r="I301" s="63" t="s">
        <v>103</v>
      </c>
      <c r="J301" s="63">
        <v>5000</v>
      </c>
      <c r="K301" s="63">
        <v>440</v>
      </c>
      <c r="L301" s="80">
        <f>0.6*K301</f>
        <v>264</v>
      </c>
      <c r="M301" s="80"/>
      <c r="N301" s="63">
        <v>3</v>
      </c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</row>
    <row r="302" spans="1:40" s="63" customFormat="1" ht="13.5" customHeight="1" x14ac:dyDescent="0.15">
      <c r="A302" s="63">
        <v>18020101</v>
      </c>
      <c r="B302" s="63" t="s">
        <v>134</v>
      </c>
      <c r="D302" s="63" t="str">
        <f t="shared" si="24"/>
        <v>180201</v>
      </c>
      <c r="E302" s="63" t="str">
        <f t="shared" si="25"/>
        <v>1</v>
      </c>
      <c r="F302" s="63">
        <v>1</v>
      </c>
      <c r="G302" s="63" t="s">
        <v>148</v>
      </c>
      <c r="H302" s="63" t="s">
        <v>40</v>
      </c>
      <c r="J302" s="63">
        <v>0</v>
      </c>
      <c r="K302" s="63">
        <v>0</v>
      </c>
      <c r="N302" s="63">
        <v>3</v>
      </c>
      <c r="T302" s="63" t="s">
        <v>105</v>
      </c>
      <c r="U302" s="63">
        <v>20000747</v>
      </c>
      <c r="V302" s="63" t="s">
        <v>106</v>
      </c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</row>
    <row r="303" spans="1:40" s="63" customFormat="1" ht="13.5" customHeight="1" x14ac:dyDescent="0.15">
      <c r="A303" s="63">
        <v>18021001</v>
      </c>
      <c r="B303" s="63" t="s">
        <v>135</v>
      </c>
      <c r="D303" s="63" t="str">
        <f t="shared" si="24"/>
        <v>180210</v>
      </c>
      <c r="E303" s="63" t="str">
        <f t="shared" si="25"/>
        <v>1</v>
      </c>
      <c r="F303" s="63">
        <v>1</v>
      </c>
      <c r="G303" s="63" t="s">
        <v>148</v>
      </c>
      <c r="H303" s="63" t="s">
        <v>40</v>
      </c>
      <c r="I303" s="63" t="s">
        <v>136</v>
      </c>
      <c r="J303" s="63">
        <v>5000</v>
      </c>
      <c r="K303" s="63">
        <v>250</v>
      </c>
      <c r="N303" s="63">
        <v>1</v>
      </c>
      <c r="P303" s="63">
        <v>3</v>
      </c>
      <c r="Q303" s="63">
        <v>1000</v>
      </c>
      <c r="R303" s="63">
        <v>-10000</v>
      </c>
      <c r="AD303" s="81" t="s">
        <v>166</v>
      </c>
      <c r="AE303" s="81" t="s">
        <v>138</v>
      </c>
      <c r="AF303" s="81" t="s">
        <v>138</v>
      </c>
      <c r="AG303" s="81" t="s">
        <v>138</v>
      </c>
      <c r="AH303" s="81" t="s">
        <v>139</v>
      </c>
      <c r="AI303" s="81" t="s">
        <v>139</v>
      </c>
      <c r="AJ303" s="81" t="s">
        <v>139</v>
      </c>
      <c r="AK303" s="81" t="s">
        <v>167</v>
      </c>
      <c r="AL303" s="81" t="s">
        <v>168</v>
      </c>
      <c r="AM303" s="81"/>
      <c r="AN303" s="81"/>
    </row>
    <row r="304" spans="1:40" s="63" customFormat="1" ht="13.5" customHeight="1" x14ac:dyDescent="0.15">
      <c r="A304" s="63">
        <v>18021101</v>
      </c>
      <c r="B304" s="63" t="s">
        <v>142</v>
      </c>
      <c r="D304" s="63" t="str">
        <f t="shared" si="24"/>
        <v>180211</v>
      </c>
      <c r="E304" s="63" t="str">
        <f t="shared" si="25"/>
        <v>1</v>
      </c>
      <c r="F304" s="63">
        <v>1</v>
      </c>
      <c r="G304" s="63" t="s">
        <v>148</v>
      </c>
      <c r="H304" s="63" t="s">
        <v>40</v>
      </c>
      <c r="J304" s="63">
        <v>0</v>
      </c>
      <c r="K304" s="63">
        <v>0</v>
      </c>
      <c r="N304" s="63">
        <v>2</v>
      </c>
      <c r="T304" s="63" t="s">
        <v>105</v>
      </c>
      <c r="U304" s="63">
        <v>20000749</v>
      </c>
      <c r="V304" s="63" t="s">
        <v>106</v>
      </c>
    </row>
    <row r="305" spans="1:40" s="63" customFormat="1" ht="13.5" customHeight="1" x14ac:dyDescent="0.15">
      <c r="A305" s="63">
        <v>18021201</v>
      </c>
      <c r="B305" s="63" t="s">
        <v>143</v>
      </c>
      <c r="D305" s="63" t="str">
        <f t="shared" si="24"/>
        <v>180212</v>
      </c>
      <c r="E305" s="63" t="str">
        <f t="shared" si="25"/>
        <v>1</v>
      </c>
      <c r="F305" s="63">
        <v>1</v>
      </c>
      <c r="G305" s="63" t="s">
        <v>148</v>
      </c>
      <c r="H305" s="63" t="s">
        <v>40</v>
      </c>
      <c r="J305" s="63">
        <v>0</v>
      </c>
      <c r="K305" s="63">
        <v>0</v>
      </c>
      <c r="N305" s="63">
        <v>3</v>
      </c>
      <c r="T305" s="63" t="s">
        <v>105</v>
      </c>
      <c r="U305" s="63">
        <v>20000749</v>
      </c>
      <c r="V305" s="63" t="s">
        <v>112</v>
      </c>
    </row>
    <row r="306" spans="1:40" s="63" customFormat="1" ht="13.5" customHeight="1" x14ac:dyDescent="0.15">
      <c r="A306" s="63">
        <v>18022001</v>
      </c>
      <c r="B306" s="63" t="s">
        <v>144</v>
      </c>
      <c r="D306" s="63" t="str">
        <f t="shared" si="24"/>
        <v>180220</v>
      </c>
      <c r="E306" s="63" t="str">
        <f t="shared" si="25"/>
        <v>1</v>
      </c>
      <c r="F306" s="63">
        <v>1</v>
      </c>
      <c r="G306" s="63" t="s">
        <v>148</v>
      </c>
      <c r="H306" s="63" t="s">
        <v>40</v>
      </c>
      <c r="I306" s="63" t="s">
        <v>145</v>
      </c>
      <c r="J306" s="63">
        <v>5000</v>
      </c>
      <c r="K306" s="63">
        <v>700</v>
      </c>
      <c r="N306" s="63">
        <v>1</v>
      </c>
      <c r="Q306" s="63">
        <v>1000</v>
      </c>
      <c r="R306" s="63">
        <v>-10000</v>
      </c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</row>
    <row r="307" spans="1:40" s="63" customFormat="1" ht="13.5" customHeight="1" x14ac:dyDescent="0.15">
      <c r="A307" s="63">
        <v>18022101</v>
      </c>
      <c r="B307" s="63" t="s">
        <v>146</v>
      </c>
      <c r="D307" s="63" t="str">
        <f t="shared" si="24"/>
        <v>180221</v>
      </c>
      <c r="E307" s="63" t="str">
        <f t="shared" si="25"/>
        <v>1</v>
      </c>
      <c r="F307" s="63">
        <v>1</v>
      </c>
      <c r="G307" s="63" t="s">
        <v>39</v>
      </c>
      <c r="H307" s="63" t="s">
        <v>40</v>
      </c>
      <c r="J307" s="63">
        <v>0</v>
      </c>
      <c r="K307" s="63">
        <v>0</v>
      </c>
      <c r="L307" s="78"/>
      <c r="M307" s="78"/>
      <c r="N307" s="63">
        <v>2</v>
      </c>
      <c r="T307" s="63" t="s">
        <v>105</v>
      </c>
      <c r="U307" s="63">
        <v>20000748</v>
      </c>
      <c r="V307" s="63" t="s">
        <v>106</v>
      </c>
    </row>
    <row r="308" spans="1:40" s="63" customFormat="1" ht="13.5" customHeight="1" x14ac:dyDescent="0.15">
      <c r="A308" s="63">
        <v>18022201</v>
      </c>
      <c r="B308" s="63" t="s">
        <v>147</v>
      </c>
      <c r="D308" s="63" t="str">
        <f t="shared" si="24"/>
        <v>180222</v>
      </c>
      <c r="E308" s="63" t="str">
        <f t="shared" si="25"/>
        <v>1</v>
      </c>
      <c r="F308" s="63">
        <v>1</v>
      </c>
      <c r="G308" s="63" t="s">
        <v>39</v>
      </c>
      <c r="H308" s="63" t="s">
        <v>40</v>
      </c>
      <c r="J308" s="63">
        <v>0</v>
      </c>
      <c r="K308" s="63">
        <v>0</v>
      </c>
      <c r="L308" s="78"/>
      <c r="M308" s="78"/>
      <c r="N308" s="63">
        <v>3</v>
      </c>
      <c r="T308" s="63" t="s">
        <v>105</v>
      </c>
      <c r="U308" s="63">
        <v>20000748</v>
      </c>
      <c r="V308" s="63" t="s">
        <v>112</v>
      </c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1"/>
  <sheetViews>
    <sheetView workbookViewId="0">
      <pane xSplit="3" topLeftCell="Y1" activePane="topRight" state="frozen"/>
      <selection pane="topRight" activeCell="AC12" sqref="AC12"/>
    </sheetView>
  </sheetViews>
  <sheetFormatPr defaultColWidth="8.75" defaultRowHeight="13.5" x14ac:dyDescent="0.15"/>
  <cols>
    <col min="1" max="1" width="14.25" style="38" customWidth="1"/>
    <col min="2" max="2" width="41.625" style="38" customWidth="1"/>
    <col min="3" max="3" width="8.75" style="38"/>
    <col min="4" max="4" width="14.125" style="38" customWidth="1"/>
    <col min="5" max="6" width="13.125" style="38" customWidth="1"/>
    <col min="7" max="7" width="17.375" style="38" customWidth="1"/>
    <col min="8" max="8" width="15.625" style="38" customWidth="1"/>
    <col min="9" max="9" width="17.375" style="38" customWidth="1"/>
    <col min="10" max="10" width="14.875" style="38" customWidth="1"/>
    <col min="11" max="24" width="17.375" style="38" customWidth="1"/>
    <col min="25" max="34" width="18.5" style="38" customWidth="1"/>
    <col min="35" max="46" width="19.125" style="38" customWidth="1"/>
    <col min="47" max="61" width="12.875" style="38" customWidth="1"/>
    <col min="62" max="16384" width="8.75" style="38"/>
  </cols>
  <sheetData>
    <row r="1" spans="1:62" s="29" customFormat="1" ht="40.5" x14ac:dyDescent="0.15">
      <c r="A1" s="39" t="s">
        <v>232</v>
      </c>
      <c r="B1" s="39" t="s">
        <v>233</v>
      </c>
      <c r="C1" s="39" t="s">
        <v>1</v>
      </c>
      <c r="D1" s="39" t="s">
        <v>234</v>
      </c>
      <c r="E1" s="39" t="s">
        <v>235</v>
      </c>
      <c r="F1" s="39" t="s">
        <v>236</v>
      </c>
      <c r="G1" s="39" t="s">
        <v>237</v>
      </c>
      <c r="H1" s="39" t="s">
        <v>238</v>
      </c>
      <c r="I1" s="39" t="s">
        <v>239</v>
      </c>
      <c r="J1" s="39" t="s">
        <v>240</v>
      </c>
      <c r="K1" s="39" t="s">
        <v>241</v>
      </c>
      <c r="L1" s="39" t="s">
        <v>242</v>
      </c>
      <c r="M1" s="39" t="s">
        <v>243</v>
      </c>
      <c r="N1" s="39" t="s">
        <v>244</v>
      </c>
      <c r="O1" s="39" t="s">
        <v>245</v>
      </c>
      <c r="P1" s="39" t="s">
        <v>246</v>
      </c>
      <c r="Q1" s="39" t="s">
        <v>247</v>
      </c>
      <c r="R1" s="39" t="s">
        <v>248</v>
      </c>
      <c r="S1" s="39" t="s">
        <v>249</v>
      </c>
      <c r="T1" s="39" t="s">
        <v>250</v>
      </c>
      <c r="U1" s="39" t="s">
        <v>251</v>
      </c>
      <c r="V1" s="39" t="s">
        <v>252</v>
      </c>
      <c r="W1" s="39" t="s">
        <v>253</v>
      </c>
      <c r="X1" s="39" t="s">
        <v>254</v>
      </c>
      <c r="Y1" s="39" t="s">
        <v>255</v>
      </c>
      <c r="Z1" s="39" t="s">
        <v>256</v>
      </c>
      <c r="AA1" s="39" t="s">
        <v>257</v>
      </c>
      <c r="AB1" s="39" t="s">
        <v>258</v>
      </c>
      <c r="AC1" s="39" t="s">
        <v>259</v>
      </c>
      <c r="AD1" s="39" t="s">
        <v>260</v>
      </c>
      <c r="AE1" s="39" t="s">
        <v>261</v>
      </c>
      <c r="AF1" s="39" t="s">
        <v>262</v>
      </c>
      <c r="AG1" s="39" t="s">
        <v>263</v>
      </c>
      <c r="AH1" s="39" t="s">
        <v>264</v>
      </c>
      <c r="AI1" s="39" t="s">
        <v>265</v>
      </c>
      <c r="AJ1" s="39" t="s">
        <v>266</v>
      </c>
      <c r="AK1" s="39" t="s">
        <v>267</v>
      </c>
      <c r="AL1" s="39" t="s">
        <v>268</v>
      </c>
      <c r="AM1" s="39" t="s">
        <v>269</v>
      </c>
      <c r="AN1" s="39" t="s">
        <v>270</v>
      </c>
      <c r="AO1" s="39" t="s">
        <v>271</v>
      </c>
      <c r="AP1" s="39" t="s">
        <v>272</v>
      </c>
      <c r="AQ1" s="39" t="s">
        <v>273</v>
      </c>
      <c r="AR1" s="39" t="s">
        <v>274</v>
      </c>
      <c r="AS1" s="39" t="s">
        <v>275</v>
      </c>
      <c r="AT1" s="39" t="s">
        <v>276</v>
      </c>
      <c r="AU1" s="39" t="s">
        <v>277</v>
      </c>
      <c r="AV1" s="39" t="s">
        <v>278</v>
      </c>
      <c r="AW1" s="39" t="s">
        <v>279</v>
      </c>
      <c r="AX1" s="39" t="s">
        <v>280</v>
      </c>
      <c r="AY1" s="39" t="s">
        <v>281</v>
      </c>
      <c r="AZ1" s="39" t="s">
        <v>282</v>
      </c>
      <c r="BA1" s="39" t="s">
        <v>283</v>
      </c>
      <c r="BB1" s="39" t="s">
        <v>284</v>
      </c>
      <c r="BC1" s="39" t="s">
        <v>285</v>
      </c>
      <c r="BD1" s="39" t="s">
        <v>286</v>
      </c>
      <c r="BE1" s="39" t="s">
        <v>287</v>
      </c>
      <c r="BF1" s="39" t="s">
        <v>288</v>
      </c>
      <c r="BG1" s="39" t="s">
        <v>289</v>
      </c>
      <c r="BH1" s="39" t="s">
        <v>290</v>
      </c>
      <c r="BI1" s="39" t="s">
        <v>291</v>
      </c>
      <c r="BJ1" s="39" t="s">
        <v>292</v>
      </c>
    </row>
    <row r="2" spans="1:62" s="30" customFormat="1" x14ac:dyDescent="0.15">
      <c r="A2" s="40">
        <v>20000117</v>
      </c>
      <c r="B2" s="41" t="s">
        <v>44</v>
      </c>
      <c r="C2" s="40" t="s">
        <v>293</v>
      </c>
      <c r="D2" s="40" t="s">
        <v>294</v>
      </c>
      <c r="E2" s="40">
        <v>20000112</v>
      </c>
      <c r="F2" s="40">
        <v>10000001</v>
      </c>
      <c r="G2" s="30">
        <v>10011001</v>
      </c>
      <c r="H2" s="40" t="str">
        <f>VLOOKUP($G2,科技表!$1:$1048576,3,0)</f>
        <v>科技树类型1</v>
      </c>
      <c r="I2" s="30">
        <v>10011101</v>
      </c>
      <c r="J2" s="30" t="str">
        <f>VLOOKUP($I2,科技表!$1:$1048576,3,0)</f>
        <v>科技树类型1</v>
      </c>
      <c r="K2" s="30">
        <v>10012001</v>
      </c>
      <c r="L2" s="30" t="str">
        <f>VLOOKUP($K2,科技表!$1:$1048576,3,0)</f>
        <v>科技树类型1</v>
      </c>
      <c r="M2" s="30">
        <v>10006001</v>
      </c>
      <c r="O2" s="30">
        <v>10022001</v>
      </c>
      <c r="Q2" s="30">
        <v>10021001</v>
      </c>
      <c r="S2" s="40"/>
      <c r="T2" s="40"/>
      <c r="AU2" s="30">
        <v>10001001</v>
      </c>
      <c r="AW2" s="30">
        <v>10007001</v>
      </c>
      <c r="AY2" s="30">
        <v>10004001</v>
      </c>
      <c r="BA2" s="30">
        <v>10005001</v>
      </c>
    </row>
    <row r="3" spans="1:62" s="30" customFormat="1" x14ac:dyDescent="0.15">
      <c r="A3" s="40">
        <v>20000118</v>
      </c>
      <c r="B3" s="41" t="s">
        <v>49</v>
      </c>
      <c r="C3" s="40" t="s">
        <v>293</v>
      </c>
      <c r="D3" s="40" t="s">
        <v>295</v>
      </c>
      <c r="E3" s="40">
        <v>20000113</v>
      </c>
      <c r="F3" s="40"/>
      <c r="G3" s="30">
        <v>10012101</v>
      </c>
      <c r="H3" s="40" t="str">
        <f>VLOOKUP($G3,科技表!$1:$1048576,3,0)</f>
        <v>科技树类型1</v>
      </c>
      <c r="I3" s="30">
        <v>10013001</v>
      </c>
      <c r="J3" s="30" t="str">
        <f>VLOOKUP($I3,科技表!$1:$1048576,3,0)</f>
        <v>科技树类型1</v>
      </c>
      <c r="K3" s="30">
        <v>10013101</v>
      </c>
      <c r="L3" s="30" t="str">
        <f>VLOOKUP($K3,科技表!$1:$1048576,3,0)</f>
        <v>科技树类型1</v>
      </c>
      <c r="M3" s="30">
        <v>10014001</v>
      </c>
      <c r="N3" s="30" t="str">
        <f>VLOOKUP($M3,科技表!$1:$1048576,3,0)</f>
        <v>科技树类型1</v>
      </c>
      <c r="O3" s="30">
        <v>10014101</v>
      </c>
      <c r="P3" s="30" t="str">
        <f>VLOOKUP($O3,科技表!$1:$1048576,3,0)</f>
        <v>科技树类型1</v>
      </c>
      <c r="Q3" s="30">
        <v>10014201</v>
      </c>
      <c r="R3" s="30" t="str">
        <f>VLOOKUP($Q3,科技表!$1:$1048576,3,0)</f>
        <v>科技树类型1</v>
      </c>
      <c r="S3" s="30">
        <v>10015001</v>
      </c>
      <c r="T3" s="30" t="str">
        <f>VLOOKUP($S3,科技表!$1:$1048576,3,0)</f>
        <v>科技树类型2</v>
      </c>
      <c r="U3" s="30">
        <v>10015101</v>
      </c>
      <c r="V3" s="30" t="str">
        <f>VLOOKUP($U3,科技表!$1:$1048576,3,0)</f>
        <v>科技树类型2</v>
      </c>
      <c r="W3" s="30">
        <v>10016001</v>
      </c>
      <c r="X3" s="30" t="str">
        <f>VLOOKUP($W3,科技表!$1:$1048576,3,0)</f>
        <v>科技树类型3</v>
      </c>
      <c r="Y3" s="30">
        <v>10016101</v>
      </c>
      <c r="Z3" s="30" t="str">
        <f>VLOOKUP($Y3,科技表!$1:$1048576,3,0)</f>
        <v>科技树类型3</v>
      </c>
      <c r="AA3" s="30">
        <v>10016201</v>
      </c>
      <c r="AB3" s="30" t="str">
        <f>VLOOKUP($AA3,科技表!$1:$1048576,3,0)</f>
        <v>科技树类型3</v>
      </c>
      <c r="AC3" s="30">
        <v>10016301</v>
      </c>
      <c r="AD3" s="30" t="str">
        <f>VLOOKUP($AC3,科技表!$1:$1048576,3,0)</f>
        <v>科技树类型3</v>
      </c>
      <c r="AE3" s="30">
        <v>10017001</v>
      </c>
      <c r="AF3" s="30" t="str">
        <f>VLOOKUP($AE3,科技表!$1:$1048576,3,0)</f>
        <v>科技树类型4</v>
      </c>
      <c r="AG3" s="30">
        <v>10017101</v>
      </c>
      <c r="AH3" s="30" t="str">
        <f>VLOOKUP($AG3,科技表!$1:$1048576,3,0)</f>
        <v>科技树类型4</v>
      </c>
      <c r="AI3" s="30">
        <v>10021101</v>
      </c>
      <c r="AK3" s="30">
        <v>10022101</v>
      </c>
      <c r="AU3" s="30">
        <v>10002001</v>
      </c>
    </row>
    <row r="4" spans="1:62" s="30" customFormat="1" x14ac:dyDescent="0.15">
      <c r="A4" s="40">
        <v>20000119</v>
      </c>
      <c r="B4" s="41" t="s">
        <v>54</v>
      </c>
      <c r="C4" s="40" t="s">
        <v>293</v>
      </c>
      <c r="D4" s="40" t="s">
        <v>296</v>
      </c>
      <c r="E4" s="40">
        <v>20000114</v>
      </c>
      <c r="F4" s="40"/>
      <c r="G4" s="30">
        <v>10013201</v>
      </c>
      <c r="H4" s="40" t="str">
        <f>VLOOKUP($G4,科技表!$1:$1048576,3,0)</f>
        <v>科技树类型1</v>
      </c>
      <c r="I4" s="30">
        <v>10014301</v>
      </c>
      <c r="J4" s="30" t="str">
        <f>VLOOKUP($I4,科技表!$1:$1048576,3,0)</f>
        <v>科技树类型1</v>
      </c>
      <c r="K4" s="30">
        <v>10018001</v>
      </c>
      <c r="L4" s="30" t="str">
        <f>VLOOKUP($K4,科技表!$1:$1048576,3,0)</f>
        <v>科技树类型2</v>
      </c>
      <c r="M4" s="30">
        <v>10018101</v>
      </c>
      <c r="N4" s="30" t="str">
        <f>VLOOKUP($M4,科技表!$1:$1048576,3,0)</f>
        <v>科技树类型2</v>
      </c>
      <c r="O4" s="30">
        <v>10019001</v>
      </c>
      <c r="P4" s="30" t="str">
        <f>VLOOKUP($O4,科技表!$1:$1048576,3,0)</f>
        <v>科技树类型3</v>
      </c>
      <c r="Q4" s="30">
        <v>10019101</v>
      </c>
      <c r="R4" s="30" t="str">
        <f>VLOOKUP($Q4,科技表!$1:$1048576,3,0)</f>
        <v>科技树类型3</v>
      </c>
      <c r="S4" s="30">
        <v>10020001</v>
      </c>
      <c r="T4" s="30" t="str">
        <f>VLOOKUP($S4,科技表!$1:$1048576,3,0)</f>
        <v>科技树类型4</v>
      </c>
      <c r="U4" s="30">
        <v>10020101</v>
      </c>
      <c r="V4" s="30" t="str">
        <f>VLOOKUP($U4,科技表!$1:$1048576,3,0)</f>
        <v>科技树类型4</v>
      </c>
      <c r="W4" s="30">
        <v>10021201</v>
      </c>
      <c r="Y4" s="30">
        <v>10022201</v>
      </c>
      <c r="AA4" s="40"/>
    </row>
    <row r="5" spans="1:62" s="31" customFormat="1" x14ac:dyDescent="0.15">
      <c r="A5" s="42">
        <v>20000217</v>
      </c>
      <c r="B5" s="43" t="s">
        <v>149</v>
      </c>
      <c r="C5" s="42" t="s">
        <v>293</v>
      </c>
      <c r="D5" s="42" t="s">
        <v>294</v>
      </c>
      <c r="E5" s="42">
        <v>20000212</v>
      </c>
      <c r="F5" s="42">
        <v>11000001</v>
      </c>
      <c r="G5" s="31">
        <v>11011001</v>
      </c>
      <c r="H5" s="31" t="str">
        <f>VLOOKUP($G5,科技表!$1:$1048576,3,0)</f>
        <v>科技树类型1</v>
      </c>
      <c r="I5" s="31">
        <v>11012001</v>
      </c>
      <c r="J5" s="31" t="str">
        <f>VLOOKUP($I5,科技表!$1:$1048576,3,0)</f>
        <v>科技树类型1</v>
      </c>
      <c r="K5" s="31">
        <v>11006001</v>
      </c>
      <c r="M5" s="31">
        <v>11022001</v>
      </c>
      <c r="O5" s="31">
        <v>11021001</v>
      </c>
      <c r="AU5" s="31">
        <v>11001001</v>
      </c>
      <c r="AV5" s="30"/>
      <c r="AW5" s="31">
        <v>11007001</v>
      </c>
      <c r="AX5" s="30"/>
      <c r="AY5" s="31">
        <v>11004001</v>
      </c>
      <c r="AZ5" s="30"/>
      <c r="BA5" s="31">
        <v>11005001</v>
      </c>
      <c r="BB5" s="30"/>
    </row>
    <row r="6" spans="1:62" s="31" customFormat="1" x14ac:dyDescent="0.15">
      <c r="A6" s="42">
        <v>20000218</v>
      </c>
      <c r="B6" s="43" t="s">
        <v>153</v>
      </c>
      <c r="C6" s="42" t="s">
        <v>293</v>
      </c>
      <c r="D6" s="42" t="s">
        <v>295</v>
      </c>
      <c r="E6" s="42">
        <v>20000213</v>
      </c>
      <c r="F6" s="42"/>
      <c r="G6" s="31">
        <v>11011101</v>
      </c>
      <c r="H6" s="31" t="str">
        <f>VLOOKUP($G6,科技表!$1:$1048576,3,0)</f>
        <v>科技树类型1</v>
      </c>
      <c r="I6" s="31">
        <v>11012101</v>
      </c>
      <c r="J6" s="31" t="str">
        <f>VLOOKUP($I6,科技表!$1:$1048576,3,0)</f>
        <v>科技树类型1</v>
      </c>
      <c r="K6" s="31">
        <v>11013001</v>
      </c>
      <c r="L6" s="31" t="str">
        <f>VLOOKUP($K6,科技表!$1:$1048576,3,0)</f>
        <v>科技树类型1</v>
      </c>
      <c r="M6" s="31">
        <v>11013101</v>
      </c>
      <c r="N6" s="31" t="str">
        <f>VLOOKUP($M6,科技表!$1:$1048576,3,0)</f>
        <v>科技树类型1</v>
      </c>
      <c r="O6" s="31">
        <v>11014001</v>
      </c>
      <c r="P6" s="31" t="str">
        <f>VLOOKUP($O6,科技表!$1:$1048576,3,0)</f>
        <v>科技树类型1</v>
      </c>
      <c r="Q6" s="31">
        <v>11014101</v>
      </c>
      <c r="R6" s="31" t="str">
        <f>VLOOKUP($Q6,科技表!$1:$1048576,3,0)</f>
        <v>科技树类型1</v>
      </c>
      <c r="S6" s="31">
        <v>11015001</v>
      </c>
      <c r="T6" s="31" t="str">
        <f>VLOOKUP($S6,科技表!$1:$1048576,3,0)</f>
        <v>科技树类型2</v>
      </c>
      <c r="U6" s="31">
        <v>11015101</v>
      </c>
      <c r="V6" s="31" t="str">
        <f>VLOOKUP($U6,科技表!$1:$1048576,3,0)</f>
        <v>科技树类型2</v>
      </c>
      <c r="W6" s="31">
        <v>11015201</v>
      </c>
      <c r="X6" s="31" t="str">
        <f>VLOOKUP($W6,科技表!$1:$1048576,3,0)</f>
        <v>科技树类型2</v>
      </c>
      <c r="Y6" s="31">
        <v>11016001</v>
      </c>
      <c r="Z6" s="31" t="str">
        <f>VLOOKUP($Y6,科技表!$1:$1048576,3,0)</f>
        <v>科技树类型3</v>
      </c>
      <c r="AA6" s="31">
        <v>11016101</v>
      </c>
      <c r="AB6" s="31" t="str">
        <f>VLOOKUP($AA6,科技表!$1:$1048576,3,0)</f>
        <v>科技树类型3</v>
      </c>
      <c r="AC6" s="31">
        <v>11016201</v>
      </c>
      <c r="AD6" s="31" t="str">
        <f>VLOOKUP($AA6,科技表!$1:$1048576,3,0)</f>
        <v>科技树类型3</v>
      </c>
      <c r="AE6" s="31">
        <v>11017001</v>
      </c>
      <c r="AF6" s="31" t="str">
        <f>VLOOKUP($AE6,科技表!$1:$1048576,3,0)</f>
        <v>科技树类型4</v>
      </c>
      <c r="AG6" s="31">
        <v>11017101</v>
      </c>
      <c r="AH6" s="31" t="str">
        <f>VLOOKUP($AG6,科技表!$1:$1048576,3,0)</f>
        <v>科技树类型4</v>
      </c>
      <c r="AI6" s="31">
        <v>11018001</v>
      </c>
      <c r="AJ6" s="31" t="str">
        <f>VLOOKUP($AI6,科技表!$1:$1048576,3,0)</f>
        <v>科技树类型4</v>
      </c>
      <c r="AK6" s="31">
        <v>11018101</v>
      </c>
      <c r="AL6" s="31" t="str">
        <f>VLOOKUP($AK6,科技表!$1:$1048576,3,0)</f>
        <v>科技树类型4</v>
      </c>
      <c r="AM6" s="31">
        <v>11021101</v>
      </c>
      <c r="AO6" s="31">
        <v>11022101</v>
      </c>
      <c r="AQ6" s="31">
        <v>11013301</v>
      </c>
      <c r="AR6" s="42" t="str">
        <f>VLOOKUP($AQ6,科技表!$1:$1048576,3,0)</f>
        <v>科技树类型1</v>
      </c>
      <c r="AU6" s="31">
        <v>11002001</v>
      </c>
      <c r="AV6" s="30"/>
      <c r="AX6" s="30"/>
      <c r="AZ6" s="30"/>
      <c r="BB6" s="30"/>
    </row>
    <row r="7" spans="1:62" s="31" customFormat="1" x14ac:dyDescent="0.15">
      <c r="A7" s="42">
        <v>20000219</v>
      </c>
      <c r="B7" s="43" t="s">
        <v>157</v>
      </c>
      <c r="C7" s="42" t="s">
        <v>293</v>
      </c>
      <c r="D7" s="42" t="s">
        <v>296</v>
      </c>
      <c r="E7" s="42">
        <v>20000214</v>
      </c>
      <c r="F7" s="42"/>
      <c r="G7" s="31">
        <v>11013201</v>
      </c>
      <c r="H7" s="31" t="str">
        <f>VLOOKUP($G7,科技表!$1:$1048576,3,0)</f>
        <v>科技树类型1</v>
      </c>
      <c r="I7" s="31">
        <v>11014201</v>
      </c>
      <c r="J7" s="31" t="str">
        <f>VLOOKUP($I7,科技表!$1:$1048576,3,0)</f>
        <v>科技树类型1</v>
      </c>
      <c r="K7" s="31">
        <v>11015301</v>
      </c>
      <c r="L7" s="31" t="str">
        <f>VLOOKUP($K7,科技表!$1:$1048576,3,0)</f>
        <v>科技树类型2</v>
      </c>
      <c r="M7" s="31">
        <v>11019001</v>
      </c>
      <c r="N7" s="31" t="str">
        <f>VLOOKUP($M7,科技表!$1:$1048576,3,0)</f>
        <v>科技树类型3</v>
      </c>
      <c r="O7" s="31">
        <v>11019101</v>
      </c>
      <c r="P7" s="31" t="str">
        <f>VLOOKUP($O7,科技表!$1:$1048576,3,0)</f>
        <v>科技树类型3</v>
      </c>
      <c r="Q7" s="31">
        <v>11020001</v>
      </c>
      <c r="R7" s="31" t="str">
        <f>VLOOKUP($Q7,科技表!$1:$1048576,3,0)</f>
        <v>科技树类型2</v>
      </c>
      <c r="S7" s="31">
        <v>11020101</v>
      </c>
      <c r="T7" s="31" t="str">
        <f>VLOOKUP($S7,科技表!$1:$1048576,3,0)</f>
        <v>科技树类型2</v>
      </c>
      <c r="U7" s="31">
        <v>11021201</v>
      </c>
      <c r="W7" s="31">
        <v>11022201</v>
      </c>
      <c r="AN7" s="42"/>
      <c r="AV7" s="30"/>
      <c r="AX7" s="30"/>
      <c r="AZ7" s="30"/>
      <c r="BB7" s="30"/>
    </row>
    <row r="8" spans="1:62" s="32" customFormat="1" x14ac:dyDescent="0.15">
      <c r="A8" s="44">
        <v>20000316</v>
      </c>
      <c r="B8" s="45" t="s">
        <v>297</v>
      </c>
      <c r="C8" s="44" t="s">
        <v>293</v>
      </c>
      <c r="D8" s="44" t="s">
        <v>294</v>
      </c>
      <c r="E8" s="44">
        <v>20000312</v>
      </c>
      <c r="F8" s="44">
        <v>12000001</v>
      </c>
      <c r="G8" s="32">
        <v>12011001</v>
      </c>
      <c r="H8" s="32" t="str">
        <f>VLOOKUP($G8,科技表!$1:$1048576,3,0)</f>
        <v>科技树类型1</v>
      </c>
      <c r="I8" s="32">
        <v>12011101</v>
      </c>
      <c r="J8" s="32" t="str">
        <f>VLOOKUP($I8,科技表!$1:$1048576,3,0)</f>
        <v>科技树类型1</v>
      </c>
      <c r="K8" s="32">
        <v>12012001</v>
      </c>
      <c r="L8" s="32" t="str">
        <f>VLOOKUP($K8,科技表!$1:$1048576,3,0)</f>
        <v>科技树类型1</v>
      </c>
      <c r="M8" s="32">
        <v>12006001</v>
      </c>
      <c r="O8" s="32">
        <v>12022001</v>
      </c>
      <c r="Q8" s="32">
        <v>12021001</v>
      </c>
      <c r="AU8" s="32">
        <v>12001001</v>
      </c>
      <c r="AV8" s="30"/>
      <c r="AW8" s="32">
        <v>12007001</v>
      </c>
      <c r="AX8" s="30"/>
      <c r="AY8" s="32">
        <v>12004001</v>
      </c>
      <c r="AZ8" s="30"/>
      <c r="BA8" s="32">
        <v>12005001</v>
      </c>
      <c r="BB8" s="30"/>
    </row>
    <row r="9" spans="1:62" s="32" customFormat="1" x14ac:dyDescent="0.15">
      <c r="A9" s="44">
        <v>20000317</v>
      </c>
      <c r="B9" s="45" t="s">
        <v>174</v>
      </c>
      <c r="C9" s="44" t="s">
        <v>293</v>
      </c>
      <c r="D9" s="44" t="s">
        <v>295</v>
      </c>
      <c r="E9" s="44">
        <v>20000313</v>
      </c>
      <c r="F9" s="44"/>
      <c r="G9" s="32">
        <v>12011201</v>
      </c>
      <c r="H9" s="32" t="str">
        <f>VLOOKUP($G9,科技表!$1:$1048576,3,0)</f>
        <v>科技树类型1</v>
      </c>
      <c r="I9" s="32">
        <v>12012101</v>
      </c>
      <c r="J9" s="32" t="str">
        <f>VLOOKUP($I9,科技表!$1:$1048576,3,0)</f>
        <v>科技树类型1</v>
      </c>
      <c r="K9" s="32">
        <v>12013001</v>
      </c>
      <c r="L9" s="32" t="str">
        <f>VLOOKUP($K9,科技表!$1:$1048576,3,0)</f>
        <v>科技树类型1</v>
      </c>
      <c r="M9" s="32">
        <v>12013101</v>
      </c>
      <c r="N9" s="32" t="str">
        <f>VLOOKUP($M9,科技表!$1:$1048576,3,0)</f>
        <v>科技树类型1</v>
      </c>
      <c r="O9" s="32">
        <v>12014001</v>
      </c>
      <c r="P9" s="32" t="str">
        <f>VLOOKUP($O9,科技表!$1:$1048576,3,0)</f>
        <v>科技树类型1</v>
      </c>
      <c r="Q9" s="32">
        <v>12014101</v>
      </c>
      <c r="R9" s="32" t="str">
        <f>VLOOKUP($Q9,科技表!$1:$1048576,3,0)</f>
        <v>科技树类型1</v>
      </c>
      <c r="S9" s="32">
        <v>12015001</v>
      </c>
      <c r="T9" s="32" t="str">
        <f>VLOOKUP($S9,科技表!$1:$1048576,3,0)</f>
        <v>科技树类型3</v>
      </c>
      <c r="U9" s="32">
        <v>12015101</v>
      </c>
      <c r="V9" s="32" t="str">
        <f>VLOOKUP($U9,科技表!$1:$1048576,3,0)</f>
        <v>科技树类型3</v>
      </c>
      <c r="W9" s="32">
        <v>12015201</v>
      </c>
      <c r="X9" s="32" t="str">
        <f>VLOOKUP($W9,科技表!$1:$1048576,3,0)</f>
        <v>科技树类型3</v>
      </c>
      <c r="Y9" s="32">
        <v>12016001</v>
      </c>
      <c r="Z9" s="32" t="str">
        <f>VLOOKUP($Y9,科技表!$1:$1048576,3,0)</f>
        <v>科技树类型4</v>
      </c>
      <c r="AA9" s="32">
        <v>12016101</v>
      </c>
      <c r="AB9" s="32" t="str">
        <f>VLOOKUP($AA9,科技表!$1:$1048576,3,0)</f>
        <v>科技树类型4</v>
      </c>
      <c r="AC9" s="32">
        <v>12017001</v>
      </c>
      <c r="AD9" s="32" t="str">
        <f>VLOOKUP($AC9,科技表!$1:$1048576,3,0)</f>
        <v>科技树类型2</v>
      </c>
      <c r="AE9" s="32">
        <v>12017101</v>
      </c>
      <c r="AF9" s="32" t="str">
        <f>VLOOKUP($AE9,科技表!$1:$1048576,3,0)</f>
        <v>科技树类型2</v>
      </c>
      <c r="AG9" s="32">
        <v>12021101</v>
      </c>
      <c r="AI9" s="32">
        <v>12022101</v>
      </c>
      <c r="AU9" s="32">
        <v>12002001</v>
      </c>
      <c r="AV9" s="30"/>
      <c r="AX9" s="30"/>
      <c r="AZ9" s="30"/>
      <c r="BB9" s="30"/>
    </row>
    <row r="10" spans="1:62" s="32" customFormat="1" x14ac:dyDescent="0.15">
      <c r="A10" s="44">
        <v>20000318</v>
      </c>
      <c r="B10" s="45" t="s">
        <v>178</v>
      </c>
      <c r="C10" s="44" t="s">
        <v>293</v>
      </c>
      <c r="D10" s="44" t="s">
        <v>296</v>
      </c>
      <c r="E10" s="44">
        <v>20000314</v>
      </c>
      <c r="F10" s="44"/>
      <c r="G10" s="32">
        <v>12013201</v>
      </c>
      <c r="H10" s="32" t="str">
        <f>VLOOKUP($G10,科技表!$1:$1048576,3,0)</f>
        <v>科技树类型1</v>
      </c>
      <c r="I10" s="32">
        <v>12014201</v>
      </c>
      <c r="J10" s="32" t="str">
        <f>VLOOKUP($I10,科技表!$1:$1048576,3,0)</f>
        <v>科技树类型1</v>
      </c>
      <c r="K10" s="32">
        <v>12018001</v>
      </c>
      <c r="L10" s="32" t="str">
        <f>VLOOKUP($K10,科技表!$1:$1048576,3,0)</f>
        <v>科技树类型2</v>
      </c>
      <c r="M10" s="32">
        <v>12018101</v>
      </c>
      <c r="N10" s="32" t="str">
        <f>VLOOKUP($M10,科技表!$1:$1048576,3,0)</f>
        <v>科技树类型2</v>
      </c>
      <c r="O10" s="32">
        <v>12019001</v>
      </c>
      <c r="P10" s="32" t="str">
        <f>VLOOKUP($O10,科技表!$1:$1048576,3,0)</f>
        <v>科技树类型4</v>
      </c>
      <c r="Q10" s="32">
        <v>12019101</v>
      </c>
      <c r="R10" s="32" t="str">
        <f>VLOOKUP($Q10,科技表!$1:$1048576,3,0)</f>
        <v>科技树类型4</v>
      </c>
      <c r="S10" s="32">
        <v>12020001</v>
      </c>
      <c r="T10" s="32" t="str">
        <f>VLOOKUP($S10,科技表!$1:$1048576,3,0)</f>
        <v>科技树类型3</v>
      </c>
      <c r="U10" s="32">
        <v>12020101</v>
      </c>
      <c r="V10" s="32" t="str">
        <f>VLOOKUP($U10,科技表!$1:$1048576,3,0)</f>
        <v>科技树类型3</v>
      </c>
      <c r="W10" s="32">
        <v>12020201</v>
      </c>
      <c r="X10" s="32" t="str">
        <f>VLOOKUP($W10,科技表!$1:$1048576,3,0)</f>
        <v>科技树类型3</v>
      </c>
      <c r="Y10" s="32">
        <v>12020301</v>
      </c>
      <c r="Z10" s="32" t="str">
        <f>VLOOKUP($Y10,科技表!$1:$1048576,3,0)</f>
        <v>科技树类型3</v>
      </c>
      <c r="AA10" s="32">
        <v>12021201</v>
      </c>
      <c r="AC10" s="32">
        <v>12017201</v>
      </c>
      <c r="AD10" s="32" t="str">
        <f>VLOOKUP($AC10,科技表!$1:$1048576,3,0)</f>
        <v>科技树类型2</v>
      </c>
      <c r="AE10" s="32">
        <v>12023101</v>
      </c>
      <c r="AG10" s="32">
        <v>12024101</v>
      </c>
      <c r="AI10" s="32">
        <v>12015011</v>
      </c>
      <c r="AJ10" s="32" t="str">
        <f>VLOOKUP($AI10,科技表!$1:$1048576,3,0)</f>
        <v>科技树类型3</v>
      </c>
      <c r="AK10" s="32">
        <v>12022201</v>
      </c>
      <c r="AV10" s="30"/>
      <c r="AX10" s="30"/>
      <c r="AZ10" s="30"/>
      <c r="BB10" s="30"/>
    </row>
    <row r="11" spans="1:62" s="33" customFormat="1" x14ac:dyDescent="0.15">
      <c r="A11" s="46">
        <v>20000417</v>
      </c>
      <c r="B11" s="47" t="s">
        <v>193</v>
      </c>
      <c r="C11" s="46" t="s">
        <v>293</v>
      </c>
      <c r="D11" s="46" t="s">
        <v>294</v>
      </c>
      <c r="E11" s="46">
        <v>20000412</v>
      </c>
      <c r="F11" s="46">
        <v>13000001</v>
      </c>
      <c r="G11" s="33">
        <v>13011001</v>
      </c>
      <c r="H11" s="46" t="str">
        <f>VLOOKUP($G11,科技表!$1:$1048576,3,0)</f>
        <v>科技树类型1</v>
      </c>
      <c r="I11" s="33">
        <v>13011101</v>
      </c>
      <c r="J11" s="33" t="str">
        <f>VLOOKUP($I11,科技表!$1:$1048576,3,0)</f>
        <v>科技树类型1</v>
      </c>
      <c r="K11" s="46">
        <v>13011201</v>
      </c>
      <c r="L11" s="33" t="str">
        <f>VLOOKUP($K11,科技表!$1:$1048576,3,0)</f>
        <v>科技树类型1</v>
      </c>
      <c r="M11" s="33">
        <v>13012001</v>
      </c>
      <c r="N11" s="33" t="str">
        <f>VLOOKUP($M11,科技表!$1:$1048576,3,0)</f>
        <v>科技树类型1</v>
      </c>
      <c r="O11" s="33">
        <v>13006001</v>
      </c>
      <c r="Q11" s="33">
        <v>13022001</v>
      </c>
      <c r="S11" s="33">
        <v>13021001</v>
      </c>
      <c r="U11" s="46">
        <v>13023001</v>
      </c>
      <c r="AN11" s="46"/>
      <c r="AU11" s="33">
        <v>13001001</v>
      </c>
      <c r="AW11" s="33">
        <v>13007001</v>
      </c>
      <c r="AY11" s="33">
        <v>13004001</v>
      </c>
      <c r="BA11" s="33">
        <v>13005001</v>
      </c>
    </row>
    <row r="12" spans="1:62" s="33" customFormat="1" x14ac:dyDescent="0.15">
      <c r="A12" s="46">
        <v>20000418</v>
      </c>
      <c r="B12" s="47" t="s">
        <v>197</v>
      </c>
      <c r="C12" s="46" t="s">
        <v>293</v>
      </c>
      <c r="D12" s="46" t="s">
        <v>295</v>
      </c>
      <c r="E12" s="46">
        <v>20000413</v>
      </c>
      <c r="F12" s="46"/>
      <c r="G12" s="33">
        <v>13012101</v>
      </c>
      <c r="H12" s="46" t="str">
        <f>VLOOKUP($G12,科技表!$1:$1048576,3,0)</f>
        <v>科技树类型1</v>
      </c>
      <c r="I12" s="33">
        <v>13013001</v>
      </c>
      <c r="J12" s="33" t="str">
        <f>VLOOKUP($I12,科技表!$1:$1048576,3,0)</f>
        <v>科技树类型1</v>
      </c>
      <c r="K12" s="33">
        <v>13013101</v>
      </c>
      <c r="L12" s="33" t="str">
        <f>VLOOKUP($K12,科技表!$1:$1048576,3,0)</f>
        <v>科技树类型1</v>
      </c>
      <c r="M12" s="33">
        <v>13014001</v>
      </c>
      <c r="N12" s="33" t="str">
        <f>VLOOKUP($M12,科技表!$1:$1048576,3,0)</f>
        <v>科技树类型3</v>
      </c>
      <c r="O12" s="33">
        <v>13014101</v>
      </c>
      <c r="P12" s="33" t="str">
        <f>VLOOKUP($O12,科技表!$1:$1048576,3,0)</f>
        <v>科技树类型3</v>
      </c>
      <c r="Q12" s="33">
        <v>13014201</v>
      </c>
      <c r="R12" s="33" t="str">
        <f>VLOOKUP($Q12,科技表!$1:$1048576,3,0)</f>
        <v>科技树类型3</v>
      </c>
      <c r="S12" s="33">
        <v>13015001</v>
      </c>
      <c r="T12" s="33" t="str">
        <f>VLOOKUP($S12,科技表!$1:$1048576,3,0)</f>
        <v>科技树类型3</v>
      </c>
      <c r="U12" s="33">
        <v>13015101</v>
      </c>
      <c r="V12" s="33" t="str">
        <f>VLOOKUP($U12,科技表!$1:$1048576,3,0)</f>
        <v>科技树类型3</v>
      </c>
      <c r="W12" s="33">
        <v>13015201</v>
      </c>
      <c r="X12" s="33" t="str">
        <f>VLOOKUP($W12,科技表!$1:$1048576,3,0)</f>
        <v>科技树类型3</v>
      </c>
      <c r="Y12" s="33">
        <v>13016001</v>
      </c>
      <c r="Z12" s="33" t="str">
        <f>VLOOKUP($Y12,科技表!$1:$1048576,3,0)</f>
        <v>科技树类型4</v>
      </c>
      <c r="AA12" s="33">
        <v>13016101</v>
      </c>
      <c r="AB12" s="33" t="str">
        <f>VLOOKUP($AA12,科技表!$1:$1048576,3,0)</f>
        <v>科技树类型4</v>
      </c>
      <c r="AC12" s="33">
        <v>13017001</v>
      </c>
      <c r="AD12" s="33" t="str">
        <f>VLOOKUP($AC12,科技表!$1:$1048576,3,0)</f>
        <v>科技树类型1</v>
      </c>
      <c r="AE12" s="33">
        <v>13017101</v>
      </c>
      <c r="AF12" s="33" t="str">
        <f>VLOOKUP($AE12,科技表!$1:$1048576,3,0)</f>
        <v>科技树类型1</v>
      </c>
      <c r="AG12" s="33">
        <v>13017201</v>
      </c>
      <c r="AH12" s="33" t="str">
        <f>VLOOKUP($AG12,科技表!$1:$1048576,3,0)</f>
        <v>科技树类型1</v>
      </c>
      <c r="AI12" s="33">
        <v>13017301</v>
      </c>
      <c r="AJ12" s="33" t="str">
        <f>VLOOKUP($AI12,科技表!$1:$1048576,3,0)</f>
        <v>科技树类型1</v>
      </c>
      <c r="AK12" s="33">
        <v>13018001</v>
      </c>
      <c r="AL12" s="33" t="str">
        <f>VLOOKUP($AK12,科技表!$1:$1048576,3,0)</f>
        <v>科技树类型2</v>
      </c>
      <c r="AM12" s="33">
        <v>13018101</v>
      </c>
      <c r="AN12" s="46" t="str">
        <f>VLOOKUP($AM12,科技表!$1:$1048576,3,0)</f>
        <v>科技树类型2</v>
      </c>
      <c r="AO12" s="33">
        <v>13021101</v>
      </c>
      <c r="AQ12" s="33">
        <v>13022101</v>
      </c>
      <c r="AU12" s="33">
        <v>13002001</v>
      </c>
    </row>
    <row r="13" spans="1:62" s="33" customFormat="1" x14ac:dyDescent="0.15">
      <c r="A13" s="46">
        <v>20000419</v>
      </c>
      <c r="B13" s="47" t="s">
        <v>201</v>
      </c>
      <c r="C13" s="46" t="s">
        <v>293</v>
      </c>
      <c r="D13" s="46" t="s">
        <v>296</v>
      </c>
      <c r="E13" s="46">
        <v>20000414</v>
      </c>
      <c r="F13" s="46"/>
      <c r="G13" s="33">
        <v>13013201</v>
      </c>
      <c r="H13" s="46" t="str">
        <f>VLOOKUP($G13,科技表!$1:$1048576,3,0)</f>
        <v>科技树类型1</v>
      </c>
      <c r="I13" s="33">
        <v>13015301</v>
      </c>
      <c r="J13" s="33" t="str">
        <f>VLOOKUP($I13,科技表!$1:$1048576,3,0)</f>
        <v>科技树类型3</v>
      </c>
      <c r="K13" s="33">
        <v>13019001</v>
      </c>
      <c r="L13" s="33" t="str">
        <f>VLOOKUP($K13,科技表!$1:$1048576,3,0)</f>
        <v>科技树类型2</v>
      </c>
      <c r="M13" s="33">
        <v>13019101</v>
      </c>
      <c r="N13" s="33" t="str">
        <f>VLOOKUP($M13,科技表!$1:$1048576,3,0)</f>
        <v>科技树类型2</v>
      </c>
      <c r="O13" s="33">
        <v>13019201</v>
      </c>
      <c r="P13" s="33" t="str">
        <f>VLOOKUP($O13,科技表!$1:$1048576,3,0)</f>
        <v>科技树类型2</v>
      </c>
      <c r="Q13" s="33">
        <v>13020001</v>
      </c>
      <c r="R13" s="33" t="str">
        <f>VLOOKUP($Q13,科技表!$1:$1048576,3,0)</f>
        <v>科技树类型4</v>
      </c>
      <c r="S13" s="33">
        <v>13020101</v>
      </c>
      <c r="T13" s="33" t="str">
        <f>VLOOKUP($S13,科技表!$1:$1048576,3,0)</f>
        <v>科技树类型4</v>
      </c>
      <c r="U13" s="33">
        <v>13021201</v>
      </c>
      <c r="W13" s="33">
        <v>13022201</v>
      </c>
      <c r="AN13" s="46"/>
    </row>
    <row r="14" spans="1:62" s="34" customFormat="1" x14ac:dyDescent="0.15">
      <c r="A14" s="34">
        <v>20000127</v>
      </c>
      <c r="B14" s="48" t="s">
        <v>44</v>
      </c>
      <c r="C14" s="34" t="s">
        <v>298</v>
      </c>
      <c r="D14" s="34" t="s">
        <v>294</v>
      </c>
      <c r="E14" s="34">
        <v>20000124</v>
      </c>
      <c r="F14" s="34">
        <v>10008001</v>
      </c>
      <c r="G14" s="34">
        <v>10011001</v>
      </c>
      <c r="H14" s="49" t="str">
        <f>VLOOKUP($G14,科技表!$1:$1048576,3,0)</f>
        <v>科技树类型1</v>
      </c>
      <c r="I14" s="34">
        <v>10011101</v>
      </c>
      <c r="J14" s="34" t="str">
        <f>VLOOKUP($I14,科技表!$1:$1048576,3,0)</f>
        <v>科技树类型1</v>
      </c>
      <c r="K14" s="34">
        <v>10012001</v>
      </c>
      <c r="L14" s="34" t="str">
        <f>VLOOKUP($K14,科技表!$1:$1048576,3,0)</f>
        <v>科技树类型1</v>
      </c>
      <c r="M14" s="34">
        <v>10006001</v>
      </c>
      <c r="O14" s="34">
        <v>10022001</v>
      </c>
      <c r="Q14" s="34">
        <v>10021001</v>
      </c>
      <c r="S14" s="49"/>
      <c r="T14" s="49"/>
      <c r="AN14" s="49"/>
      <c r="AU14" s="34">
        <v>10009001</v>
      </c>
      <c r="AW14" s="34">
        <v>10003001</v>
      </c>
      <c r="AY14" s="34">
        <v>10004001</v>
      </c>
      <c r="BA14" s="34">
        <v>10005001</v>
      </c>
    </row>
    <row r="15" spans="1:62" s="34" customFormat="1" x14ac:dyDescent="0.15">
      <c r="A15" s="34">
        <v>20000128</v>
      </c>
      <c r="B15" s="48" t="s">
        <v>49</v>
      </c>
      <c r="C15" s="34" t="s">
        <v>298</v>
      </c>
      <c r="D15" s="34" t="s">
        <v>295</v>
      </c>
      <c r="E15" s="34">
        <v>20000125</v>
      </c>
      <c r="G15" s="34">
        <v>10012101</v>
      </c>
      <c r="H15" s="49" t="str">
        <f>VLOOKUP($G15,科技表!$1:$1048576,3,0)</f>
        <v>科技树类型1</v>
      </c>
      <c r="I15" s="34">
        <v>10013001</v>
      </c>
      <c r="J15" s="34" t="str">
        <f>VLOOKUP($I15,科技表!$1:$1048576,3,0)</f>
        <v>科技树类型1</v>
      </c>
      <c r="K15" s="34">
        <v>10013101</v>
      </c>
      <c r="L15" s="34" t="str">
        <f>VLOOKUP($K15,科技表!$1:$1048576,3,0)</f>
        <v>科技树类型1</v>
      </c>
      <c r="M15" s="34">
        <v>10014001</v>
      </c>
      <c r="N15" s="34" t="str">
        <f>VLOOKUP($M15,科技表!$1:$1048576,3,0)</f>
        <v>科技树类型1</v>
      </c>
      <c r="O15" s="34">
        <v>10014101</v>
      </c>
      <c r="P15" s="34" t="str">
        <f>VLOOKUP($O15,科技表!$1:$1048576,3,0)</f>
        <v>科技树类型1</v>
      </c>
      <c r="Q15" s="34">
        <v>10014201</v>
      </c>
      <c r="R15" s="34" t="str">
        <f>VLOOKUP($Q15,科技表!$1:$1048576,3,0)</f>
        <v>科技树类型1</v>
      </c>
      <c r="S15" s="34">
        <v>10015001</v>
      </c>
      <c r="T15" s="34" t="str">
        <f>VLOOKUP($S15,科技表!$1:$1048576,3,0)</f>
        <v>科技树类型2</v>
      </c>
      <c r="U15" s="34">
        <v>10015101</v>
      </c>
      <c r="V15" s="34" t="str">
        <f>VLOOKUP($U15,科技表!$1:$1048576,3,0)</f>
        <v>科技树类型2</v>
      </c>
      <c r="W15" s="34">
        <v>10016001</v>
      </c>
      <c r="X15" s="34" t="str">
        <f>VLOOKUP($W15,科技表!$1:$1048576,3,0)</f>
        <v>科技树类型3</v>
      </c>
      <c r="Y15" s="34">
        <v>10016101</v>
      </c>
      <c r="Z15" s="34" t="str">
        <f>VLOOKUP($Y15,科技表!$1:$1048576,3,0)</f>
        <v>科技树类型3</v>
      </c>
      <c r="AA15" s="34">
        <v>10016201</v>
      </c>
      <c r="AB15" s="34" t="str">
        <f>VLOOKUP($AA15,科技表!$1:$1048576,3,0)</f>
        <v>科技树类型3</v>
      </c>
      <c r="AC15" s="34">
        <v>10016301</v>
      </c>
      <c r="AD15" s="34" t="str">
        <f>VLOOKUP($AC15,科技表!$1:$1048576,3,0)</f>
        <v>科技树类型3</v>
      </c>
      <c r="AE15" s="34">
        <v>10017001</v>
      </c>
      <c r="AF15" s="34" t="str">
        <f>VLOOKUP($AE15,科技表!$1:$1048576,3,0)</f>
        <v>科技树类型4</v>
      </c>
      <c r="AG15" s="34">
        <v>10017101</v>
      </c>
      <c r="AH15" s="34" t="str">
        <f>VLOOKUP($AG15,科技表!$1:$1048576,3,0)</f>
        <v>科技树类型4</v>
      </c>
      <c r="AI15" s="34">
        <v>10021101</v>
      </c>
      <c r="AK15" s="34">
        <v>10022101</v>
      </c>
      <c r="AN15" s="49"/>
      <c r="AU15" s="34">
        <v>10010001</v>
      </c>
    </row>
    <row r="16" spans="1:62" s="34" customFormat="1" x14ac:dyDescent="0.15">
      <c r="A16" s="34">
        <v>20000129</v>
      </c>
      <c r="B16" s="48" t="s">
        <v>54</v>
      </c>
      <c r="C16" s="34" t="s">
        <v>298</v>
      </c>
      <c r="D16" s="34" t="s">
        <v>296</v>
      </c>
      <c r="E16" s="34">
        <v>20000126</v>
      </c>
      <c r="G16" s="34">
        <v>10013201</v>
      </c>
      <c r="H16" s="49" t="str">
        <f>VLOOKUP($G16,科技表!$1:$1048576,3,0)</f>
        <v>科技树类型1</v>
      </c>
      <c r="I16" s="34">
        <v>10014301</v>
      </c>
      <c r="J16" s="34" t="str">
        <f>VLOOKUP($I16,科技表!$1:$1048576,3,0)</f>
        <v>科技树类型1</v>
      </c>
      <c r="K16" s="34">
        <v>10018001</v>
      </c>
      <c r="L16" s="34" t="str">
        <f>VLOOKUP($K16,科技表!$1:$1048576,3,0)</f>
        <v>科技树类型2</v>
      </c>
      <c r="M16" s="34">
        <v>10018101</v>
      </c>
      <c r="N16" s="34" t="str">
        <f>VLOOKUP($M16,科技表!$1:$1048576,3,0)</f>
        <v>科技树类型2</v>
      </c>
      <c r="O16" s="34">
        <v>10019001</v>
      </c>
      <c r="P16" s="34" t="str">
        <f>VLOOKUP($O16,科技表!$1:$1048576,3,0)</f>
        <v>科技树类型3</v>
      </c>
      <c r="Q16" s="34">
        <v>10019101</v>
      </c>
      <c r="R16" s="34" t="str">
        <f>VLOOKUP($Q16,科技表!$1:$1048576,3,0)</f>
        <v>科技树类型3</v>
      </c>
      <c r="S16" s="34">
        <v>10020001</v>
      </c>
      <c r="T16" s="34" t="str">
        <f>VLOOKUP($S16,科技表!$1:$1048576,3,0)</f>
        <v>科技树类型4</v>
      </c>
      <c r="U16" s="34">
        <v>10020101</v>
      </c>
      <c r="V16" s="34" t="str">
        <f>VLOOKUP($U16,科技表!$1:$1048576,3,0)</f>
        <v>科技树类型4</v>
      </c>
      <c r="W16" s="34">
        <v>10021201</v>
      </c>
      <c r="Y16" s="34">
        <v>10022201</v>
      </c>
      <c r="AA16" s="49"/>
      <c r="AN16" s="49"/>
    </row>
    <row r="17" spans="1:54" s="35" customFormat="1" x14ac:dyDescent="0.15">
      <c r="A17" s="35">
        <v>20000228</v>
      </c>
      <c r="B17" s="50" t="s">
        <v>149</v>
      </c>
      <c r="C17" s="35" t="s">
        <v>298</v>
      </c>
      <c r="D17" s="35" t="s">
        <v>294</v>
      </c>
      <c r="E17" s="35">
        <v>20000225</v>
      </c>
      <c r="F17" s="35">
        <v>11008001</v>
      </c>
      <c r="G17" s="35">
        <v>11011001</v>
      </c>
      <c r="H17" s="51" t="str">
        <f>VLOOKUP($G17,科技表!$1:$1048576,3,0)</f>
        <v>科技树类型1</v>
      </c>
      <c r="I17" s="35">
        <v>11012001</v>
      </c>
      <c r="J17" s="35" t="str">
        <f>VLOOKUP($I17,科技表!$1:$1048576,3,0)</f>
        <v>科技树类型1</v>
      </c>
      <c r="K17" s="35">
        <v>11006001</v>
      </c>
      <c r="M17" s="35">
        <v>11022001</v>
      </c>
      <c r="O17" s="35">
        <v>11021001</v>
      </c>
      <c r="Q17" s="51"/>
      <c r="R17" s="51"/>
      <c r="AN17" s="51"/>
      <c r="AU17" s="35">
        <v>11009001</v>
      </c>
      <c r="AW17" s="35">
        <v>11003001</v>
      </c>
      <c r="AY17" s="35">
        <v>11004001</v>
      </c>
      <c r="BA17" s="35">
        <v>11005001</v>
      </c>
    </row>
    <row r="18" spans="1:54" s="35" customFormat="1" x14ac:dyDescent="0.15">
      <c r="A18" s="35">
        <v>20000229</v>
      </c>
      <c r="B18" s="50" t="s">
        <v>153</v>
      </c>
      <c r="C18" s="35" t="s">
        <v>298</v>
      </c>
      <c r="D18" s="35" t="s">
        <v>295</v>
      </c>
      <c r="E18" s="35">
        <v>20000226</v>
      </c>
      <c r="G18" s="31">
        <v>11011101</v>
      </c>
      <c r="H18" s="31" t="str">
        <f>VLOOKUP($G18,科技表!$1:$1048576,3,0)</f>
        <v>科技树类型1</v>
      </c>
      <c r="I18" s="31">
        <v>11012101</v>
      </c>
      <c r="J18" s="31" t="str">
        <f>VLOOKUP($I18,科技表!$1:$1048576,3,0)</f>
        <v>科技树类型1</v>
      </c>
      <c r="K18" s="31">
        <v>11013001</v>
      </c>
      <c r="L18" s="31" t="str">
        <f>VLOOKUP($K18,科技表!$1:$1048576,3,0)</f>
        <v>科技树类型1</v>
      </c>
      <c r="M18" s="31">
        <v>11013101</v>
      </c>
      <c r="N18" s="31" t="str">
        <f>VLOOKUP($M18,科技表!$1:$1048576,3,0)</f>
        <v>科技树类型1</v>
      </c>
      <c r="O18" s="31">
        <v>11014001</v>
      </c>
      <c r="P18" s="31" t="str">
        <f>VLOOKUP($O18,科技表!$1:$1048576,3,0)</f>
        <v>科技树类型1</v>
      </c>
      <c r="Q18" s="31">
        <v>11014101</v>
      </c>
      <c r="R18" s="31" t="str">
        <f>VLOOKUP($Q18,科技表!$1:$1048576,3,0)</f>
        <v>科技树类型1</v>
      </c>
      <c r="S18" s="31">
        <v>11015001</v>
      </c>
      <c r="T18" s="31" t="str">
        <f>VLOOKUP($S18,科技表!$1:$1048576,3,0)</f>
        <v>科技树类型2</v>
      </c>
      <c r="U18" s="31">
        <v>11015101</v>
      </c>
      <c r="V18" s="31" t="str">
        <f>VLOOKUP($U18,科技表!$1:$1048576,3,0)</f>
        <v>科技树类型2</v>
      </c>
      <c r="W18" s="31">
        <v>11015201</v>
      </c>
      <c r="X18" s="31" t="str">
        <f>VLOOKUP($W18,科技表!$1:$1048576,3,0)</f>
        <v>科技树类型2</v>
      </c>
      <c r="Y18" s="31">
        <v>11016001</v>
      </c>
      <c r="Z18" s="31" t="str">
        <f>VLOOKUP($Y18,科技表!$1:$1048576,3,0)</f>
        <v>科技树类型3</v>
      </c>
      <c r="AA18" s="31">
        <v>11016101</v>
      </c>
      <c r="AB18" s="31" t="str">
        <f>VLOOKUP($AA18,科技表!$1:$1048576,3,0)</f>
        <v>科技树类型3</v>
      </c>
      <c r="AC18" s="31">
        <v>11016201</v>
      </c>
      <c r="AD18" s="31" t="str">
        <f>VLOOKUP($AA18,科技表!$1:$1048576,3,0)</f>
        <v>科技树类型3</v>
      </c>
      <c r="AE18" s="31">
        <v>11017001</v>
      </c>
      <c r="AF18" s="31" t="str">
        <f>VLOOKUP($AE18,科技表!$1:$1048576,3,0)</f>
        <v>科技树类型4</v>
      </c>
      <c r="AG18" s="31">
        <v>11017101</v>
      </c>
      <c r="AH18" s="31" t="str">
        <f>VLOOKUP($AG18,科技表!$1:$1048576,3,0)</f>
        <v>科技树类型4</v>
      </c>
      <c r="AI18" s="31">
        <v>11018001</v>
      </c>
      <c r="AJ18" s="31" t="str">
        <f>VLOOKUP($AI18,科技表!$1:$1048576,3,0)</f>
        <v>科技树类型4</v>
      </c>
      <c r="AK18" s="31">
        <v>11018101</v>
      </c>
      <c r="AL18" s="31" t="str">
        <f>VLOOKUP($AK18,科技表!$1:$1048576,3,0)</f>
        <v>科技树类型4</v>
      </c>
      <c r="AM18" s="31">
        <v>11021101</v>
      </c>
      <c r="AN18" s="31"/>
      <c r="AO18" s="31">
        <v>11022101</v>
      </c>
      <c r="AP18" s="31"/>
      <c r="AQ18" s="31">
        <v>11013301</v>
      </c>
      <c r="AR18" s="42" t="str">
        <f>VLOOKUP($AQ18,科技表!$1:$1048576,3,0)</f>
        <v>科技树类型1</v>
      </c>
      <c r="AS18" s="31"/>
      <c r="AT18" s="31"/>
      <c r="AU18" s="35">
        <v>11010001</v>
      </c>
    </row>
    <row r="19" spans="1:54" s="35" customFormat="1" x14ac:dyDescent="0.15">
      <c r="A19" s="35">
        <v>20000230</v>
      </c>
      <c r="B19" s="50" t="s">
        <v>157</v>
      </c>
      <c r="C19" s="35" t="s">
        <v>298</v>
      </c>
      <c r="D19" s="35" t="s">
        <v>296</v>
      </c>
      <c r="E19" s="35">
        <v>20000227</v>
      </c>
      <c r="G19" s="31">
        <v>11013201</v>
      </c>
      <c r="H19" s="31" t="str">
        <f>VLOOKUP($G19,科技表!$1:$1048576,3,0)</f>
        <v>科技树类型1</v>
      </c>
      <c r="I19" s="31">
        <v>11014201</v>
      </c>
      <c r="J19" s="31" t="str">
        <f>VLOOKUP($I19,科技表!$1:$1048576,3,0)</f>
        <v>科技树类型1</v>
      </c>
      <c r="K19" s="31">
        <v>11015301</v>
      </c>
      <c r="L19" s="31" t="str">
        <f>VLOOKUP($K19,科技表!$1:$1048576,3,0)</f>
        <v>科技树类型2</v>
      </c>
      <c r="M19" s="31">
        <v>11019001</v>
      </c>
      <c r="N19" s="31" t="str">
        <f>VLOOKUP($M19,科技表!$1:$1048576,3,0)</f>
        <v>科技树类型3</v>
      </c>
      <c r="O19" s="31">
        <v>11019101</v>
      </c>
      <c r="P19" s="31" t="str">
        <f>VLOOKUP($O19,科技表!$1:$1048576,3,0)</f>
        <v>科技树类型3</v>
      </c>
      <c r="Q19" s="31">
        <v>11020001</v>
      </c>
      <c r="R19" s="31" t="str">
        <f>VLOOKUP($Q19,科技表!$1:$1048576,3,0)</f>
        <v>科技树类型2</v>
      </c>
      <c r="S19" s="31">
        <v>11020101</v>
      </c>
      <c r="T19" s="31" t="str">
        <f>VLOOKUP($S19,科技表!$1:$1048576,3,0)</f>
        <v>科技树类型2</v>
      </c>
      <c r="U19" s="31">
        <v>11021201</v>
      </c>
      <c r="V19" s="31"/>
      <c r="W19" s="31">
        <v>11022201</v>
      </c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42"/>
      <c r="AO19" s="31"/>
      <c r="AP19" s="31"/>
      <c r="AQ19" s="31"/>
      <c r="AR19" s="31"/>
      <c r="AS19" s="31"/>
      <c r="AT19" s="31"/>
    </row>
    <row r="20" spans="1:54" s="36" customFormat="1" x14ac:dyDescent="0.15">
      <c r="A20" s="36">
        <v>20000323</v>
      </c>
      <c r="B20" s="52" t="s">
        <v>297</v>
      </c>
      <c r="C20" s="36" t="s">
        <v>298</v>
      </c>
      <c r="D20" s="36" t="s">
        <v>294</v>
      </c>
      <c r="E20" s="36">
        <v>20000320</v>
      </c>
      <c r="F20" s="36">
        <v>12008001</v>
      </c>
      <c r="G20" s="32">
        <v>12011001</v>
      </c>
      <c r="H20" s="32" t="str">
        <f>VLOOKUP($G20,科技表!$1:$1048576,3,0)</f>
        <v>科技树类型1</v>
      </c>
      <c r="I20" s="32">
        <v>12011101</v>
      </c>
      <c r="J20" s="32" t="str">
        <f>VLOOKUP($I20,科技表!$1:$1048576,3,0)</f>
        <v>科技树类型1</v>
      </c>
      <c r="K20" s="32">
        <v>12012001</v>
      </c>
      <c r="L20" s="32" t="str">
        <f>VLOOKUP($K20,科技表!$1:$1048576,3,0)</f>
        <v>科技树类型1</v>
      </c>
      <c r="M20" s="32">
        <v>12006001</v>
      </c>
      <c r="N20" s="32"/>
      <c r="O20" s="32">
        <v>12022001</v>
      </c>
      <c r="P20" s="32"/>
      <c r="Q20" s="32">
        <v>12021001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U20" s="36">
        <v>12009001</v>
      </c>
      <c r="AW20" s="36">
        <v>12003001</v>
      </c>
      <c r="AY20" s="36">
        <v>12004001</v>
      </c>
      <c r="BA20" s="36">
        <v>12005001</v>
      </c>
    </row>
    <row r="21" spans="1:54" s="36" customFormat="1" x14ac:dyDescent="0.15">
      <c r="A21" s="36">
        <v>20000324</v>
      </c>
      <c r="B21" s="52" t="s">
        <v>174</v>
      </c>
      <c r="C21" s="36" t="s">
        <v>298</v>
      </c>
      <c r="D21" s="36" t="s">
        <v>295</v>
      </c>
      <c r="E21" s="36">
        <v>20000321</v>
      </c>
      <c r="G21" s="32">
        <v>12011201</v>
      </c>
      <c r="H21" s="32" t="str">
        <f>VLOOKUP($G21,科技表!$1:$1048576,3,0)</f>
        <v>科技树类型1</v>
      </c>
      <c r="I21" s="32">
        <v>12012101</v>
      </c>
      <c r="J21" s="32" t="str">
        <f>VLOOKUP($I21,科技表!$1:$1048576,3,0)</f>
        <v>科技树类型1</v>
      </c>
      <c r="K21" s="32">
        <v>12013001</v>
      </c>
      <c r="L21" s="32" t="str">
        <f>VLOOKUP($K21,科技表!$1:$1048576,3,0)</f>
        <v>科技树类型1</v>
      </c>
      <c r="M21" s="32">
        <v>12013101</v>
      </c>
      <c r="N21" s="32" t="str">
        <f>VLOOKUP($M21,科技表!$1:$1048576,3,0)</f>
        <v>科技树类型1</v>
      </c>
      <c r="O21" s="32">
        <v>12014001</v>
      </c>
      <c r="P21" s="32" t="str">
        <f>VLOOKUP($O21,科技表!$1:$1048576,3,0)</f>
        <v>科技树类型1</v>
      </c>
      <c r="Q21" s="32">
        <v>12014101</v>
      </c>
      <c r="R21" s="32" t="str">
        <f>VLOOKUP($Q21,科技表!$1:$1048576,3,0)</f>
        <v>科技树类型1</v>
      </c>
      <c r="S21" s="32">
        <v>12015001</v>
      </c>
      <c r="T21" s="32" t="str">
        <f>VLOOKUP($S21,科技表!$1:$1048576,3,0)</f>
        <v>科技树类型3</v>
      </c>
      <c r="U21" s="32">
        <v>12015101</v>
      </c>
      <c r="V21" s="32" t="str">
        <f>VLOOKUP($U21,科技表!$1:$1048576,3,0)</f>
        <v>科技树类型3</v>
      </c>
      <c r="W21" s="32">
        <v>12015201</v>
      </c>
      <c r="X21" s="32" t="str">
        <f>VLOOKUP($W21,科技表!$1:$1048576,3,0)</f>
        <v>科技树类型3</v>
      </c>
      <c r="Y21" s="32">
        <v>12016001</v>
      </c>
      <c r="Z21" s="32" t="str">
        <f>VLOOKUP($Y21,科技表!$1:$1048576,3,0)</f>
        <v>科技树类型4</v>
      </c>
      <c r="AA21" s="32">
        <v>12016101</v>
      </c>
      <c r="AB21" s="32" t="str">
        <f>VLOOKUP($AA21,科技表!$1:$1048576,3,0)</f>
        <v>科技树类型4</v>
      </c>
      <c r="AC21" s="32">
        <v>12017001</v>
      </c>
      <c r="AD21" s="32" t="str">
        <f>VLOOKUP($AC21,科技表!$1:$1048576,3,0)</f>
        <v>科技树类型2</v>
      </c>
      <c r="AE21" s="32">
        <v>12017101</v>
      </c>
      <c r="AF21" s="32" t="str">
        <f>VLOOKUP($AE21,科技表!$1:$1048576,3,0)</f>
        <v>科技树类型2</v>
      </c>
      <c r="AG21" s="32">
        <v>12021101</v>
      </c>
      <c r="AH21" s="32"/>
      <c r="AI21" s="32">
        <v>12022101</v>
      </c>
      <c r="AJ21" s="32"/>
      <c r="AK21" s="32"/>
      <c r="AL21" s="32"/>
      <c r="AM21" s="32"/>
      <c r="AN21" s="32"/>
      <c r="AU21" s="36">
        <v>12010001</v>
      </c>
    </row>
    <row r="22" spans="1:54" s="36" customFormat="1" x14ac:dyDescent="0.15">
      <c r="A22" s="36">
        <v>20000325</v>
      </c>
      <c r="B22" s="52" t="s">
        <v>178</v>
      </c>
      <c r="C22" s="36" t="s">
        <v>298</v>
      </c>
      <c r="D22" s="36" t="s">
        <v>296</v>
      </c>
      <c r="E22" s="36">
        <v>20000322</v>
      </c>
      <c r="G22" s="32">
        <v>12013201</v>
      </c>
      <c r="H22" s="32" t="str">
        <f>VLOOKUP($G22,科技表!$1:$1048576,3,0)</f>
        <v>科技树类型1</v>
      </c>
      <c r="I22" s="32">
        <v>12014201</v>
      </c>
      <c r="J22" s="32" t="str">
        <f>VLOOKUP($I22,科技表!$1:$1048576,3,0)</f>
        <v>科技树类型1</v>
      </c>
      <c r="K22" s="32">
        <v>12018001</v>
      </c>
      <c r="L22" s="32" t="str">
        <f>VLOOKUP($K22,科技表!$1:$1048576,3,0)</f>
        <v>科技树类型2</v>
      </c>
      <c r="M22" s="32">
        <v>12018101</v>
      </c>
      <c r="N22" s="32" t="str">
        <f>VLOOKUP($M22,科技表!$1:$1048576,3,0)</f>
        <v>科技树类型2</v>
      </c>
      <c r="O22" s="32">
        <v>12019001</v>
      </c>
      <c r="P22" s="32" t="str">
        <f>VLOOKUP($O22,科技表!$1:$1048576,3,0)</f>
        <v>科技树类型4</v>
      </c>
      <c r="Q22" s="32">
        <v>12019101</v>
      </c>
      <c r="R22" s="32" t="str">
        <f>VLOOKUP($Q22,科技表!$1:$1048576,3,0)</f>
        <v>科技树类型4</v>
      </c>
      <c r="S22" s="32">
        <v>12020001</v>
      </c>
      <c r="T22" s="32" t="str">
        <f>VLOOKUP($S22,科技表!$1:$1048576,3,0)</f>
        <v>科技树类型3</v>
      </c>
      <c r="U22" s="32">
        <v>12020101</v>
      </c>
      <c r="V22" s="32" t="str">
        <f>VLOOKUP($U22,科技表!$1:$1048576,3,0)</f>
        <v>科技树类型3</v>
      </c>
      <c r="W22" s="32">
        <v>12020201</v>
      </c>
      <c r="X22" s="32" t="str">
        <f>VLOOKUP($W22,科技表!$1:$1048576,3,0)</f>
        <v>科技树类型3</v>
      </c>
      <c r="Y22" s="32">
        <v>12020301</v>
      </c>
      <c r="Z22" s="32" t="str">
        <f>VLOOKUP($Y22,科技表!$1:$1048576,3,0)</f>
        <v>科技树类型3</v>
      </c>
      <c r="AA22" s="32">
        <v>12021201</v>
      </c>
      <c r="AB22" s="32"/>
      <c r="AC22" s="32">
        <v>12017201</v>
      </c>
      <c r="AD22" s="32" t="str">
        <f>VLOOKUP($AC22,科技表!$1:$1048576,3,0)</f>
        <v>科技树类型2</v>
      </c>
      <c r="AE22" s="32">
        <v>12023101</v>
      </c>
      <c r="AF22" s="32"/>
      <c r="AG22" s="32">
        <v>12024101</v>
      </c>
      <c r="AH22" s="32"/>
      <c r="AI22" s="32">
        <v>12015011</v>
      </c>
      <c r="AJ22" s="32" t="str">
        <f>VLOOKUP($AI22,科技表!$1:$1048576,3,0)</f>
        <v>科技树类型3</v>
      </c>
      <c r="AK22" s="32">
        <v>12022201</v>
      </c>
      <c r="AL22" s="32"/>
      <c r="AM22" s="32"/>
      <c r="AN22" s="32"/>
    </row>
    <row r="23" spans="1:54" s="33" customFormat="1" x14ac:dyDescent="0.15">
      <c r="A23" s="46">
        <v>20000428</v>
      </c>
      <c r="B23" s="47" t="s">
        <v>193</v>
      </c>
      <c r="C23" s="46" t="s">
        <v>299</v>
      </c>
      <c r="D23" s="46" t="s">
        <v>294</v>
      </c>
      <c r="E23" s="46">
        <v>20000425</v>
      </c>
      <c r="F23" s="46">
        <v>13008001</v>
      </c>
      <c r="G23" s="33">
        <v>13011001</v>
      </c>
      <c r="H23" s="46" t="str">
        <f>VLOOKUP($G23,科技表!$1:$1048576,3,0)</f>
        <v>科技树类型1</v>
      </c>
      <c r="I23" s="33">
        <v>13011101</v>
      </c>
      <c r="J23" s="33" t="str">
        <f>VLOOKUP($I23,科技表!$1:$1048576,3,0)</f>
        <v>科技树类型1</v>
      </c>
      <c r="K23" s="46">
        <v>13011201</v>
      </c>
      <c r="L23" s="33" t="str">
        <f>VLOOKUP($K23,科技表!$1:$1048576,3,0)</f>
        <v>科技树类型1</v>
      </c>
      <c r="M23" s="33">
        <v>13012001</v>
      </c>
      <c r="N23" s="33" t="str">
        <f>VLOOKUP($M23,科技表!$1:$1048576,3,0)</f>
        <v>科技树类型1</v>
      </c>
      <c r="O23" s="33">
        <v>13006001</v>
      </c>
      <c r="Q23" s="33">
        <v>13022001</v>
      </c>
      <c r="S23" s="33">
        <v>13021001</v>
      </c>
      <c r="U23" s="46">
        <v>13023001</v>
      </c>
      <c r="AN23" s="46"/>
      <c r="AU23" s="33">
        <v>13009001</v>
      </c>
      <c r="AW23" s="33">
        <v>13003001</v>
      </c>
      <c r="AY23" s="33">
        <v>13004001</v>
      </c>
      <c r="BA23" s="33">
        <v>13005001</v>
      </c>
    </row>
    <row r="24" spans="1:54" s="33" customFormat="1" x14ac:dyDescent="0.15">
      <c r="A24" s="46">
        <v>20000429</v>
      </c>
      <c r="B24" s="47" t="s">
        <v>197</v>
      </c>
      <c r="C24" s="46" t="s">
        <v>299</v>
      </c>
      <c r="D24" s="46" t="s">
        <v>295</v>
      </c>
      <c r="E24" s="46">
        <v>20000426</v>
      </c>
      <c r="F24" s="46"/>
      <c r="G24" s="33">
        <v>13012101</v>
      </c>
      <c r="H24" s="46" t="str">
        <f>VLOOKUP($G24,科技表!$1:$1048576,3,0)</f>
        <v>科技树类型1</v>
      </c>
      <c r="I24" s="33">
        <v>13013001</v>
      </c>
      <c r="J24" s="33" t="str">
        <f>VLOOKUP($I24,科技表!$1:$1048576,3,0)</f>
        <v>科技树类型1</v>
      </c>
      <c r="K24" s="33">
        <v>13013101</v>
      </c>
      <c r="L24" s="33" t="str">
        <f>VLOOKUP($K24,科技表!$1:$1048576,3,0)</f>
        <v>科技树类型1</v>
      </c>
      <c r="M24" s="33">
        <v>13014001</v>
      </c>
      <c r="N24" s="33" t="str">
        <f>VLOOKUP($M24,科技表!$1:$1048576,3,0)</f>
        <v>科技树类型3</v>
      </c>
      <c r="O24" s="33">
        <v>13014101</v>
      </c>
      <c r="P24" s="33" t="str">
        <f>VLOOKUP($O24,科技表!$1:$1048576,3,0)</f>
        <v>科技树类型3</v>
      </c>
      <c r="Q24" s="33">
        <v>13014201</v>
      </c>
      <c r="R24" s="33" t="str">
        <f>VLOOKUP($Q24,科技表!$1:$1048576,3,0)</f>
        <v>科技树类型3</v>
      </c>
      <c r="S24" s="33">
        <v>13015001</v>
      </c>
      <c r="T24" s="33" t="str">
        <f>VLOOKUP($S24,科技表!$1:$1048576,3,0)</f>
        <v>科技树类型3</v>
      </c>
      <c r="U24" s="33">
        <v>13015101</v>
      </c>
      <c r="V24" s="33" t="str">
        <f>VLOOKUP($U24,科技表!$1:$1048576,3,0)</f>
        <v>科技树类型3</v>
      </c>
      <c r="W24" s="33">
        <v>13015201</v>
      </c>
      <c r="X24" s="33" t="str">
        <f>VLOOKUP($W24,科技表!$1:$1048576,3,0)</f>
        <v>科技树类型3</v>
      </c>
      <c r="Y24" s="33">
        <v>13016001</v>
      </c>
      <c r="Z24" s="33" t="str">
        <f>VLOOKUP($Y24,科技表!$1:$1048576,3,0)</f>
        <v>科技树类型4</v>
      </c>
      <c r="AA24" s="33">
        <v>13016101</v>
      </c>
      <c r="AB24" s="33" t="str">
        <f>VLOOKUP($AA24,科技表!$1:$1048576,3,0)</f>
        <v>科技树类型4</v>
      </c>
      <c r="AC24" s="33">
        <v>13017001</v>
      </c>
      <c r="AD24" s="33" t="str">
        <f>VLOOKUP($AC24,科技表!$1:$1048576,3,0)</f>
        <v>科技树类型1</v>
      </c>
      <c r="AE24" s="33">
        <v>13017101</v>
      </c>
      <c r="AF24" s="33" t="str">
        <f>VLOOKUP($AE24,科技表!$1:$1048576,3,0)</f>
        <v>科技树类型1</v>
      </c>
      <c r="AG24" s="33">
        <v>13017201</v>
      </c>
      <c r="AH24" s="33" t="str">
        <f>VLOOKUP($AG24,科技表!$1:$1048576,3,0)</f>
        <v>科技树类型1</v>
      </c>
      <c r="AI24" s="33">
        <v>13017301</v>
      </c>
      <c r="AJ24" s="33" t="str">
        <f>VLOOKUP($AI24,科技表!$1:$1048576,3,0)</f>
        <v>科技树类型1</v>
      </c>
      <c r="AK24" s="33">
        <v>13018001</v>
      </c>
      <c r="AL24" s="33" t="str">
        <f>VLOOKUP($AK24,科技表!$1:$1048576,3,0)</f>
        <v>科技树类型2</v>
      </c>
      <c r="AM24" s="33">
        <v>13018101</v>
      </c>
      <c r="AN24" s="46" t="str">
        <f>VLOOKUP($AM24,科技表!$1:$1048576,3,0)</f>
        <v>科技树类型2</v>
      </c>
      <c r="AO24" s="33">
        <v>13021101</v>
      </c>
      <c r="AQ24" s="33">
        <v>13022101</v>
      </c>
      <c r="AU24" s="33">
        <v>13010001</v>
      </c>
    </row>
    <row r="25" spans="1:54" s="33" customFormat="1" x14ac:dyDescent="0.15">
      <c r="A25" s="46">
        <v>20000430</v>
      </c>
      <c r="B25" s="47" t="s">
        <v>201</v>
      </c>
      <c r="C25" s="46" t="s">
        <v>299</v>
      </c>
      <c r="D25" s="46" t="s">
        <v>296</v>
      </c>
      <c r="E25" s="46">
        <v>20000427</v>
      </c>
      <c r="F25" s="46"/>
      <c r="G25" s="33">
        <v>13013201</v>
      </c>
      <c r="H25" s="46" t="str">
        <f>VLOOKUP($G25,科技表!$1:$1048576,3,0)</f>
        <v>科技树类型1</v>
      </c>
      <c r="I25" s="33">
        <v>13015301</v>
      </c>
      <c r="J25" s="33" t="str">
        <f>VLOOKUP($I25,科技表!$1:$1048576,3,0)</f>
        <v>科技树类型3</v>
      </c>
      <c r="K25" s="33">
        <v>13019001</v>
      </c>
      <c r="L25" s="33" t="str">
        <f>VLOOKUP($K25,科技表!$1:$1048576,3,0)</f>
        <v>科技树类型2</v>
      </c>
      <c r="M25" s="33">
        <v>13019101</v>
      </c>
      <c r="N25" s="33" t="str">
        <f>VLOOKUP($M25,科技表!$1:$1048576,3,0)</f>
        <v>科技树类型2</v>
      </c>
      <c r="O25" s="33">
        <v>13019201</v>
      </c>
      <c r="P25" s="33" t="str">
        <f>VLOOKUP($O25,科技表!$1:$1048576,3,0)</f>
        <v>科技树类型2</v>
      </c>
      <c r="Q25" s="33">
        <v>13020001</v>
      </c>
      <c r="R25" s="33" t="str">
        <f>VLOOKUP($Q25,科技表!$1:$1048576,3,0)</f>
        <v>科技树类型4</v>
      </c>
      <c r="S25" s="33">
        <v>13020101</v>
      </c>
      <c r="T25" s="33" t="str">
        <f>VLOOKUP($S25,科技表!$1:$1048576,3,0)</f>
        <v>科技树类型4</v>
      </c>
      <c r="U25" s="33">
        <v>13021201</v>
      </c>
      <c r="W25" s="33">
        <v>13022201</v>
      </c>
      <c r="AN25" s="46"/>
    </row>
    <row r="26" spans="1:54" s="37" customFormat="1" x14ac:dyDescent="0.15">
      <c r="A26" s="53">
        <v>20000704</v>
      </c>
      <c r="B26" s="54" t="s">
        <v>44</v>
      </c>
      <c r="C26" s="53" t="s">
        <v>300</v>
      </c>
      <c r="D26" s="53" t="s">
        <v>294</v>
      </c>
      <c r="E26" s="37">
        <v>20000701</v>
      </c>
      <c r="F26" s="37">
        <v>17000001</v>
      </c>
      <c r="G26" s="37">
        <v>17011001</v>
      </c>
      <c r="H26" s="37" t="str">
        <f>VLOOKUP($G26,科技表!$1:$1048576,3,0)</f>
        <v>科技树类型1</v>
      </c>
      <c r="I26" s="37">
        <v>17011101</v>
      </c>
      <c r="J26" s="37" t="str">
        <f>VLOOKUP($I26,科技表!$1:$1048576,3,0)</f>
        <v>科技树类型1</v>
      </c>
      <c r="K26" s="37">
        <v>17012001</v>
      </c>
      <c r="L26" s="37" t="str">
        <f>VLOOKUP($K26,科技表!$1:$1048576,3,0)</f>
        <v>科技树类型1</v>
      </c>
      <c r="M26" s="37">
        <v>17006001</v>
      </c>
      <c r="O26" s="37">
        <v>17022001</v>
      </c>
      <c r="Q26" s="37">
        <v>17021001</v>
      </c>
      <c r="AU26" s="37">
        <v>17001001</v>
      </c>
      <c r="AV26" s="30"/>
      <c r="AW26" s="37">
        <v>17003001</v>
      </c>
      <c r="AX26" s="30"/>
      <c r="AY26" s="37">
        <v>17004001</v>
      </c>
      <c r="AZ26" s="30"/>
      <c r="BA26" s="37">
        <v>17005001</v>
      </c>
      <c r="BB26" s="30"/>
    </row>
    <row r="27" spans="1:54" s="37" customFormat="1" x14ac:dyDescent="0.15">
      <c r="A27" s="53">
        <v>20000705</v>
      </c>
      <c r="B27" s="54" t="s">
        <v>49</v>
      </c>
      <c r="C27" s="53" t="s">
        <v>300</v>
      </c>
      <c r="D27" s="53" t="s">
        <v>295</v>
      </c>
      <c r="E27" s="37">
        <v>20000702</v>
      </c>
      <c r="G27" s="37">
        <v>17012101</v>
      </c>
      <c r="H27" s="37" t="str">
        <f>VLOOKUP($G27,科技表!$1:$1048576,3,0)</f>
        <v>科技树类型1</v>
      </c>
      <c r="I27" s="37">
        <v>17013001</v>
      </c>
      <c r="J27" s="37" t="str">
        <f>VLOOKUP($I27,科技表!$1:$1048576,3,0)</f>
        <v>科技树类型1</v>
      </c>
      <c r="K27" s="37">
        <v>17013101</v>
      </c>
      <c r="L27" s="37" t="str">
        <f>VLOOKUP($K27,科技表!$1:$1048576,3,0)</f>
        <v>科技树类型1</v>
      </c>
      <c r="M27" s="37">
        <v>17014001</v>
      </c>
      <c r="N27" s="37" t="str">
        <f>VLOOKUP($M27,科技表!$1:$1048576,3,0)</f>
        <v>科技树类型1</v>
      </c>
      <c r="O27" s="37">
        <v>17014101</v>
      </c>
      <c r="P27" s="37" t="str">
        <f>VLOOKUP($O27,科技表!$1:$1048576,3,0)</f>
        <v>科技树类型1</v>
      </c>
      <c r="Q27" s="37">
        <v>17014201</v>
      </c>
      <c r="R27" s="37" t="str">
        <f>VLOOKUP($Q27,科技表!$1:$1048576,3,0)</f>
        <v>科技树类型1</v>
      </c>
      <c r="S27" s="37">
        <v>17015001</v>
      </c>
      <c r="T27" s="37" t="str">
        <f>VLOOKUP($S27,科技表!$1:$1048576,3,0)</f>
        <v>科技树类型2</v>
      </c>
      <c r="U27" s="37">
        <v>17015101</v>
      </c>
      <c r="V27" s="37" t="str">
        <f>VLOOKUP($U27,科技表!$1:$1048576,3,0)</f>
        <v>科技树类型2</v>
      </c>
      <c r="W27" s="37">
        <v>17016001</v>
      </c>
      <c r="X27" s="37" t="str">
        <f>VLOOKUP($W27,科技表!$1:$1048576,3,0)</f>
        <v>科技树类型3</v>
      </c>
      <c r="Y27" s="37">
        <v>17016101</v>
      </c>
      <c r="Z27" s="37" t="str">
        <f>VLOOKUP($Y27,科技表!$1:$1048576,3,0)</f>
        <v>科技树类型3</v>
      </c>
      <c r="AA27" s="37">
        <v>17016201</v>
      </c>
      <c r="AB27" s="37" t="str">
        <f>VLOOKUP($AA27,科技表!$1:$1048576,3,0)</f>
        <v>科技树类型3</v>
      </c>
      <c r="AC27" s="37">
        <v>17016301</v>
      </c>
      <c r="AD27" s="37" t="str">
        <f>VLOOKUP($AC27,科技表!$1:$1048576,3,0)</f>
        <v>科技树类型3</v>
      </c>
      <c r="AE27" s="37">
        <v>17017001</v>
      </c>
      <c r="AF27" s="37" t="str">
        <f>VLOOKUP($AE27,科技表!$1:$1048576,3,0)</f>
        <v>科技树类型4</v>
      </c>
      <c r="AG27" s="37">
        <v>17017101</v>
      </c>
      <c r="AH27" s="37" t="str">
        <f>VLOOKUP($AG27,科技表!$1:$1048576,3,0)</f>
        <v>科技树类型4</v>
      </c>
      <c r="AI27" s="37">
        <v>17021101</v>
      </c>
      <c r="AK27" s="37">
        <v>10022101</v>
      </c>
      <c r="AU27" s="37">
        <v>17002001</v>
      </c>
      <c r="AV27" s="30"/>
      <c r="AX27" s="30"/>
      <c r="AZ27" s="30"/>
      <c r="BB27" s="30"/>
    </row>
    <row r="28" spans="1:54" s="37" customFormat="1" x14ac:dyDescent="0.15">
      <c r="A28" s="53">
        <v>20000706</v>
      </c>
      <c r="B28" s="54" t="s">
        <v>54</v>
      </c>
      <c r="C28" s="53" t="s">
        <v>300</v>
      </c>
      <c r="D28" s="53" t="s">
        <v>296</v>
      </c>
      <c r="E28" s="37">
        <v>20000703</v>
      </c>
      <c r="G28" s="37">
        <v>17013201</v>
      </c>
      <c r="H28" s="37" t="str">
        <f>VLOOKUP($G28,科技表!$1:$1048576,3,0)</f>
        <v>科技树类型1</v>
      </c>
      <c r="I28" s="37">
        <v>17014301</v>
      </c>
      <c r="J28" s="37" t="str">
        <f>VLOOKUP($I28,科技表!$1:$1048576,3,0)</f>
        <v>科技树类型1</v>
      </c>
      <c r="K28" s="37">
        <v>17018001</v>
      </c>
      <c r="L28" s="37" t="str">
        <f>VLOOKUP($K28,科技表!$1:$1048576,3,0)</f>
        <v>科技树类型2</v>
      </c>
      <c r="M28" s="37">
        <v>17018101</v>
      </c>
      <c r="N28" s="37" t="str">
        <f>VLOOKUP($M28,科技表!$1:$1048576,3,0)</f>
        <v>科技树类型2</v>
      </c>
      <c r="O28" s="37">
        <v>17019001</v>
      </c>
      <c r="P28" s="37" t="str">
        <f>VLOOKUP($O28,科技表!$1:$1048576,3,0)</f>
        <v>科技树类型3</v>
      </c>
      <c r="Q28" s="37">
        <v>17019101</v>
      </c>
      <c r="R28" s="37" t="str">
        <f>VLOOKUP($Q28,科技表!$1:$1048576,3,0)</f>
        <v>科技树类型3</v>
      </c>
      <c r="S28" s="37">
        <v>17020001</v>
      </c>
      <c r="T28" s="37" t="str">
        <f>VLOOKUP($S28,科技表!$1:$1048576,3,0)</f>
        <v>科技树类型4</v>
      </c>
      <c r="U28" s="37">
        <v>17020101</v>
      </c>
      <c r="V28" s="37" t="str">
        <f>VLOOKUP($U28,科技表!$1:$1048576,3,0)</f>
        <v>科技树类型4</v>
      </c>
      <c r="W28" s="37">
        <v>17021201</v>
      </c>
      <c r="Y28" s="37">
        <v>17022201</v>
      </c>
      <c r="AV28" s="30"/>
      <c r="AX28" s="30"/>
      <c r="AZ28" s="30"/>
      <c r="BB28" s="30"/>
    </row>
    <row r="29" spans="1:54" s="37" customFormat="1" x14ac:dyDescent="0.15">
      <c r="A29" s="37">
        <v>20000724</v>
      </c>
      <c r="B29" s="55" t="s">
        <v>149</v>
      </c>
      <c r="C29" s="37" t="s">
        <v>300</v>
      </c>
      <c r="D29" s="37" t="s">
        <v>294</v>
      </c>
      <c r="E29" s="37">
        <v>20000721</v>
      </c>
      <c r="F29" s="37">
        <v>18000001</v>
      </c>
      <c r="G29" s="37">
        <v>18011001</v>
      </c>
      <c r="I29" s="37">
        <v>18012001</v>
      </c>
      <c r="K29" s="37">
        <v>18006001</v>
      </c>
      <c r="M29" s="37">
        <v>18022001</v>
      </c>
      <c r="O29" s="37">
        <v>18021001</v>
      </c>
      <c r="AU29" s="37">
        <v>18001001</v>
      </c>
      <c r="AV29" s="30"/>
      <c r="AW29" s="37">
        <v>18003001</v>
      </c>
      <c r="AX29" s="30"/>
      <c r="AY29" s="37">
        <v>18004001</v>
      </c>
      <c r="AZ29" s="30"/>
      <c r="BA29" s="37">
        <v>18005001</v>
      </c>
      <c r="BB29" s="30"/>
    </row>
    <row r="30" spans="1:54" s="37" customFormat="1" x14ac:dyDescent="0.15">
      <c r="A30" s="37">
        <v>20000725</v>
      </c>
      <c r="B30" s="55" t="s">
        <v>153</v>
      </c>
      <c r="C30" s="37" t="s">
        <v>300</v>
      </c>
      <c r="D30" s="37" t="s">
        <v>295</v>
      </c>
      <c r="E30" s="37">
        <v>20000722</v>
      </c>
      <c r="G30" s="37">
        <v>18011101</v>
      </c>
      <c r="I30" s="37">
        <v>18012101</v>
      </c>
      <c r="K30" s="37">
        <v>18013001</v>
      </c>
      <c r="M30" s="37">
        <v>18013101</v>
      </c>
      <c r="O30" s="37">
        <v>18014001</v>
      </c>
      <c r="Q30" s="37">
        <v>18014101</v>
      </c>
      <c r="S30" s="37">
        <v>18015001</v>
      </c>
      <c r="U30" s="37">
        <v>18015101</v>
      </c>
      <c r="W30" s="37">
        <v>18015201</v>
      </c>
      <c r="Y30" s="37">
        <v>18016001</v>
      </c>
      <c r="AA30" s="37">
        <v>18016101</v>
      </c>
      <c r="AC30" s="37">
        <v>18017001</v>
      </c>
      <c r="AE30" s="37">
        <v>18017101</v>
      </c>
      <c r="AG30" s="37">
        <v>18018001</v>
      </c>
      <c r="AI30" s="37">
        <v>18021101</v>
      </c>
      <c r="AK30" s="37">
        <v>18022101</v>
      </c>
      <c r="AU30" s="37">
        <v>18002001</v>
      </c>
      <c r="AV30" s="30"/>
      <c r="AX30" s="30"/>
      <c r="AZ30" s="30"/>
      <c r="BB30" s="30"/>
    </row>
    <row r="31" spans="1:54" s="37" customFormat="1" x14ac:dyDescent="0.15">
      <c r="A31" s="37">
        <v>20000726</v>
      </c>
      <c r="B31" s="55" t="s">
        <v>157</v>
      </c>
      <c r="C31" s="37" t="s">
        <v>300</v>
      </c>
      <c r="D31" s="37" t="s">
        <v>296</v>
      </c>
      <c r="E31" s="37">
        <v>20000723</v>
      </c>
      <c r="G31" s="37">
        <v>18013201</v>
      </c>
      <c r="I31" s="37">
        <v>18014201</v>
      </c>
      <c r="K31" s="37">
        <v>18015301</v>
      </c>
      <c r="M31" s="37">
        <v>18018101</v>
      </c>
      <c r="O31" s="37">
        <v>18019001</v>
      </c>
      <c r="Q31" s="37">
        <v>18019101</v>
      </c>
      <c r="S31" s="37">
        <v>18020001</v>
      </c>
      <c r="U31" s="37">
        <v>18020101</v>
      </c>
      <c r="W31" s="37">
        <v>18021201</v>
      </c>
      <c r="Y31" s="37">
        <v>18022201</v>
      </c>
      <c r="AZ31" s="30"/>
      <c r="BB31" s="30"/>
    </row>
  </sheetData>
  <phoneticPr fontId="8" type="noConversion"/>
  <pageMargins left="0.75" right="0.75" top="1" bottom="1" header="0.51180555555555596" footer="0.511805555555555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34" workbookViewId="0">
      <selection activeCell="J71" sqref="J71"/>
    </sheetView>
  </sheetViews>
  <sheetFormatPr defaultColWidth="8.75" defaultRowHeight="13.5" x14ac:dyDescent="0.15"/>
  <cols>
    <col min="1" max="1" width="9" customWidth="1"/>
  </cols>
  <sheetData>
    <row r="1" spans="1:8" ht="24" x14ac:dyDescent="0.15">
      <c r="A1" s="16" t="s">
        <v>301</v>
      </c>
      <c r="B1" s="17" t="s">
        <v>302</v>
      </c>
      <c r="C1" s="17" t="s">
        <v>303</v>
      </c>
      <c r="D1" s="17" t="s">
        <v>304</v>
      </c>
      <c r="E1" s="17" t="s">
        <v>305</v>
      </c>
      <c r="F1" s="17" t="s">
        <v>306</v>
      </c>
      <c r="G1" s="17" t="s">
        <v>307</v>
      </c>
      <c r="H1" s="18"/>
    </row>
    <row r="2" spans="1:8" x14ac:dyDescent="0.15">
      <c r="A2" s="19">
        <v>20000101</v>
      </c>
      <c r="B2" s="20" t="s">
        <v>71</v>
      </c>
      <c r="C2" s="20" t="s">
        <v>308</v>
      </c>
      <c r="D2" s="20">
        <v>13</v>
      </c>
      <c r="E2" s="20" t="s">
        <v>82</v>
      </c>
      <c r="F2" s="20" t="s">
        <v>308</v>
      </c>
      <c r="G2" s="20">
        <v>72</v>
      </c>
      <c r="H2" s="18"/>
    </row>
    <row r="3" spans="1:8" x14ac:dyDescent="0.15">
      <c r="A3" s="19">
        <v>20000102</v>
      </c>
      <c r="B3" s="20" t="s">
        <v>71</v>
      </c>
      <c r="C3" s="20" t="s">
        <v>308</v>
      </c>
      <c r="D3" s="20">
        <v>23</v>
      </c>
      <c r="E3" s="20" t="s">
        <v>82</v>
      </c>
      <c r="F3" s="20" t="s">
        <v>308</v>
      </c>
      <c r="G3" s="20">
        <v>72</v>
      </c>
      <c r="H3" s="18"/>
    </row>
    <row r="4" spans="1:8" x14ac:dyDescent="0.15">
      <c r="A4" s="19">
        <v>20000103</v>
      </c>
      <c r="B4" s="20" t="s">
        <v>71</v>
      </c>
      <c r="C4" s="20" t="s">
        <v>308</v>
      </c>
      <c r="D4" s="20">
        <v>0</v>
      </c>
      <c r="E4" s="20" t="s">
        <v>82</v>
      </c>
      <c r="F4" s="20" t="s">
        <v>308</v>
      </c>
      <c r="G4" s="20">
        <v>0</v>
      </c>
      <c r="H4" s="18"/>
    </row>
    <row r="5" spans="1:8" x14ac:dyDescent="0.15">
      <c r="A5" s="19">
        <v>20000104</v>
      </c>
      <c r="B5" s="20" t="s">
        <v>71</v>
      </c>
      <c r="C5" s="20" t="s">
        <v>308</v>
      </c>
      <c r="D5" s="20">
        <v>0</v>
      </c>
      <c r="E5" s="20" t="s">
        <v>82</v>
      </c>
      <c r="F5" s="20" t="s">
        <v>308</v>
      </c>
      <c r="G5" s="20">
        <v>0</v>
      </c>
      <c r="H5" s="18"/>
    </row>
    <row r="6" spans="1:8" x14ac:dyDescent="0.15">
      <c r="A6" s="19">
        <v>20000105</v>
      </c>
      <c r="B6" s="20" t="s">
        <v>71</v>
      </c>
      <c r="C6" s="20" t="s">
        <v>308</v>
      </c>
      <c r="D6" s="20">
        <v>18</v>
      </c>
      <c r="E6" s="20" t="s">
        <v>82</v>
      </c>
      <c r="F6" s="20" t="s">
        <v>308</v>
      </c>
      <c r="G6" s="20">
        <v>72</v>
      </c>
      <c r="H6" s="18"/>
    </row>
    <row r="7" spans="1:8" x14ac:dyDescent="0.15">
      <c r="A7" s="19">
        <v>20000106</v>
      </c>
      <c r="B7" s="20" t="s">
        <v>71</v>
      </c>
      <c r="C7" s="20" t="s">
        <v>308</v>
      </c>
      <c r="D7" s="20">
        <v>19</v>
      </c>
      <c r="E7" s="20" t="s">
        <v>82</v>
      </c>
      <c r="F7" s="20" t="s">
        <v>308</v>
      </c>
      <c r="G7" s="20">
        <v>72</v>
      </c>
      <c r="H7" s="18"/>
    </row>
    <row r="8" spans="1:8" x14ac:dyDescent="0.15">
      <c r="A8" s="19">
        <v>20000107</v>
      </c>
      <c r="B8" s="20" t="s">
        <v>71</v>
      </c>
      <c r="C8" s="20" t="s">
        <v>308</v>
      </c>
      <c r="D8" s="20">
        <v>23</v>
      </c>
      <c r="E8" s="20" t="s">
        <v>82</v>
      </c>
      <c r="F8" s="20" t="s">
        <v>308</v>
      </c>
      <c r="G8" s="20">
        <v>72</v>
      </c>
      <c r="H8" s="18"/>
    </row>
    <row r="9" spans="1:8" x14ac:dyDescent="0.15">
      <c r="A9" s="19">
        <v>20000108</v>
      </c>
      <c r="B9" s="20" t="s">
        <v>71</v>
      </c>
      <c r="C9" s="20" t="s">
        <v>308</v>
      </c>
      <c r="D9" s="20">
        <v>30</v>
      </c>
      <c r="E9" s="20" t="s">
        <v>82</v>
      </c>
      <c r="F9" s="20" t="s">
        <v>308</v>
      </c>
      <c r="G9" s="20">
        <v>72</v>
      </c>
      <c r="H9" s="18"/>
    </row>
    <row r="10" spans="1:8" x14ac:dyDescent="0.15">
      <c r="A10" s="19">
        <v>20000109</v>
      </c>
      <c r="B10" s="20" t="s">
        <v>71</v>
      </c>
      <c r="C10" s="20" t="s">
        <v>308</v>
      </c>
      <c r="D10" s="20">
        <v>52</v>
      </c>
      <c r="E10" s="20" t="s">
        <v>82</v>
      </c>
      <c r="F10" s="20" t="s">
        <v>308</v>
      </c>
      <c r="G10" s="20">
        <v>72</v>
      </c>
      <c r="H10" s="18"/>
    </row>
    <row r="11" spans="1:8" x14ac:dyDescent="0.15">
      <c r="A11" s="19">
        <v>20000110</v>
      </c>
      <c r="B11" s="20" t="s">
        <v>71</v>
      </c>
      <c r="C11" s="20" t="s">
        <v>308</v>
      </c>
      <c r="D11" s="20">
        <v>40</v>
      </c>
      <c r="E11" s="20" t="s">
        <v>82</v>
      </c>
      <c r="F11" s="20" t="s">
        <v>308</v>
      </c>
      <c r="G11" s="20">
        <v>72</v>
      </c>
      <c r="H11" s="18"/>
    </row>
    <row r="12" spans="1:8" x14ac:dyDescent="0.15">
      <c r="A12" s="21">
        <v>20000201</v>
      </c>
      <c r="B12" s="22" t="s">
        <v>71</v>
      </c>
      <c r="C12" s="22" t="s">
        <v>308</v>
      </c>
      <c r="D12" s="22">
        <v>20</v>
      </c>
      <c r="E12" s="22" t="s">
        <v>82</v>
      </c>
      <c r="F12" s="22" t="s">
        <v>308</v>
      </c>
      <c r="G12" s="22">
        <v>72</v>
      </c>
      <c r="H12" s="18"/>
    </row>
    <row r="13" spans="1:8" x14ac:dyDescent="0.15">
      <c r="A13" s="21">
        <v>20000202</v>
      </c>
      <c r="B13" s="22" t="s">
        <v>71</v>
      </c>
      <c r="C13" s="22" t="s">
        <v>308</v>
      </c>
      <c r="D13" s="22">
        <v>19</v>
      </c>
      <c r="E13" s="22" t="s">
        <v>82</v>
      </c>
      <c r="F13" s="22" t="s">
        <v>308</v>
      </c>
      <c r="G13" s="22">
        <v>72</v>
      </c>
      <c r="H13" s="18"/>
    </row>
    <row r="14" spans="1:8" x14ac:dyDescent="0.15">
      <c r="A14" s="21">
        <v>20000203</v>
      </c>
      <c r="B14" s="22" t="s">
        <v>71</v>
      </c>
      <c r="C14" s="22" t="s">
        <v>308</v>
      </c>
      <c r="D14" s="22">
        <v>0</v>
      </c>
      <c r="E14" s="22" t="s">
        <v>82</v>
      </c>
      <c r="F14" s="22" t="s">
        <v>308</v>
      </c>
      <c r="G14" s="22">
        <v>0</v>
      </c>
      <c r="H14" s="18"/>
    </row>
    <row r="15" spans="1:8" x14ac:dyDescent="0.15">
      <c r="A15" s="21">
        <v>20000204</v>
      </c>
      <c r="B15" s="22" t="s">
        <v>71</v>
      </c>
      <c r="C15" s="22" t="s">
        <v>308</v>
      </c>
      <c r="D15" s="22">
        <v>0</v>
      </c>
      <c r="E15" s="22" t="s">
        <v>82</v>
      </c>
      <c r="F15" s="22" t="s">
        <v>308</v>
      </c>
      <c r="G15" s="22">
        <v>0</v>
      </c>
      <c r="H15" s="18"/>
    </row>
    <row r="16" spans="1:8" x14ac:dyDescent="0.15">
      <c r="A16" s="21">
        <v>20000205</v>
      </c>
      <c r="B16" s="22" t="s">
        <v>71</v>
      </c>
      <c r="C16" s="22" t="s">
        <v>308</v>
      </c>
      <c r="D16" s="22">
        <v>0</v>
      </c>
      <c r="E16" s="22" t="s">
        <v>82</v>
      </c>
      <c r="F16" s="22" t="s">
        <v>308</v>
      </c>
      <c r="G16" s="22">
        <v>0</v>
      </c>
      <c r="H16" s="18"/>
    </row>
    <row r="17" spans="1:8" x14ac:dyDescent="0.15">
      <c r="A17" s="21">
        <v>20000206</v>
      </c>
      <c r="B17" s="22" t="s">
        <v>71</v>
      </c>
      <c r="C17" s="22" t="s">
        <v>308</v>
      </c>
      <c r="D17" s="22">
        <v>25</v>
      </c>
      <c r="E17" s="22" t="s">
        <v>82</v>
      </c>
      <c r="F17" s="22" t="s">
        <v>308</v>
      </c>
      <c r="G17" s="22">
        <v>72</v>
      </c>
      <c r="H17" s="18"/>
    </row>
    <row r="18" spans="1:8" x14ac:dyDescent="0.15">
      <c r="A18" s="21">
        <v>20000207</v>
      </c>
      <c r="B18" s="22" t="s">
        <v>71</v>
      </c>
      <c r="C18" s="22" t="s">
        <v>308</v>
      </c>
      <c r="D18" s="22">
        <v>15</v>
      </c>
      <c r="E18" s="22" t="s">
        <v>82</v>
      </c>
      <c r="F18" s="22" t="s">
        <v>308</v>
      </c>
      <c r="G18" s="22">
        <v>72</v>
      </c>
      <c r="H18" s="18"/>
    </row>
    <row r="19" spans="1:8" x14ac:dyDescent="0.15">
      <c r="A19" s="21">
        <v>20000208</v>
      </c>
      <c r="B19" s="22" t="s">
        <v>71</v>
      </c>
      <c r="C19" s="22" t="s">
        <v>308</v>
      </c>
      <c r="D19" s="22">
        <v>41</v>
      </c>
      <c r="E19" s="22" t="s">
        <v>82</v>
      </c>
      <c r="F19" s="22" t="s">
        <v>308</v>
      </c>
      <c r="G19" s="22">
        <v>72</v>
      </c>
      <c r="H19" s="18"/>
    </row>
    <row r="20" spans="1:8" x14ac:dyDescent="0.15">
      <c r="A20" s="21">
        <v>20000209</v>
      </c>
      <c r="B20" s="22" t="s">
        <v>71</v>
      </c>
      <c r="C20" s="22" t="s">
        <v>308</v>
      </c>
      <c r="D20" s="22">
        <v>60</v>
      </c>
      <c r="E20" s="22" t="s">
        <v>82</v>
      </c>
      <c r="F20" s="22" t="s">
        <v>308</v>
      </c>
      <c r="G20" s="22">
        <v>72</v>
      </c>
      <c r="H20" s="18"/>
    </row>
    <row r="21" spans="1:8" x14ac:dyDescent="0.15">
      <c r="A21" s="21">
        <v>20000210</v>
      </c>
      <c r="B21" s="22" t="s">
        <v>71</v>
      </c>
      <c r="C21" s="22" t="s">
        <v>308</v>
      </c>
      <c r="D21" s="22">
        <v>33</v>
      </c>
      <c r="E21" s="22" t="s">
        <v>82</v>
      </c>
      <c r="F21" s="22" t="s">
        <v>308</v>
      </c>
      <c r="G21" s="22">
        <v>72</v>
      </c>
      <c r="H21" s="18"/>
    </row>
    <row r="22" spans="1:8" x14ac:dyDescent="0.15">
      <c r="A22" s="23">
        <v>20000301</v>
      </c>
      <c r="B22" s="24" t="s">
        <v>71</v>
      </c>
      <c r="C22" s="24" t="s">
        <v>308</v>
      </c>
      <c r="D22" s="24">
        <v>13</v>
      </c>
      <c r="E22" s="24" t="s">
        <v>82</v>
      </c>
      <c r="F22" s="24" t="s">
        <v>308</v>
      </c>
      <c r="G22" s="24">
        <v>72</v>
      </c>
      <c r="H22" s="18"/>
    </row>
    <row r="23" spans="1:8" x14ac:dyDescent="0.15">
      <c r="A23" s="23">
        <v>20000302</v>
      </c>
      <c r="B23" s="24" t="s">
        <v>71</v>
      </c>
      <c r="C23" s="24" t="s">
        <v>308</v>
      </c>
      <c r="D23" s="24">
        <v>29</v>
      </c>
      <c r="E23" s="24" t="s">
        <v>82</v>
      </c>
      <c r="F23" s="24" t="s">
        <v>308</v>
      </c>
      <c r="G23" s="24">
        <v>72</v>
      </c>
      <c r="H23" s="18"/>
    </row>
    <row r="24" spans="1:8" x14ac:dyDescent="0.15">
      <c r="A24" s="23">
        <v>20000303</v>
      </c>
      <c r="B24" s="24" t="s">
        <v>71</v>
      </c>
      <c r="C24" s="24" t="s">
        <v>308</v>
      </c>
      <c r="D24" s="24">
        <v>0</v>
      </c>
      <c r="E24" s="24" t="s">
        <v>82</v>
      </c>
      <c r="F24" s="24" t="s">
        <v>308</v>
      </c>
      <c r="G24" s="24">
        <v>0</v>
      </c>
      <c r="H24" s="18"/>
    </row>
    <row r="25" spans="1:8" x14ac:dyDescent="0.15">
      <c r="A25" s="23">
        <v>20000304</v>
      </c>
      <c r="B25" s="24" t="s">
        <v>71</v>
      </c>
      <c r="C25" s="24" t="s">
        <v>308</v>
      </c>
      <c r="D25" s="24">
        <v>0</v>
      </c>
      <c r="E25" s="24" t="s">
        <v>82</v>
      </c>
      <c r="F25" s="24" t="s">
        <v>308</v>
      </c>
      <c r="G25" s="24">
        <v>0</v>
      </c>
      <c r="H25" s="18"/>
    </row>
    <row r="26" spans="1:8" x14ac:dyDescent="0.15">
      <c r="A26" s="23">
        <v>20000305</v>
      </c>
      <c r="B26" s="24" t="s">
        <v>71</v>
      </c>
      <c r="C26" s="24" t="s">
        <v>308</v>
      </c>
      <c r="D26" s="24">
        <v>25</v>
      </c>
      <c r="E26" s="24" t="s">
        <v>82</v>
      </c>
      <c r="F26" s="24" t="s">
        <v>308</v>
      </c>
      <c r="G26" s="24">
        <v>72</v>
      </c>
      <c r="H26" s="18"/>
    </row>
    <row r="27" spans="1:8" x14ac:dyDescent="0.15">
      <c r="A27" s="23">
        <v>20000306</v>
      </c>
      <c r="B27" s="24" t="s">
        <v>71</v>
      </c>
      <c r="C27" s="24" t="s">
        <v>308</v>
      </c>
      <c r="D27" s="24">
        <v>30</v>
      </c>
      <c r="E27" s="24" t="s">
        <v>82</v>
      </c>
      <c r="F27" s="24" t="s">
        <v>308</v>
      </c>
      <c r="G27" s="24">
        <v>72</v>
      </c>
      <c r="H27" s="18"/>
    </row>
    <row r="28" spans="1:8" x14ac:dyDescent="0.15">
      <c r="A28" s="23">
        <v>20000307</v>
      </c>
      <c r="B28" s="24" t="s">
        <v>71</v>
      </c>
      <c r="C28" s="24" t="s">
        <v>308</v>
      </c>
      <c r="D28" s="24">
        <v>52</v>
      </c>
      <c r="E28" s="24" t="s">
        <v>82</v>
      </c>
      <c r="F28" s="24" t="s">
        <v>308</v>
      </c>
      <c r="G28" s="24">
        <v>72</v>
      </c>
      <c r="H28" s="18"/>
    </row>
    <row r="29" spans="1:8" x14ac:dyDescent="0.15">
      <c r="A29" s="23">
        <v>20000308</v>
      </c>
      <c r="B29" s="24" t="s">
        <v>71</v>
      </c>
      <c r="C29" s="24" t="s">
        <v>308</v>
      </c>
      <c r="D29" s="24">
        <v>38</v>
      </c>
      <c r="E29" s="24" t="s">
        <v>82</v>
      </c>
      <c r="F29" s="24" t="s">
        <v>308</v>
      </c>
      <c r="G29" s="24">
        <v>72</v>
      </c>
      <c r="H29" s="18"/>
    </row>
    <row r="30" spans="1:8" x14ac:dyDescent="0.15">
      <c r="A30" s="23">
        <v>20000309</v>
      </c>
      <c r="B30" s="24" t="s">
        <v>71</v>
      </c>
      <c r="C30" s="24" t="s">
        <v>308</v>
      </c>
      <c r="D30" s="24">
        <v>70</v>
      </c>
      <c r="E30" s="24" t="s">
        <v>82</v>
      </c>
      <c r="F30" s="24" t="s">
        <v>308</v>
      </c>
      <c r="G30" s="24">
        <v>72</v>
      </c>
      <c r="H30" s="18"/>
    </row>
    <row r="31" spans="1:8" x14ac:dyDescent="0.15">
      <c r="A31" s="23">
        <v>20000310</v>
      </c>
      <c r="B31" s="24" t="s">
        <v>71</v>
      </c>
      <c r="C31" s="24" t="s">
        <v>308</v>
      </c>
      <c r="D31" s="24">
        <v>18</v>
      </c>
      <c r="E31" s="24" t="s">
        <v>82</v>
      </c>
      <c r="F31" s="24" t="s">
        <v>308</v>
      </c>
      <c r="G31" s="24">
        <v>72</v>
      </c>
      <c r="H31" s="18"/>
    </row>
    <row r="32" spans="1:8" x14ac:dyDescent="0.15">
      <c r="A32" s="23">
        <v>20000326</v>
      </c>
      <c r="B32" s="24" t="s">
        <v>71</v>
      </c>
      <c r="C32" s="24" t="s">
        <v>308</v>
      </c>
      <c r="D32" s="24">
        <v>15</v>
      </c>
      <c r="E32" s="24" t="s">
        <v>82</v>
      </c>
      <c r="F32" s="24" t="s">
        <v>308</v>
      </c>
      <c r="G32" s="24">
        <v>72</v>
      </c>
      <c r="H32" s="18"/>
    </row>
    <row r="33" spans="1:8" x14ac:dyDescent="0.15">
      <c r="A33" s="23">
        <v>20000327</v>
      </c>
      <c r="B33" s="24" t="s">
        <v>71</v>
      </c>
      <c r="C33" s="24" t="s">
        <v>308</v>
      </c>
      <c r="D33" s="24">
        <v>12</v>
      </c>
      <c r="E33" s="24" t="s">
        <v>82</v>
      </c>
      <c r="F33" s="24" t="s">
        <v>308</v>
      </c>
      <c r="G33" s="24">
        <v>72</v>
      </c>
      <c r="H33" s="18"/>
    </row>
    <row r="34" spans="1:8" x14ac:dyDescent="0.15">
      <c r="A34" s="25">
        <v>20000401</v>
      </c>
      <c r="B34" s="26" t="s">
        <v>71</v>
      </c>
      <c r="C34" s="26" t="s">
        <v>308</v>
      </c>
      <c r="D34" s="26">
        <v>17</v>
      </c>
      <c r="E34" s="26" t="s">
        <v>82</v>
      </c>
      <c r="F34" s="26" t="s">
        <v>308</v>
      </c>
      <c r="G34" s="26">
        <v>72</v>
      </c>
      <c r="H34" s="18"/>
    </row>
    <row r="35" spans="1:8" x14ac:dyDescent="0.15">
      <c r="A35" s="25">
        <v>20000402</v>
      </c>
      <c r="B35" s="26" t="s">
        <v>71</v>
      </c>
      <c r="C35" s="26" t="s">
        <v>308</v>
      </c>
      <c r="D35" s="26">
        <v>17</v>
      </c>
      <c r="E35" s="26" t="s">
        <v>82</v>
      </c>
      <c r="F35" s="26" t="s">
        <v>308</v>
      </c>
      <c r="G35" s="26">
        <v>72</v>
      </c>
      <c r="H35" s="18"/>
    </row>
    <row r="36" spans="1:8" x14ac:dyDescent="0.15">
      <c r="A36" s="25">
        <v>20000403</v>
      </c>
      <c r="B36" s="26" t="s">
        <v>71</v>
      </c>
      <c r="C36" s="26" t="s">
        <v>308</v>
      </c>
      <c r="D36" s="26">
        <v>0</v>
      </c>
      <c r="E36" s="26" t="s">
        <v>82</v>
      </c>
      <c r="F36" s="26" t="s">
        <v>308</v>
      </c>
      <c r="G36" s="26">
        <v>0</v>
      </c>
      <c r="H36" s="18"/>
    </row>
    <row r="37" spans="1:8" x14ac:dyDescent="0.15">
      <c r="A37" s="25">
        <v>20000404</v>
      </c>
      <c r="B37" s="26" t="s">
        <v>71</v>
      </c>
      <c r="C37" s="26" t="s">
        <v>308</v>
      </c>
      <c r="D37" s="26">
        <v>15</v>
      </c>
      <c r="E37" s="26" t="s">
        <v>82</v>
      </c>
      <c r="F37" s="26" t="s">
        <v>308</v>
      </c>
      <c r="G37" s="26">
        <v>72</v>
      </c>
      <c r="H37" s="18"/>
    </row>
    <row r="38" spans="1:8" x14ac:dyDescent="0.15">
      <c r="A38" s="25">
        <v>20000405</v>
      </c>
      <c r="B38" s="26" t="s">
        <v>71</v>
      </c>
      <c r="C38" s="26" t="s">
        <v>308</v>
      </c>
      <c r="D38" s="26">
        <v>0</v>
      </c>
      <c r="E38" s="26" t="s">
        <v>82</v>
      </c>
      <c r="F38" s="26" t="s">
        <v>308</v>
      </c>
      <c r="G38" s="26">
        <v>0</v>
      </c>
      <c r="H38" s="18"/>
    </row>
    <row r="39" spans="1:8" x14ac:dyDescent="0.15">
      <c r="A39" s="25">
        <v>20000406</v>
      </c>
      <c r="B39" s="26" t="s">
        <v>71</v>
      </c>
      <c r="C39" s="26" t="s">
        <v>308</v>
      </c>
      <c r="D39" s="26">
        <v>30</v>
      </c>
      <c r="E39" s="26" t="s">
        <v>82</v>
      </c>
      <c r="F39" s="26" t="s">
        <v>308</v>
      </c>
      <c r="G39" s="26">
        <v>72</v>
      </c>
      <c r="H39" s="18"/>
    </row>
    <row r="40" spans="1:8" x14ac:dyDescent="0.15">
      <c r="A40" s="25">
        <v>20000407</v>
      </c>
      <c r="B40" s="26" t="s">
        <v>71</v>
      </c>
      <c r="C40" s="26" t="s">
        <v>308</v>
      </c>
      <c r="D40" s="26">
        <v>24</v>
      </c>
      <c r="E40" s="26" t="s">
        <v>82</v>
      </c>
      <c r="F40" s="26" t="s">
        <v>308</v>
      </c>
      <c r="G40" s="26">
        <v>72</v>
      </c>
      <c r="H40" s="18"/>
    </row>
    <row r="41" spans="1:8" x14ac:dyDescent="0.15">
      <c r="A41" s="25">
        <v>20000408</v>
      </c>
      <c r="B41" s="26" t="s">
        <v>71</v>
      </c>
      <c r="C41" s="26" t="s">
        <v>308</v>
      </c>
      <c r="D41" s="26">
        <v>38</v>
      </c>
      <c r="E41" s="26" t="s">
        <v>82</v>
      </c>
      <c r="F41" s="26" t="s">
        <v>308</v>
      </c>
      <c r="G41" s="26">
        <v>72</v>
      </c>
      <c r="H41" s="18"/>
    </row>
    <row r="42" spans="1:8" x14ac:dyDescent="0.15">
      <c r="A42" s="25">
        <v>20000409</v>
      </c>
      <c r="B42" s="26" t="s">
        <v>71</v>
      </c>
      <c r="C42" s="26" t="s">
        <v>308</v>
      </c>
      <c r="D42" s="26">
        <v>75</v>
      </c>
      <c r="E42" s="26" t="s">
        <v>82</v>
      </c>
      <c r="F42" s="26" t="s">
        <v>308</v>
      </c>
      <c r="G42" s="26">
        <v>72</v>
      </c>
      <c r="H42" s="18"/>
    </row>
    <row r="43" spans="1:8" x14ac:dyDescent="0.15">
      <c r="A43" s="25">
        <v>20000410</v>
      </c>
      <c r="B43" s="26" t="s">
        <v>71</v>
      </c>
      <c r="C43" s="26" t="s">
        <v>308</v>
      </c>
      <c r="D43" s="26">
        <v>43</v>
      </c>
      <c r="E43" s="26" t="s">
        <v>82</v>
      </c>
      <c r="F43" s="26" t="s">
        <v>308</v>
      </c>
      <c r="G43" s="26">
        <v>72</v>
      </c>
      <c r="H43" s="18"/>
    </row>
    <row r="44" spans="1:8" x14ac:dyDescent="0.15">
      <c r="A44" s="27">
        <v>20000707</v>
      </c>
      <c r="B44" s="28" t="s">
        <v>71</v>
      </c>
      <c r="C44" s="28" t="s">
        <v>308</v>
      </c>
      <c r="D44" s="28">
        <v>13</v>
      </c>
      <c r="E44" s="28" t="s">
        <v>82</v>
      </c>
      <c r="F44" s="28" t="s">
        <v>308</v>
      </c>
      <c r="G44" s="28">
        <v>72</v>
      </c>
      <c r="H44" s="18"/>
    </row>
    <row r="45" spans="1:8" x14ac:dyDescent="0.15">
      <c r="A45" s="27">
        <v>20000708</v>
      </c>
      <c r="B45" s="28" t="s">
        <v>71</v>
      </c>
      <c r="C45" s="28" t="s">
        <v>308</v>
      </c>
      <c r="D45" s="28">
        <v>23</v>
      </c>
      <c r="E45" s="28" t="s">
        <v>82</v>
      </c>
      <c r="F45" s="28" t="s">
        <v>308</v>
      </c>
      <c r="G45" s="28">
        <v>72</v>
      </c>
    </row>
    <row r="46" spans="1:8" x14ac:dyDescent="0.15">
      <c r="A46" s="27">
        <v>20000709</v>
      </c>
      <c r="B46" s="28" t="s">
        <v>71</v>
      </c>
      <c r="C46" s="28" t="s">
        <v>308</v>
      </c>
      <c r="D46" s="28">
        <v>0</v>
      </c>
      <c r="E46" s="28" t="s">
        <v>82</v>
      </c>
      <c r="F46" s="28" t="s">
        <v>308</v>
      </c>
      <c r="G46" s="28">
        <v>0</v>
      </c>
    </row>
    <row r="47" spans="1:8" x14ac:dyDescent="0.15">
      <c r="A47" s="27">
        <v>20000710</v>
      </c>
      <c r="B47" s="28" t="s">
        <v>71</v>
      </c>
      <c r="C47" s="28" t="s">
        <v>308</v>
      </c>
      <c r="D47" s="28">
        <v>0</v>
      </c>
      <c r="E47" s="28" t="s">
        <v>82</v>
      </c>
      <c r="F47" s="28" t="s">
        <v>308</v>
      </c>
      <c r="G47" s="28">
        <v>0</v>
      </c>
    </row>
    <row r="48" spans="1:8" x14ac:dyDescent="0.15">
      <c r="A48" s="27">
        <v>20000711</v>
      </c>
      <c r="B48" s="28" t="s">
        <v>71</v>
      </c>
      <c r="C48" s="28" t="s">
        <v>308</v>
      </c>
      <c r="D48" s="28">
        <v>26</v>
      </c>
      <c r="E48" s="28" t="s">
        <v>82</v>
      </c>
      <c r="F48" s="28" t="s">
        <v>308</v>
      </c>
      <c r="G48" s="28">
        <v>72</v>
      </c>
    </row>
    <row r="49" spans="1:7" x14ac:dyDescent="0.15">
      <c r="A49" s="27">
        <v>20000712</v>
      </c>
      <c r="B49" s="28" t="s">
        <v>71</v>
      </c>
      <c r="C49" s="28" t="s">
        <v>308</v>
      </c>
      <c r="D49" s="28">
        <v>19</v>
      </c>
      <c r="E49" s="28" t="s">
        <v>82</v>
      </c>
      <c r="F49" s="28" t="s">
        <v>308</v>
      </c>
      <c r="G49" s="28">
        <v>72</v>
      </c>
    </row>
    <row r="50" spans="1:7" x14ac:dyDescent="0.15">
      <c r="A50" s="27">
        <v>20000713</v>
      </c>
      <c r="B50" s="28" t="s">
        <v>71</v>
      </c>
      <c r="C50" s="28" t="s">
        <v>308</v>
      </c>
      <c r="D50" s="28">
        <v>23</v>
      </c>
      <c r="E50" s="28" t="s">
        <v>82</v>
      </c>
      <c r="F50" s="28" t="s">
        <v>308</v>
      </c>
      <c r="G50" s="28">
        <v>72</v>
      </c>
    </row>
    <row r="51" spans="1:7" x14ac:dyDescent="0.15">
      <c r="A51" s="27">
        <v>20000714</v>
      </c>
      <c r="B51" s="28" t="s">
        <v>71</v>
      </c>
      <c r="C51" s="28" t="s">
        <v>308</v>
      </c>
      <c r="D51" s="28">
        <v>30</v>
      </c>
      <c r="E51" s="28" t="s">
        <v>82</v>
      </c>
      <c r="F51" s="28" t="s">
        <v>308</v>
      </c>
      <c r="G51" s="28">
        <v>72</v>
      </c>
    </row>
    <row r="52" spans="1:7" x14ac:dyDescent="0.15">
      <c r="A52" s="27">
        <v>20000715</v>
      </c>
      <c r="B52" s="28" t="s">
        <v>71</v>
      </c>
      <c r="C52" s="28" t="s">
        <v>308</v>
      </c>
      <c r="D52" s="28">
        <v>52</v>
      </c>
      <c r="E52" s="28" t="s">
        <v>82</v>
      </c>
      <c r="F52" s="28" t="s">
        <v>308</v>
      </c>
      <c r="G52" s="28">
        <v>72</v>
      </c>
    </row>
    <row r="53" spans="1:7" x14ac:dyDescent="0.15">
      <c r="A53" s="27">
        <v>20000716</v>
      </c>
      <c r="B53" s="28" t="s">
        <v>71</v>
      </c>
      <c r="C53" s="28" t="s">
        <v>308</v>
      </c>
      <c r="D53" s="28">
        <v>50</v>
      </c>
      <c r="E53" s="28" t="s">
        <v>82</v>
      </c>
      <c r="F53" s="28" t="s">
        <v>308</v>
      </c>
      <c r="G53" s="28">
        <v>72</v>
      </c>
    </row>
    <row r="54" spans="1:7" x14ac:dyDescent="0.15">
      <c r="A54" s="27">
        <v>20000738</v>
      </c>
      <c r="B54" s="27" t="s">
        <v>71</v>
      </c>
      <c r="C54" s="27" t="s">
        <v>308</v>
      </c>
      <c r="D54" s="28">
        <v>0</v>
      </c>
      <c r="E54" s="27" t="s">
        <v>82</v>
      </c>
      <c r="F54" s="27" t="s">
        <v>308</v>
      </c>
      <c r="G54" s="27">
        <v>0</v>
      </c>
    </row>
    <row r="55" spans="1:7" x14ac:dyDescent="0.15">
      <c r="A55" s="27">
        <v>20000741</v>
      </c>
      <c r="B55" s="27" t="s">
        <v>71</v>
      </c>
      <c r="C55" s="27" t="s">
        <v>308</v>
      </c>
      <c r="D55" s="28">
        <v>0</v>
      </c>
      <c r="E55" s="27" t="s">
        <v>82</v>
      </c>
      <c r="F55" s="27" t="s">
        <v>308</v>
      </c>
      <c r="G55" s="27">
        <v>0</v>
      </c>
    </row>
    <row r="56" spans="1:7" x14ac:dyDescent="0.15">
      <c r="A56" s="27">
        <v>20000742</v>
      </c>
      <c r="B56" s="27" t="s">
        <v>71</v>
      </c>
      <c r="C56" s="27" t="s">
        <v>308</v>
      </c>
      <c r="D56" s="28">
        <v>0</v>
      </c>
      <c r="E56" s="27" t="s">
        <v>82</v>
      </c>
      <c r="F56" s="27" t="s">
        <v>308</v>
      </c>
      <c r="G56" s="27">
        <v>0</v>
      </c>
    </row>
    <row r="57" spans="1:7" x14ac:dyDescent="0.15">
      <c r="A57" s="27">
        <v>20000743</v>
      </c>
      <c r="B57" s="27" t="s">
        <v>71</v>
      </c>
      <c r="C57" s="27" t="s">
        <v>308</v>
      </c>
      <c r="D57" s="28">
        <v>0</v>
      </c>
      <c r="E57" s="27" t="s">
        <v>82</v>
      </c>
      <c r="F57" s="27" t="s">
        <v>308</v>
      </c>
      <c r="G57" s="27">
        <v>0</v>
      </c>
    </row>
    <row r="58" spans="1:7" x14ac:dyDescent="0.15">
      <c r="A58" s="27">
        <v>20000744</v>
      </c>
      <c r="B58" s="27" t="s">
        <v>71</v>
      </c>
      <c r="C58" s="27" t="s">
        <v>308</v>
      </c>
      <c r="D58" s="28">
        <v>0</v>
      </c>
      <c r="E58" s="27" t="s">
        <v>82</v>
      </c>
      <c r="F58" s="27" t="s">
        <v>308</v>
      </c>
      <c r="G58" s="27">
        <v>0</v>
      </c>
    </row>
    <row r="59" spans="1:7" x14ac:dyDescent="0.15">
      <c r="A59" s="27">
        <v>20000745</v>
      </c>
      <c r="B59" s="27" t="s">
        <v>71</v>
      </c>
      <c r="C59" s="27" t="s">
        <v>308</v>
      </c>
      <c r="D59" s="28">
        <v>0</v>
      </c>
      <c r="E59" s="27" t="s">
        <v>82</v>
      </c>
      <c r="F59" s="27" t="s">
        <v>308</v>
      </c>
      <c r="G59" s="27">
        <v>0</v>
      </c>
    </row>
    <row r="60" spans="1:7" x14ac:dyDescent="0.15">
      <c r="A60" s="27">
        <v>20000746</v>
      </c>
      <c r="B60" s="27" t="s">
        <v>71</v>
      </c>
      <c r="C60" s="27" t="s">
        <v>308</v>
      </c>
      <c r="D60" s="28">
        <v>0</v>
      </c>
      <c r="E60" s="27" t="s">
        <v>82</v>
      </c>
      <c r="F60" s="27" t="s">
        <v>308</v>
      </c>
      <c r="G60" s="27">
        <v>0</v>
      </c>
    </row>
    <row r="61" spans="1:7" x14ac:dyDescent="0.15">
      <c r="A61" s="27">
        <v>20000747</v>
      </c>
      <c r="B61" s="27" t="s">
        <v>71</v>
      </c>
      <c r="C61" s="27" t="s">
        <v>308</v>
      </c>
      <c r="D61" s="28">
        <v>0</v>
      </c>
      <c r="E61" s="27" t="s">
        <v>82</v>
      </c>
      <c r="F61" s="27" t="s">
        <v>308</v>
      </c>
      <c r="G61" s="27">
        <v>0</v>
      </c>
    </row>
  </sheetData>
  <phoneticPr fontId="8" type="noConversion"/>
  <conditionalFormatting sqref="A1">
    <cfRule type="cellIs" dxfId="1" priority="1" stopIfTrue="1" operator="notEqual">
      <formula>INDIRECT("Dummy_for_Comparison4!"&amp;ADDRESS(ROW(),COLUMN()))</formula>
    </cfRule>
  </conditionalFormatting>
  <conditionalFormatting sqref="B1:G1">
    <cfRule type="cellIs" dxfId="0" priority="2" stopIfTrue="1" operator="notEqual">
      <formula>INDIRECT("Dummy_for_Comparison4!"&amp;ADDRESS(ROW(),COLUMN()))</formula>
    </cfRule>
  </conditionalFormatting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A6" sqref="A6"/>
    </sheetView>
  </sheetViews>
  <sheetFormatPr defaultColWidth="9" defaultRowHeight="16.5" x14ac:dyDescent="0.15"/>
  <cols>
    <col min="1" max="8" width="15.625" style="11" customWidth="1"/>
    <col min="9" max="9" width="12.5" style="11" customWidth="1"/>
    <col min="10" max="10" width="10.75" style="11" customWidth="1"/>
    <col min="11" max="11" width="9.25" style="11" customWidth="1"/>
    <col min="12" max="12" width="10.75" style="11" customWidth="1"/>
    <col min="13" max="13" width="9.25" style="11" customWidth="1"/>
    <col min="14" max="14" width="10.75" style="11" customWidth="1"/>
    <col min="15" max="15" width="9.25" style="11" customWidth="1"/>
    <col min="16" max="16" width="10.75" style="11" customWidth="1"/>
    <col min="17" max="17" width="9" style="11"/>
    <col min="18" max="18" width="10.75" style="11" customWidth="1"/>
    <col min="19" max="16384" width="9" style="11"/>
  </cols>
  <sheetData>
    <row r="1" spans="1:20" s="9" customFormat="1" ht="30" x14ac:dyDescent="0.15">
      <c r="A1" s="12" t="s">
        <v>309</v>
      </c>
      <c r="B1" s="12" t="s">
        <v>1</v>
      </c>
      <c r="C1" s="12" t="s">
        <v>310</v>
      </c>
      <c r="D1" s="12" t="s">
        <v>311</v>
      </c>
      <c r="E1" s="12" t="s">
        <v>312</v>
      </c>
      <c r="F1" s="12" t="s">
        <v>313</v>
      </c>
      <c r="G1" s="12" t="s">
        <v>314</v>
      </c>
      <c r="H1" s="13" t="s">
        <v>315</v>
      </c>
      <c r="I1" s="14" t="s">
        <v>316</v>
      </c>
      <c r="J1" s="14" t="s">
        <v>317</v>
      </c>
      <c r="K1" s="14" t="s">
        <v>318</v>
      </c>
      <c r="L1" s="14" t="s">
        <v>319</v>
      </c>
      <c r="M1" s="14" t="s">
        <v>320</v>
      </c>
      <c r="N1" s="14" t="s">
        <v>321</v>
      </c>
      <c r="O1" s="14" t="s">
        <v>322</v>
      </c>
      <c r="P1" s="14" t="s">
        <v>323</v>
      </c>
      <c r="Q1" s="14" t="s">
        <v>324</v>
      </c>
      <c r="R1" s="14" t="s">
        <v>325</v>
      </c>
      <c r="S1" s="14" t="s">
        <v>326</v>
      </c>
      <c r="T1" s="14" t="s">
        <v>327</v>
      </c>
    </row>
    <row r="2" spans="1:20" s="9" customFormat="1" x14ac:dyDescent="0.15">
      <c r="A2" s="10">
        <v>1000</v>
      </c>
      <c r="B2" s="10" t="s">
        <v>328</v>
      </c>
      <c r="C2" s="10">
        <v>20000707</v>
      </c>
      <c r="D2" s="10">
        <v>20000708</v>
      </c>
      <c r="E2" s="10">
        <v>20000708</v>
      </c>
      <c r="F2" s="10">
        <v>20000710</v>
      </c>
      <c r="G2" s="10">
        <v>20000716</v>
      </c>
      <c r="H2" s="10">
        <v>20000710</v>
      </c>
      <c r="I2" s="15">
        <v>2001</v>
      </c>
      <c r="J2" s="15">
        <v>17003001</v>
      </c>
      <c r="K2" s="15">
        <v>2002</v>
      </c>
      <c r="L2" s="15">
        <v>17003001</v>
      </c>
      <c r="M2" s="15">
        <v>2003</v>
      </c>
      <c r="N2" s="15">
        <v>17003001</v>
      </c>
      <c r="O2" s="15">
        <v>2004</v>
      </c>
      <c r="P2" s="15">
        <v>17003001</v>
      </c>
    </row>
    <row r="3" spans="1:20" s="10" customFormat="1" x14ac:dyDescent="0.15">
      <c r="A3" s="10">
        <v>1001</v>
      </c>
      <c r="B3" s="10" t="s">
        <v>329</v>
      </c>
      <c r="C3" s="10">
        <v>20000101</v>
      </c>
      <c r="D3" s="10">
        <v>20000102</v>
      </c>
      <c r="E3" s="10">
        <v>20000106</v>
      </c>
      <c r="F3" s="10">
        <v>20000105</v>
      </c>
      <c r="G3" s="10">
        <v>20000110</v>
      </c>
      <c r="H3" s="10">
        <v>20000108</v>
      </c>
      <c r="I3" s="15">
        <v>1002</v>
      </c>
      <c r="J3" s="15">
        <v>10003001</v>
      </c>
      <c r="K3" s="15">
        <v>1003</v>
      </c>
      <c r="L3" s="15">
        <v>10007001</v>
      </c>
      <c r="M3" s="15">
        <v>1004</v>
      </c>
      <c r="N3" s="15">
        <v>10007001</v>
      </c>
      <c r="O3" s="15">
        <v>1005</v>
      </c>
      <c r="P3" s="15">
        <v>10007001</v>
      </c>
      <c r="Q3" s="15">
        <v>1006</v>
      </c>
      <c r="R3" s="15">
        <v>10007001</v>
      </c>
    </row>
    <row r="4" spans="1:20" s="10" customFormat="1" x14ac:dyDescent="0.15">
      <c r="A4" s="10">
        <v>1002</v>
      </c>
      <c r="B4" s="10" t="s">
        <v>330</v>
      </c>
      <c r="C4" s="10">
        <v>20000101</v>
      </c>
      <c r="D4" s="10">
        <v>20000102</v>
      </c>
      <c r="E4" s="10">
        <v>20000106</v>
      </c>
      <c r="F4" s="10">
        <v>20000103</v>
      </c>
      <c r="G4" s="10">
        <v>20000108</v>
      </c>
      <c r="H4" s="10">
        <v>20000104</v>
      </c>
      <c r="I4" s="15">
        <v>1002</v>
      </c>
      <c r="J4" s="15">
        <v>10003001</v>
      </c>
      <c r="K4" s="15">
        <v>1003</v>
      </c>
      <c r="L4" s="15">
        <v>10007001</v>
      </c>
      <c r="M4" s="15">
        <v>1004</v>
      </c>
      <c r="N4" s="15">
        <v>10007001</v>
      </c>
      <c r="O4" s="15">
        <v>1005</v>
      </c>
      <c r="P4" s="15">
        <v>10007001</v>
      </c>
      <c r="Q4" s="15">
        <v>1006</v>
      </c>
      <c r="R4" s="15">
        <v>10007001</v>
      </c>
    </row>
    <row r="5" spans="1:20" s="10" customFormat="1" x14ac:dyDescent="0.15">
      <c r="A5" s="10">
        <v>1101</v>
      </c>
      <c r="B5" s="10" t="s">
        <v>331</v>
      </c>
      <c r="C5" s="10">
        <v>20000201</v>
      </c>
      <c r="D5" s="10">
        <v>20000202</v>
      </c>
      <c r="E5" s="10">
        <v>20000206</v>
      </c>
      <c r="F5" s="10">
        <v>20000208</v>
      </c>
      <c r="G5" s="10">
        <v>20000210</v>
      </c>
      <c r="H5" s="10">
        <v>20000208</v>
      </c>
      <c r="I5" s="15">
        <v>1002</v>
      </c>
      <c r="J5" s="15">
        <v>11003001</v>
      </c>
      <c r="K5" s="15">
        <v>1003</v>
      </c>
      <c r="L5" s="15">
        <v>11007001</v>
      </c>
      <c r="M5" s="15">
        <v>1004</v>
      </c>
      <c r="N5" s="15">
        <v>11007001</v>
      </c>
      <c r="O5" s="15">
        <v>1005</v>
      </c>
      <c r="P5" s="15">
        <v>11007001</v>
      </c>
      <c r="Q5" s="15">
        <v>1006</v>
      </c>
      <c r="R5" s="15">
        <v>11007001</v>
      </c>
    </row>
    <row r="6" spans="1:20" s="10" customFormat="1" x14ac:dyDescent="0.15">
      <c r="A6" s="10">
        <v>1102</v>
      </c>
      <c r="B6" s="10" t="s">
        <v>332</v>
      </c>
      <c r="C6" s="10">
        <v>20000201</v>
      </c>
      <c r="D6" s="10">
        <v>20000202</v>
      </c>
      <c r="E6" s="10">
        <v>20000206</v>
      </c>
      <c r="F6" s="10">
        <v>20000203</v>
      </c>
      <c r="G6" s="10">
        <v>20000210</v>
      </c>
      <c r="H6" s="10">
        <v>20000205</v>
      </c>
      <c r="I6" s="15">
        <v>1002</v>
      </c>
      <c r="J6" s="15">
        <v>11003001</v>
      </c>
      <c r="K6" s="15">
        <v>1003</v>
      </c>
      <c r="L6" s="15">
        <v>11007001</v>
      </c>
      <c r="M6" s="15">
        <v>1004</v>
      </c>
      <c r="N6" s="15">
        <v>11007001</v>
      </c>
      <c r="O6" s="15">
        <v>1005</v>
      </c>
      <c r="P6" s="15">
        <v>11007001</v>
      </c>
      <c r="Q6" s="15">
        <v>1006</v>
      </c>
      <c r="R6" s="15">
        <v>11007001</v>
      </c>
    </row>
    <row r="7" spans="1:20" s="10" customFormat="1" x14ac:dyDescent="0.15">
      <c r="A7" s="10">
        <v>1201</v>
      </c>
      <c r="B7" s="10" t="s">
        <v>333</v>
      </c>
      <c r="C7" s="10">
        <v>20000301</v>
      </c>
      <c r="D7" s="10">
        <v>20000302</v>
      </c>
      <c r="E7" s="10">
        <v>20000302</v>
      </c>
      <c r="F7" s="10">
        <v>20000306</v>
      </c>
      <c r="G7" s="10">
        <v>20000308</v>
      </c>
      <c r="H7" s="10">
        <v>20000309</v>
      </c>
      <c r="I7" s="15">
        <v>1002</v>
      </c>
      <c r="J7" s="15">
        <v>12003001</v>
      </c>
      <c r="K7" s="15">
        <v>1003</v>
      </c>
      <c r="L7" s="15">
        <v>12007001</v>
      </c>
      <c r="M7" s="15">
        <v>1004</v>
      </c>
      <c r="N7" s="15">
        <v>12007001</v>
      </c>
      <c r="O7" s="15">
        <v>1005</v>
      </c>
      <c r="P7" s="15">
        <v>12007001</v>
      </c>
      <c r="Q7" s="15">
        <v>1006</v>
      </c>
      <c r="R7" s="15">
        <v>12007001</v>
      </c>
    </row>
    <row r="8" spans="1:20" s="10" customFormat="1" x14ac:dyDescent="0.15">
      <c r="A8" s="10">
        <v>1202</v>
      </c>
      <c r="B8" s="10" t="s">
        <v>334</v>
      </c>
      <c r="C8" s="10">
        <v>20000301</v>
      </c>
      <c r="D8" s="10">
        <v>20000302</v>
      </c>
      <c r="E8" s="10">
        <v>20000304</v>
      </c>
      <c r="F8" s="10">
        <v>20000307</v>
      </c>
      <c r="G8" s="10">
        <v>20000310</v>
      </c>
      <c r="H8" s="10">
        <v>20000305</v>
      </c>
      <c r="I8" s="15">
        <v>1002</v>
      </c>
      <c r="J8" s="15">
        <v>12003001</v>
      </c>
      <c r="K8" s="15">
        <v>1003</v>
      </c>
      <c r="L8" s="15">
        <v>12007001</v>
      </c>
      <c r="M8" s="15">
        <v>1004</v>
      </c>
      <c r="N8" s="15">
        <v>12007001</v>
      </c>
      <c r="O8" s="15">
        <v>1005</v>
      </c>
      <c r="P8" s="15">
        <v>12007001</v>
      </c>
      <c r="Q8" s="15">
        <v>1006</v>
      </c>
      <c r="R8" s="15">
        <v>12007001</v>
      </c>
    </row>
    <row r="9" spans="1:20" s="10" customFormat="1" x14ac:dyDescent="0.15">
      <c r="A9" s="10">
        <v>1301</v>
      </c>
      <c r="B9" s="10" t="s">
        <v>335</v>
      </c>
      <c r="C9" s="10">
        <v>20000402</v>
      </c>
      <c r="D9" s="10">
        <v>20000401</v>
      </c>
      <c r="E9" s="10">
        <v>20000405</v>
      </c>
      <c r="F9" s="10">
        <v>20000407</v>
      </c>
      <c r="G9" s="10">
        <v>20000409</v>
      </c>
      <c r="H9" s="10">
        <v>20000410</v>
      </c>
      <c r="I9" s="15">
        <v>1002</v>
      </c>
      <c r="J9" s="15">
        <v>13003001</v>
      </c>
      <c r="K9" s="15">
        <v>1003</v>
      </c>
      <c r="L9" s="15">
        <v>13007001</v>
      </c>
      <c r="M9" s="15">
        <v>1004</v>
      </c>
      <c r="N9" s="15">
        <v>13007001</v>
      </c>
      <c r="O9" s="15">
        <v>1005</v>
      </c>
      <c r="P9" s="15">
        <v>13007001</v>
      </c>
      <c r="Q9" s="15">
        <v>1006</v>
      </c>
      <c r="R9" s="15">
        <v>13007001</v>
      </c>
    </row>
    <row r="10" spans="1:20" s="10" customFormat="1" x14ac:dyDescent="0.15">
      <c r="A10" s="10">
        <v>1302</v>
      </c>
      <c r="B10" s="10" t="s">
        <v>336</v>
      </c>
      <c r="C10" s="10">
        <v>20000402</v>
      </c>
      <c r="D10" s="10">
        <v>20000401</v>
      </c>
      <c r="E10" s="10">
        <v>20000403</v>
      </c>
      <c r="F10" s="10">
        <v>20000404</v>
      </c>
      <c r="G10" s="10">
        <v>20000406</v>
      </c>
      <c r="H10" s="10">
        <v>20000410</v>
      </c>
      <c r="I10" s="15">
        <v>1002</v>
      </c>
      <c r="J10" s="15">
        <v>13003001</v>
      </c>
      <c r="K10" s="15">
        <v>1003</v>
      </c>
      <c r="L10" s="15">
        <v>13007001</v>
      </c>
      <c r="M10" s="15">
        <v>1004</v>
      </c>
      <c r="N10" s="15">
        <v>13007001</v>
      </c>
      <c r="O10" s="15">
        <v>1005</v>
      </c>
      <c r="P10" s="15">
        <v>13007001</v>
      </c>
      <c r="Q10" s="15">
        <v>1006</v>
      </c>
      <c r="R10" s="15">
        <v>13007001</v>
      </c>
    </row>
  </sheetData>
  <phoneticPr fontId="8" type="noConversion"/>
  <pageMargins left="0.75" right="0.75" top="1" bottom="1" header="0.51180555555555596" footer="0.511805555555555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selection activeCell="H2" sqref="H2:H5"/>
    </sheetView>
  </sheetViews>
  <sheetFormatPr defaultColWidth="9" defaultRowHeight="13.5" x14ac:dyDescent="0.15"/>
  <cols>
    <col min="1" max="1" width="32.125" customWidth="1"/>
    <col min="3" max="3" width="7.75" customWidth="1"/>
    <col min="4" max="4" width="9.75" customWidth="1"/>
    <col min="5" max="5" width="11.125" customWidth="1"/>
    <col min="6" max="7" width="15.25" customWidth="1"/>
    <col min="8" max="8" width="20.5" customWidth="1"/>
    <col min="9" max="10" width="14.125" customWidth="1"/>
    <col min="11" max="11" width="18.625" customWidth="1"/>
    <col min="12" max="12" width="28.875" customWidth="1"/>
    <col min="13" max="13" width="40.375" customWidth="1"/>
    <col min="14" max="16" width="16.625" customWidth="1"/>
    <col min="17" max="17" width="15.375" customWidth="1"/>
    <col min="22" max="22" width="9.75" customWidth="1"/>
    <col min="23" max="23" width="142" customWidth="1"/>
  </cols>
  <sheetData>
    <row r="1" spans="1:23" s="1" customFormat="1" ht="27" x14ac:dyDescent="0.15">
      <c r="A1" s="4" t="s">
        <v>0</v>
      </c>
      <c r="B1" s="5" t="s">
        <v>1</v>
      </c>
      <c r="C1" s="6" t="s">
        <v>3</v>
      </c>
      <c r="D1" s="6" t="s">
        <v>4</v>
      </c>
      <c r="E1" s="6" t="s">
        <v>6</v>
      </c>
      <c r="F1" s="6" t="s">
        <v>7</v>
      </c>
      <c r="G1" s="6" t="s">
        <v>8</v>
      </c>
      <c r="H1" s="6" t="s">
        <v>337</v>
      </c>
      <c r="I1" s="6" t="s">
        <v>338</v>
      </c>
      <c r="J1" s="6" t="s">
        <v>339</v>
      </c>
      <c r="K1" s="6" t="s">
        <v>340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6" t="s">
        <v>29</v>
      </c>
      <c r="W1" s="6" t="s">
        <v>2</v>
      </c>
    </row>
    <row r="2" spans="1:23" s="2" customFormat="1" x14ac:dyDescent="0.15">
      <c r="A2" s="2">
        <v>10001001</v>
      </c>
      <c r="C2" s="2" t="str">
        <f>LEFT(A2,6)</f>
        <v>100010</v>
      </c>
      <c r="D2" s="2" t="s">
        <v>341</v>
      </c>
      <c r="E2" s="2" t="s">
        <v>342</v>
      </c>
      <c r="F2" s="2" t="s">
        <v>343</v>
      </c>
      <c r="G2" s="2" t="s">
        <v>344</v>
      </c>
      <c r="H2" s="2" t="s">
        <v>345</v>
      </c>
      <c r="I2" s="8" t="s">
        <v>346</v>
      </c>
      <c r="J2" s="8" t="s">
        <v>347</v>
      </c>
      <c r="K2" s="8" t="s">
        <v>341</v>
      </c>
      <c r="L2" s="2" t="s">
        <v>348</v>
      </c>
      <c r="M2" s="2" t="s">
        <v>349</v>
      </c>
      <c r="N2" s="2" t="s">
        <v>350</v>
      </c>
      <c r="V2" s="2" t="s">
        <v>351</v>
      </c>
      <c r="W2" s="2" t="s">
        <v>352</v>
      </c>
    </row>
    <row r="3" spans="1:23" s="3" customFormat="1" x14ac:dyDescent="0.15">
      <c r="A3" s="2" t="s">
        <v>353</v>
      </c>
      <c r="D3" s="88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L3" s="2" t="s">
        <v>359</v>
      </c>
      <c r="M3" s="2" t="s">
        <v>360</v>
      </c>
    </row>
    <row r="4" spans="1:23" s="3" customFormat="1" x14ac:dyDescent="0.15">
      <c r="A4" s="2" t="s">
        <v>361</v>
      </c>
      <c r="D4" s="88"/>
      <c r="E4" s="2" t="s">
        <v>362</v>
      </c>
      <c r="F4" s="2"/>
      <c r="G4" s="2" t="s">
        <v>363</v>
      </c>
      <c r="H4" s="2" t="s">
        <v>364</v>
      </c>
      <c r="L4" s="2" t="s">
        <v>365</v>
      </c>
      <c r="M4" s="2" t="s">
        <v>366</v>
      </c>
    </row>
    <row r="5" spans="1:23" s="3" customFormat="1" x14ac:dyDescent="0.15">
      <c r="A5" s="2" t="s">
        <v>367</v>
      </c>
      <c r="D5" s="88"/>
      <c r="E5" s="2" t="s">
        <v>368</v>
      </c>
      <c r="G5" s="2" t="s">
        <v>369</v>
      </c>
      <c r="H5" s="2" t="s">
        <v>370</v>
      </c>
      <c r="L5" s="2" t="s">
        <v>371</v>
      </c>
      <c r="M5" s="2" t="s">
        <v>372</v>
      </c>
    </row>
    <row r="6" spans="1:23" s="3" customFormat="1" x14ac:dyDescent="0.15">
      <c r="A6" s="2" t="s">
        <v>373</v>
      </c>
      <c r="D6" s="88"/>
      <c r="E6" s="2" t="s">
        <v>374</v>
      </c>
      <c r="G6" s="2" t="s">
        <v>375</v>
      </c>
      <c r="L6" s="2" t="s">
        <v>376</v>
      </c>
      <c r="M6" s="2" t="s">
        <v>377</v>
      </c>
      <c r="N6" s="2" t="s">
        <v>378</v>
      </c>
    </row>
    <row r="7" spans="1:23" s="3" customFormat="1" x14ac:dyDescent="0.15">
      <c r="A7" s="2" t="s">
        <v>379</v>
      </c>
      <c r="D7" s="88"/>
      <c r="G7" s="2" t="s">
        <v>380</v>
      </c>
      <c r="L7" s="2" t="s">
        <v>381</v>
      </c>
      <c r="M7" s="2" t="s">
        <v>382</v>
      </c>
    </row>
    <row r="8" spans="1:23" s="3" customFormat="1" x14ac:dyDescent="0.15">
      <c r="A8" s="2"/>
    </row>
    <row r="9" spans="1:23" s="3" customFormat="1" x14ac:dyDescent="0.15"/>
  </sheetData>
  <mergeCells count="1">
    <mergeCell ref="D3:D7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科技表</vt:lpstr>
      <vt:lpstr>基地升级科技效果</vt:lpstr>
      <vt:lpstr>攻防科技效果</vt:lpstr>
      <vt:lpstr>推荐建造表</vt:lpstr>
      <vt:lpstr>科技表配表说明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oReo</cp:lastModifiedBy>
  <dcterms:created xsi:type="dcterms:W3CDTF">2016-02-23T14:50:00Z</dcterms:created>
  <dcterms:modified xsi:type="dcterms:W3CDTF">2018-09-28T04:02:10Z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