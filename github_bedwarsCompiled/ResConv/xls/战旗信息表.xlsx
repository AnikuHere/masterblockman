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ame1\ResConv\xls\"/>
    </mc:Choice>
  </mc:AlternateContent>
  <bookViews>
    <workbookView xWindow="0" yWindow="0" windowWidth="27705" windowHeight="13650" firstSheet="2" activeTab="7"/>
  </bookViews>
  <sheets>
    <sheet name="英雄战旗镶嵌" sheetId="2" r:id="rId1"/>
    <sheet name="英雄战旗属性" sheetId="1" r:id="rId2"/>
    <sheet name="种族战旗镶嵌" sheetId="4" r:id="rId3"/>
    <sheet name="种族战旗属性" sheetId="5" r:id="rId4"/>
    <sheet name="英雄战旗推荐" sheetId="6" r:id="rId5"/>
    <sheet name="种族战旗推荐" sheetId="7" r:id="rId6"/>
    <sheet name="英雄战旗页开启" sheetId="8" r:id="rId7"/>
    <sheet name="种族战旗页开启" sheetId="9" r:id="rId8"/>
  </sheets>
  <calcPr calcId="152511"/>
</workbook>
</file>

<file path=xl/calcChain.xml><?xml version="1.0" encoding="utf-8"?>
<calcChain xmlns="http://schemas.openxmlformats.org/spreadsheetml/2006/main">
  <c r="A13" i="6" l="1"/>
  <c r="A23" i="6" s="1"/>
  <c r="A33" i="6" s="1"/>
  <c r="A43" i="6" s="1"/>
  <c r="A53" i="6" s="1"/>
  <c r="A63" i="6" s="1"/>
  <c r="A73" i="6" s="1"/>
  <c r="A83" i="6" s="1"/>
  <c r="A93" i="6" s="1"/>
  <c r="A103" i="6" s="1"/>
  <c r="A113" i="6" s="1"/>
  <c r="A123" i="6" s="1"/>
  <c r="A133" i="6" s="1"/>
  <c r="A143" i="6" s="1"/>
  <c r="A153" i="6" s="1"/>
  <c r="A163" i="6" s="1"/>
  <c r="A173" i="6" s="1"/>
  <c r="A14" i="6"/>
  <c r="A24" i="6" s="1"/>
  <c r="A34" i="6" s="1"/>
  <c r="A44" i="6" s="1"/>
  <c r="A54" i="6" s="1"/>
  <c r="A64" i="6" s="1"/>
  <c r="A74" i="6" s="1"/>
  <c r="A84" i="6" s="1"/>
  <c r="A94" i="6" s="1"/>
  <c r="A104" i="6" s="1"/>
  <c r="A114" i="6" s="1"/>
  <c r="A124" i="6" s="1"/>
  <c r="A134" i="6" s="1"/>
  <c r="A144" i="6" s="1"/>
  <c r="A154" i="6" s="1"/>
  <c r="A164" i="6" s="1"/>
  <c r="A174" i="6" s="1"/>
  <c r="A184" i="6" s="1"/>
  <c r="A194" i="6" s="1"/>
  <c r="A204" i="6" s="1"/>
  <c r="A214" i="6" s="1"/>
  <c r="A224" i="6" s="1"/>
  <c r="A234" i="6" s="1"/>
  <c r="A15" i="6"/>
  <c r="A25" i="6" s="1"/>
  <c r="A35" i="6" s="1"/>
  <c r="A45" i="6" s="1"/>
  <c r="A55" i="6" s="1"/>
  <c r="A65" i="6" s="1"/>
  <c r="A75" i="6" s="1"/>
  <c r="A85" i="6" s="1"/>
  <c r="A95" i="6" s="1"/>
  <c r="A105" i="6" s="1"/>
  <c r="A115" i="6" s="1"/>
  <c r="A125" i="6" s="1"/>
  <c r="A135" i="6" s="1"/>
  <c r="A145" i="6" s="1"/>
  <c r="A155" i="6" s="1"/>
  <c r="A165" i="6" s="1"/>
  <c r="A175" i="6" s="1"/>
  <c r="A185" i="6" s="1"/>
  <c r="A195" i="6" s="1"/>
  <c r="A205" i="6" s="1"/>
  <c r="A215" i="6" s="1"/>
  <c r="A225" i="6" s="1"/>
  <c r="A235" i="6" s="1"/>
  <c r="A16" i="6"/>
  <c r="A26" i="6" s="1"/>
  <c r="A36" i="6" s="1"/>
  <c r="A46" i="6" s="1"/>
  <c r="A56" i="6" s="1"/>
  <c r="A66" i="6" s="1"/>
  <c r="A76" i="6" s="1"/>
  <c r="A86" i="6" s="1"/>
  <c r="A96" i="6" s="1"/>
  <c r="A106" i="6" s="1"/>
  <c r="A116" i="6" s="1"/>
  <c r="A126" i="6" s="1"/>
  <c r="A136" i="6" s="1"/>
  <c r="A146" i="6" s="1"/>
  <c r="A156" i="6" s="1"/>
  <c r="A166" i="6" s="1"/>
  <c r="A176" i="6" s="1"/>
  <c r="A186" i="6" s="1"/>
  <c r="A196" i="6" s="1"/>
  <c r="A206" i="6" s="1"/>
  <c r="A216" i="6" s="1"/>
  <c r="A226" i="6" s="1"/>
  <c r="A236" i="6" s="1"/>
  <c r="A17" i="6"/>
  <c r="A18" i="6"/>
  <c r="A19" i="6"/>
  <c r="A29" i="6" s="1"/>
  <c r="A39" i="6" s="1"/>
  <c r="A49" i="6" s="1"/>
  <c r="A59" i="6" s="1"/>
  <c r="A69" i="6" s="1"/>
  <c r="A79" i="6" s="1"/>
  <c r="A89" i="6" s="1"/>
  <c r="A99" i="6" s="1"/>
  <c r="A109" i="6" s="1"/>
  <c r="A119" i="6" s="1"/>
  <c r="A129" i="6" s="1"/>
  <c r="A139" i="6" s="1"/>
  <c r="A149" i="6" s="1"/>
  <c r="A159" i="6" s="1"/>
  <c r="A169" i="6" s="1"/>
  <c r="A179" i="6" s="1"/>
  <c r="A189" i="6" s="1"/>
  <c r="A199" i="6" s="1"/>
  <c r="A209" i="6" s="1"/>
  <c r="A219" i="6" s="1"/>
  <c r="A229" i="6" s="1"/>
  <c r="A239" i="6" s="1"/>
  <c r="A20" i="6"/>
  <c r="A30" i="6" s="1"/>
  <c r="A21" i="6"/>
  <c r="A31" i="6" s="1"/>
  <c r="A41" i="6" s="1"/>
  <c r="A51" i="6" s="1"/>
  <c r="A61" i="6" s="1"/>
  <c r="A71" i="6" s="1"/>
  <c r="A81" i="6" s="1"/>
  <c r="A91" i="6" s="1"/>
  <c r="A101" i="6" s="1"/>
  <c r="A111" i="6" s="1"/>
  <c r="A121" i="6" s="1"/>
  <c r="A131" i="6" s="1"/>
  <c r="A141" i="6" s="1"/>
  <c r="A151" i="6" s="1"/>
  <c r="A161" i="6" s="1"/>
  <c r="A171" i="6" s="1"/>
  <c r="A181" i="6" s="1"/>
  <c r="A191" i="6" s="1"/>
  <c r="A201" i="6" s="1"/>
  <c r="A211" i="6" s="1"/>
  <c r="A221" i="6" s="1"/>
  <c r="A231" i="6" s="1"/>
  <c r="A241" i="6" s="1"/>
  <c r="A22" i="6"/>
  <c r="A32" i="6" s="1"/>
  <c r="A42" i="6" s="1"/>
  <c r="A27" i="6"/>
  <c r="A37" i="6" s="1"/>
  <c r="A47" i="6" s="1"/>
  <c r="A57" i="6" s="1"/>
  <c r="A67" i="6" s="1"/>
  <c r="A77" i="6" s="1"/>
  <c r="A87" i="6" s="1"/>
  <c r="A97" i="6" s="1"/>
  <c r="A107" i="6" s="1"/>
  <c r="A117" i="6" s="1"/>
  <c r="A127" i="6" s="1"/>
  <c r="A137" i="6" s="1"/>
  <c r="A147" i="6" s="1"/>
  <c r="A157" i="6" s="1"/>
  <c r="A167" i="6" s="1"/>
  <c r="A28" i="6"/>
  <c r="A38" i="6" s="1"/>
  <c r="A48" i="6" s="1"/>
  <c r="A58" i="6" s="1"/>
  <c r="A68" i="6" s="1"/>
  <c r="A78" i="6" s="1"/>
  <c r="A88" i="6" s="1"/>
  <c r="A98" i="6" s="1"/>
  <c r="A108" i="6" s="1"/>
  <c r="A118" i="6" s="1"/>
  <c r="A128" i="6" s="1"/>
  <c r="A138" i="6" s="1"/>
  <c r="A148" i="6" s="1"/>
  <c r="A158" i="6" s="1"/>
  <c r="A168" i="6" s="1"/>
  <c r="A178" i="6" s="1"/>
  <c r="A188" i="6" s="1"/>
  <c r="A198" i="6" s="1"/>
  <c r="A208" i="6" s="1"/>
  <c r="A218" i="6" s="1"/>
  <c r="A228" i="6" s="1"/>
  <c r="A238" i="6" s="1"/>
  <c r="A40" i="6"/>
  <c r="A50" i="6" s="1"/>
  <c r="A60" i="6" s="1"/>
  <c r="A70" i="6" s="1"/>
  <c r="A80" i="6" s="1"/>
  <c r="A90" i="6" s="1"/>
  <c r="A100" i="6" s="1"/>
  <c r="A110" i="6" s="1"/>
  <c r="A120" i="6" s="1"/>
  <c r="A130" i="6" s="1"/>
  <c r="A140" i="6" s="1"/>
  <c r="A150" i="6" s="1"/>
  <c r="A160" i="6" s="1"/>
  <c r="A170" i="6" s="1"/>
  <c r="A180" i="6" s="1"/>
  <c r="A190" i="6" s="1"/>
  <c r="A200" i="6" s="1"/>
  <c r="A210" i="6" s="1"/>
  <c r="A220" i="6" s="1"/>
  <c r="A230" i="6" s="1"/>
  <c r="A240" i="6" s="1"/>
  <c r="A52" i="6"/>
  <c r="A62" i="6" s="1"/>
  <c r="A72" i="6" s="1"/>
  <c r="A82" i="6" s="1"/>
  <c r="A92" i="6" s="1"/>
  <c r="A102" i="6" s="1"/>
  <c r="A112" i="6" s="1"/>
  <c r="A122" i="6" s="1"/>
  <c r="A132" i="6" s="1"/>
  <c r="A142" i="6" s="1"/>
  <c r="A152" i="6" s="1"/>
  <c r="A162" i="6" s="1"/>
  <c r="A172" i="6" s="1"/>
  <c r="A182" i="6" s="1"/>
  <c r="A192" i="6" s="1"/>
  <c r="A202" i="6" s="1"/>
  <c r="A212" i="6" s="1"/>
  <c r="A222" i="6" s="1"/>
  <c r="A232" i="6" s="1"/>
  <c r="A177" i="6"/>
  <c r="A187" i="6" s="1"/>
  <c r="A197" i="6" s="1"/>
  <c r="A207" i="6" s="1"/>
  <c r="A217" i="6" s="1"/>
  <c r="A227" i="6" s="1"/>
  <c r="A237" i="6" s="1"/>
  <c r="A183" i="6"/>
  <c r="A193" i="6" s="1"/>
  <c r="A203" i="6" s="1"/>
  <c r="A213" i="6" s="1"/>
  <c r="A223" i="6" s="1"/>
  <c r="A233" i="6" s="1"/>
  <c r="A12" i="6"/>
  <c r="B241" i="6" l="1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33" i="6"/>
  <c r="B134" i="6"/>
  <c r="B144" i="6" s="1"/>
  <c r="B154" i="6" s="1"/>
  <c r="B164" i="6" s="1"/>
  <c r="B135" i="6"/>
  <c r="B136" i="6"/>
  <c r="B137" i="6"/>
  <c r="B147" i="6" s="1"/>
  <c r="B157" i="6" s="1"/>
  <c r="B167" i="6" s="1"/>
  <c r="B138" i="6"/>
  <c r="B139" i="6"/>
  <c r="B140" i="6"/>
  <c r="B150" i="6" s="1"/>
  <c r="B160" i="6" s="1"/>
  <c r="B170" i="6" s="1"/>
  <c r="B141" i="6"/>
  <c r="B142" i="6"/>
  <c r="B143" i="6"/>
  <c r="B153" i="6" s="1"/>
  <c r="B163" i="6" s="1"/>
  <c r="B145" i="6"/>
  <c r="B146" i="6"/>
  <c r="B156" i="6" s="1"/>
  <c r="B166" i="6" s="1"/>
  <c r="B148" i="6"/>
  <c r="B149" i="6"/>
  <c r="B159" i="6" s="1"/>
  <c r="B169" i="6" s="1"/>
  <c r="B151" i="6"/>
  <c r="B152" i="6"/>
  <c r="B162" i="6" s="1"/>
  <c r="B155" i="6"/>
  <c r="B165" i="6" s="1"/>
  <c r="B158" i="6"/>
  <c r="B168" i="6" s="1"/>
  <c r="B161" i="6"/>
  <c r="B171" i="6" s="1"/>
  <c r="B132" i="6"/>
  <c r="A31" i="5"/>
  <c r="A36" i="5" s="1"/>
  <c r="A41" i="5" s="1"/>
  <c r="A46" i="5" s="1"/>
  <c r="A51" i="5" s="1"/>
  <c r="A56" i="5" s="1"/>
  <c r="A61" i="5" s="1"/>
  <c r="A66" i="5" s="1"/>
  <c r="A71" i="5" s="1"/>
  <c r="A76" i="5" s="1"/>
  <c r="A81" i="5" s="1"/>
  <c r="A86" i="5" s="1"/>
  <c r="A91" i="5" s="1"/>
  <c r="A96" i="5" s="1"/>
  <c r="A101" i="5" s="1"/>
  <c r="A30" i="5"/>
  <c r="A35" i="5" s="1"/>
  <c r="A40" i="5" s="1"/>
  <c r="A45" i="5" s="1"/>
  <c r="A50" i="5" s="1"/>
  <c r="A55" i="5" s="1"/>
  <c r="A60" i="5" s="1"/>
  <c r="A65" i="5" s="1"/>
  <c r="A70" i="5" s="1"/>
  <c r="A75" i="5" s="1"/>
  <c r="A80" i="5" s="1"/>
  <c r="A85" i="5" s="1"/>
  <c r="A90" i="5" s="1"/>
  <c r="A95" i="5" s="1"/>
  <c r="A100" i="5" s="1"/>
  <c r="A29" i="5"/>
  <c r="A34" i="5" s="1"/>
  <c r="A39" i="5" s="1"/>
  <c r="A44" i="5" s="1"/>
  <c r="A49" i="5" s="1"/>
  <c r="A54" i="5" s="1"/>
  <c r="A59" i="5" s="1"/>
  <c r="A64" i="5" s="1"/>
  <c r="A69" i="5" s="1"/>
  <c r="A74" i="5" s="1"/>
  <c r="A79" i="5" s="1"/>
  <c r="A84" i="5" s="1"/>
  <c r="A89" i="5" s="1"/>
  <c r="A94" i="5" s="1"/>
  <c r="A99" i="5" s="1"/>
  <c r="A28" i="5"/>
  <c r="A33" i="5" s="1"/>
  <c r="A38" i="5" s="1"/>
  <c r="A43" i="5" s="1"/>
  <c r="A48" i="5" s="1"/>
  <c r="A53" i="5" s="1"/>
  <c r="A58" i="5" s="1"/>
  <c r="A63" i="5" s="1"/>
  <c r="A68" i="5" s="1"/>
  <c r="A73" i="5" s="1"/>
  <c r="A78" i="5" s="1"/>
  <c r="A83" i="5" s="1"/>
  <c r="A88" i="5" s="1"/>
  <c r="A93" i="5" s="1"/>
  <c r="A98" i="5" s="1"/>
  <c r="A27" i="5"/>
  <c r="A32" i="5" s="1"/>
  <c r="A37" i="5" s="1"/>
  <c r="A42" i="5" s="1"/>
  <c r="A47" i="5" s="1"/>
  <c r="A52" i="5" s="1"/>
  <c r="A57" i="5" s="1"/>
  <c r="A62" i="5" s="1"/>
  <c r="A67" i="5" s="1"/>
  <c r="A72" i="5" s="1"/>
  <c r="A77" i="5" s="1"/>
  <c r="A82" i="5" s="1"/>
  <c r="A87" i="5" s="1"/>
  <c r="A92" i="5" s="1"/>
  <c r="A97" i="5" s="1"/>
  <c r="A81" i="1"/>
  <c r="A80" i="1"/>
  <c r="A79" i="1"/>
  <c r="A78" i="1"/>
  <c r="A77" i="1"/>
</calcChain>
</file>

<file path=xl/sharedStrings.xml><?xml version="1.0" encoding="utf-8"?>
<sst xmlns="http://schemas.openxmlformats.org/spreadsheetml/2006/main" count="3066" uniqueCount="448">
  <si>
    <t>格子id</t>
  </si>
  <si>
    <t>镶嵌类型</t>
  </si>
  <si>
    <t>开启等级</t>
  </si>
  <si>
    <t>消耗货币1类型</t>
  </si>
  <si>
    <t>消耗货币1数目</t>
  </si>
  <si>
    <t>消耗货币2类型</t>
  </si>
  <si>
    <t>消耗货币2数目</t>
  </si>
  <si>
    <t>攻击向符文</t>
  </si>
  <si>
    <t>钻石</t>
  </si>
  <si>
    <t>防御向符文</t>
  </si>
  <si>
    <t>辅助向符文</t>
  </si>
  <si>
    <t>任意位置符文</t>
  </si>
  <si>
    <t>特殊向符文</t>
  </si>
  <si>
    <t>战旗id</t>
  </si>
  <si>
    <t>战旗名称</t>
  </si>
  <si>
    <t>战旗图标</t>
  </si>
  <si>
    <t>战旗等级</t>
  </si>
  <si>
    <t>分解数目</t>
  </si>
  <si>
    <t>合成数目</t>
  </si>
  <si>
    <t>符文属性类型</t>
  </si>
  <si>
    <t>属性值</t>
  </si>
  <si>
    <t>随机属性条数</t>
  </si>
  <si>
    <t>随机属性1概率</t>
  </si>
  <si>
    <t>随机属性1极小值</t>
  </si>
  <si>
    <t>随机属性1极大值</t>
  </si>
  <si>
    <t>随机属性2概率</t>
  </si>
  <si>
    <t>随机属性2极小值</t>
  </si>
  <si>
    <t>随机属性2极大值</t>
  </si>
  <si>
    <t>随机属性3概率</t>
  </si>
  <si>
    <t>随机属性3极小值</t>
  </si>
  <si>
    <t>随机属性3极大值</t>
  </si>
  <si>
    <t>随机属性4概率</t>
  </si>
  <si>
    <t>随机属性4极小值</t>
  </si>
  <si>
    <t>随机属性4极大值</t>
  </si>
  <si>
    <t>随机属性5概率</t>
  </si>
  <si>
    <t>随机属性5极小值</t>
  </si>
  <si>
    <t>随机属性5极大值</t>
  </si>
  <si>
    <t>随机属性6概率</t>
  </si>
  <si>
    <t>随机属性6极小值</t>
  </si>
  <si>
    <t>随机属性6极大值</t>
  </si>
  <si>
    <t>随机属性7概率</t>
  </si>
  <si>
    <t>随机属性7极小值</t>
  </si>
  <si>
    <t>随机属性7极大值</t>
  </si>
  <si>
    <t>UITexture/systemtexture/zhanqi/yingxiong/gongji/T_ICON_yingzhan_a_gongjili01</t>
  </si>
  <si>
    <t>单位属性符文</t>
  </si>
  <si>
    <t>UITexture/systemtexture/zhanqi/yingxiong/gongji/T_ICON_yingzhan_a_gongjili02</t>
  </si>
  <si>
    <t>UITexture/systemtexture/zhanqi/yingxiong/gongji/T_ICON_yingzhan_a_gongjili03</t>
  </si>
  <si>
    <t>UITexture/systemtexture/zhanqi/yingxiong/gongji/T_ICON_yingzhan_a_gongjili04</t>
  </si>
  <si>
    <t>UITexture/systemtexture/zhanqi/yingxiong/gongji/T_ICON_yingzhan_a_gongjili05</t>
  </si>
  <si>
    <t>UITexture/systemtexture/zhanqi/yingxiong/gongji/T_ICON_yingzhan_a_faqiang01</t>
  </si>
  <si>
    <t>UITexture/systemtexture/zhanqi/yingxiong/gongji/T_ICON_yingzhan_a_faqiang02</t>
  </si>
  <si>
    <t>UITexture/systemtexture/zhanqi/yingxiong/gongji/T_ICON_yingzhan_a_faqiang03</t>
  </si>
  <si>
    <t>UITexture/systemtexture/zhanqi/yingxiong/gongji/T_ICON_yingzhan_a_faqiang04</t>
  </si>
  <si>
    <t>UITexture/systemtexture/zhanqi/yingxiong/gongji/T_ICON_yingzhan_a_faqiang05</t>
  </si>
  <si>
    <t>UITexture/systemtexture/zhanqi/yingxiong/gongji/T_ICON_yingzhan_a_baojilv01</t>
  </si>
  <si>
    <t>UITexture/systemtexture/zhanqi/yingxiong/gongji/T_ICON_yingzhan_a_baojilv02</t>
  </si>
  <si>
    <t>UITexture/systemtexture/zhanqi/yingxiong/gongji/T_ICON_yingzhan_a_baojilv03</t>
  </si>
  <si>
    <t>UITexture/systemtexture/zhanqi/yingxiong/gongji/T_ICON_yingzhan_a_baojilv04</t>
  </si>
  <si>
    <t>UITexture/systemtexture/zhanqi/yingxiong/gongji/T_ICON_yingzhan_a_baojilv05</t>
  </si>
  <si>
    <t>UITexture/systemtexture/zhanqi/yingxiong/fangyu/T_ICON_yingzhan_b_hujia01</t>
  </si>
  <si>
    <t>UITexture/systemtexture/zhanqi/yingxiong/fangyu/T_ICON_yingzhan_b_hujia02</t>
  </si>
  <si>
    <t>UITexture/systemtexture/zhanqi/yingxiong/fangyu/T_ICON_yingzhan_b_hujia03</t>
  </si>
  <si>
    <t>UITexture/systemtexture/zhanqi/yingxiong/fangyu/T_ICON_yingzhan_b_hujia04</t>
  </si>
  <si>
    <t>UITexture/systemtexture/zhanqi/yingxiong/fangyu/T_ICON_yingzhan_b_hujia05</t>
  </si>
  <si>
    <t>UITexture/systemtexture/zhanqi/yingxiong/fangyu/T_ICON_yingzhan_b_fakang01</t>
  </si>
  <si>
    <t>UITexture/systemtexture/zhanqi/yingxiong/fangyu/T_ICON_yingzhan_b_fakang02</t>
  </si>
  <si>
    <t>UITexture/systemtexture/zhanqi/yingxiong/fangyu/T_ICON_yingzhan_b_fakang03</t>
  </si>
  <si>
    <t>UITexture/systemtexture/zhanqi/yingxiong/fangyu/T_ICON_yingzhan_b_fakang04</t>
  </si>
  <si>
    <t>UITexture/systemtexture/zhanqi/yingxiong/fangyu/T_ICON_yingzhan_b_fakang05</t>
  </si>
  <si>
    <t>UITexture/systemtexture/zhanqi/yingxiong/shengming/T_ICON_yingzhan_c_zuidashengming01</t>
  </si>
  <si>
    <t>UITexture/systemtexture/zhanqi/yingxiong/shengming/T_ICON_yingzhan_c_zuidashengming02</t>
  </si>
  <si>
    <t>UITexture/systemtexture/zhanqi/yingxiong/shengming/T_ICON_yingzhan_c_zuidashengming03</t>
  </si>
  <si>
    <t>UITexture/systemtexture/zhanqi/yingxiong/shengming/T_ICON_yingzhan_c_zuidashengming04</t>
  </si>
  <si>
    <t>UITexture/systemtexture/zhanqi/yingxiong/shengming/T_ICON_yingzhan_c_zuidashengming05</t>
  </si>
  <si>
    <t>UITexture/systemtexture/zhanqi/yingxiong/shengming/T_ICON_yingzhan_c_zuidafali01</t>
  </si>
  <si>
    <t>UITexture/systemtexture/zhanqi/yingxiong/shengming/T_ICON_yingzhan_c_zuidafali02</t>
  </si>
  <si>
    <t>UITexture/systemtexture/zhanqi/yingxiong/shengming/T_ICON_yingzhan_c_zuidafali03</t>
  </si>
  <si>
    <t>UITexture/systemtexture/zhanqi/yingxiong/shengming/T_ICON_yingzhan_c_zuidafali04</t>
  </si>
  <si>
    <t>UITexture/systemtexture/zhanqi/yingxiong/shengming/T_ICON_yingzhan_c_zuidafali05</t>
  </si>
  <si>
    <t>UITexture/systemtexture/zhanqi/yingxiong/teshu/T_ICON_yingzhan_d_shengminghuifu01</t>
  </si>
  <si>
    <t>UITexture/systemtexture/zhanqi/yingxiong/teshu/T_ICON_yingzhan_d_shengminghuifu02</t>
  </si>
  <si>
    <t>UITexture/systemtexture/zhanqi/yingxiong/teshu/T_ICON_yingzhan_d_shengminghuifu03</t>
  </si>
  <si>
    <t>UITexture/systemtexture/zhanqi/yingxiong/teshu/T_ICON_yingzhan_d_shengminghuifu04</t>
  </si>
  <si>
    <t>UITexture/systemtexture/zhanqi/yingxiong/teshu/T_ICON_yingzhan_d_shengminghuifu05</t>
  </si>
  <si>
    <t>UITexture/systemtexture/zhanqi/yingxiong/teshu/T_ICON_yingzhan_d_falihuifu01</t>
  </si>
  <si>
    <t>UITexture/systemtexture/zhanqi/yingxiong/teshu/T_ICON_yingzhan_d_falihuifu02</t>
  </si>
  <si>
    <t>UITexture/systemtexture/zhanqi/yingxiong/teshu/T_ICON_yingzhan_d_falihuifu03</t>
  </si>
  <si>
    <t>UITexture/systemtexture/zhanqi/yingxiong/teshu/T_ICON_yingzhan_d_falihuifu04</t>
  </si>
  <si>
    <t>UITexture/systemtexture/zhanqi/yingxiong/teshu/T_ICON_yingzhan_d_falihuifu05</t>
  </si>
  <si>
    <t>UITexture/systemtexture/zhanqi/yingxiong/teshu/T_ICON_yingzhan_d_shengmingtouqu01</t>
  </si>
  <si>
    <t>UITexture/systemtexture/zhanqi/yingxiong/teshu/T_ICON_yingzhan_d_shengmingtouqu02</t>
  </si>
  <si>
    <t>UITexture/systemtexture/zhanqi/yingxiong/teshu/T_ICON_yingzhan_d_shengmingtouqu03</t>
  </si>
  <si>
    <t>UITexture/systemtexture/zhanqi/yingxiong/teshu/T_ICON_yingzhan_d_shengmingtouqu04</t>
  </si>
  <si>
    <t>UITexture/systemtexture/zhanqi/yingxiong/teshu/T_ICON_yingzhan_d_shengmingtouqu05</t>
  </si>
  <si>
    <t>UITexture/systemtexture/zhanqi/yingxiong/teshu/T_ICON_yingzhan_d_gongsu01</t>
  </si>
  <si>
    <t>UITexture/systemtexture/zhanqi/yingxiong/teshu/T_ICON_yingzhan_d_gongsu02</t>
  </si>
  <si>
    <t>UITexture/systemtexture/zhanqi/yingxiong/teshu/T_ICON_yingzhan_d_gongsu03</t>
  </si>
  <si>
    <t>UITexture/systemtexture/zhanqi/yingxiong/teshu/T_ICON_yingzhan_d_gongsu04</t>
  </si>
  <si>
    <t>UITexture/systemtexture/zhanqi/yingxiong/teshu/T_ICON_yingzhan_d_gongsu05</t>
  </si>
  <si>
    <t>UITexture/systemtexture/zhanqi/yingxiong/teshu/T_ICON_yingzhan_d_baojishanghai01</t>
  </si>
  <si>
    <t>UITexture/systemtexture/zhanqi/yingxiong/teshu/T_ICON_yingzhan_d_baojishanghai02</t>
  </si>
  <si>
    <t>UITexture/systemtexture/zhanqi/yingxiong/teshu/T_ICON_yingzhan_d_baojishanghai03</t>
  </si>
  <si>
    <t>UITexture/systemtexture/zhanqi/yingxiong/teshu/T_ICON_yingzhan_d_baojishanghai04</t>
  </si>
  <si>
    <t>UITexture/systemtexture/zhanqi/yingxiong/teshu/T_ICON_yingzhan_d_baojishanghai05</t>
  </si>
  <si>
    <t>UITexture/systemtexture/zhanqi/yingxiong/teshu/T_ICON_yingzhan_d_hujiachuantou01</t>
  </si>
  <si>
    <t>UITexture/systemtexture/zhanqi/yingxiong/teshu/T_ICON_yingzhan_d_hujiachuantou02</t>
  </si>
  <si>
    <t>UITexture/systemtexture/zhanqi/yingxiong/teshu/T_ICON_yingzhan_d_hujiachuantou03</t>
  </si>
  <si>
    <t>UITexture/systemtexture/zhanqi/yingxiong/teshu/T_ICON_yingzhan_d_hujiachuantou04</t>
  </si>
  <si>
    <t>UITexture/systemtexture/zhanqi/yingxiong/teshu/T_ICON_yingzhan_d_hujiachuantou05</t>
  </si>
  <si>
    <t>UITexture/systemtexture/zhanqi/yingxiong/teshu/T_ICON_yingzhan_d_fashuchuantou01</t>
  </si>
  <si>
    <t>UITexture/systemtexture/zhanqi/yingxiong/teshu/T_ICON_yingzhan_d_fashuchuantou02</t>
  </si>
  <si>
    <t>UITexture/systemtexture/zhanqi/yingxiong/teshu/T_ICON_yingzhan_d_fashuchuantou03</t>
  </si>
  <si>
    <t>UITexture/systemtexture/zhanqi/yingxiong/teshu/T_ICON_yingzhan_d_fashuchuantou04</t>
  </si>
  <si>
    <t>UITexture/systemtexture/zhanqi/yingxiong/teshu/T_ICON_yingzhan_d_fashuchuantou05</t>
  </si>
  <si>
    <t>UITexture/systemtexture/zhanqi/yingxiong/teshu/T_ICON_yingzhan_d_fashutouqu01</t>
  </si>
  <si>
    <t>UITexture/systemtexture/zhanqi/yingxiong/teshu/T_ICON_yingzhan_d_fashutouqu02</t>
  </si>
  <si>
    <t>UITexture/systemtexture/zhanqi/yingxiong/teshu/T_ICON_yingzhan_d_fashutouqu03</t>
  </si>
  <si>
    <t>UITexture/systemtexture/zhanqi/yingxiong/teshu/T_ICON_yingzhan_d_fashutouqu04</t>
  </si>
  <si>
    <t>UITexture/systemtexture/zhanqi/yingxiong/teshu/T_ICON_yingzhan_d_fashutouqu05</t>
  </si>
  <si>
    <t>UITexture/systemtexture/zhanqi/yingxiong/teshu/T_ICON_yingzhan_d_lengquesuojian01</t>
  </si>
  <si>
    <t>UITexture/systemtexture/zhanqi/yingxiong/teshu/T_ICON_yingzhan_d_lengquesuojian02</t>
  </si>
  <si>
    <t>UITexture/systemtexture/zhanqi/yingxiong/teshu/T_ICON_yingzhan_d_lengquesuojian03</t>
  </si>
  <si>
    <t>UITexture/systemtexture/zhanqi/yingxiong/teshu/T_ICON_yingzhan_d_lengquesuojian04</t>
  </si>
  <si>
    <t>UITexture/systemtexture/zhanqi/yingxiong/teshu/T_ICON_yingzhan_d_lengquesuojian05</t>
  </si>
  <si>
    <t>队伍属性符文</t>
  </si>
  <si>
    <t>UITexture/systemtexture/zhanqi/zhongzu/gongji/T_ICON_zhongzhan_a_gongjili01</t>
  </si>
  <si>
    <t>UITexture/systemtexture/zhanqi/zhongzu/gongji/T_ICON_zhongzhan_a_gongjili02</t>
  </si>
  <si>
    <t>UITexture/systemtexture/zhanqi/zhongzu/gongji/T_ICON_zhongzhan_a_gongjili03</t>
  </si>
  <si>
    <t>UITexture/systemtexture/zhanqi/zhongzu/gongji/T_ICON_zhongzhan_a_gongjili04</t>
  </si>
  <si>
    <t>UITexture/systemtexture/zhanqi/zhongzu/gongji/T_ICON_zhongzhan_a_gongjili05</t>
  </si>
  <si>
    <t>UITexture/systemtexture/zhanqi/zhongzu/fangyu/T_ICON_zhongzhan_b_hujia01</t>
  </si>
  <si>
    <t>UITexture/systemtexture/zhanqi/zhongzu/fangyu/T_ICON_zhongzhan_b_hujia02</t>
  </si>
  <si>
    <t>UITexture/systemtexture/zhanqi/zhongzu/fangyu/T_ICON_zhongzhan_b_hujia03</t>
  </si>
  <si>
    <t>UITexture/systemtexture/zhanqi/zhongzu/fangyu/T_ICON_zhongzhan_b_hujia04</t>
  </si>
  <si>
    <t>UITexture/systemtexture/zhanqi/zhongzu/fangyu/T_ICON_zhongzhan_b_hujia05</t>
  </si>
  <si>
    <t>UITexture/systemtexture/zhanqi/zhongzu/shengming/T_ICON_zhongzhan_c_zuidashengming01</t>
  </si>
  <si>
    <t>UITexture/systemtexture/zhanqi/zhongzu/shengming/T_ICON_zhongzhan_c_zuidashengming02</t>
  </si>
  <si>
    <t>UITexture/systemtexture/zhanqi/zhongzu/shengming/T_ICON_zhongzhan_c_zuidashengming03</t>
  </si>
  <si>
    <t>UITexture/systemtexture/zhanqi/zhongzu/shengming/T_ICON_zhongzhan_c_zuidashengming04</t>
  </si>
  <si>
    <t>UITexture/systemtexture/zhanqi/zhongzu/shengming/T_ICON_zhongzhan_c_zuidashengming05</t>
  </si>
  <si>
    <t>UITexture/systemtexture/zhanqi/zhongzu/shengming/T_ICON_zhongzhan_c_zuidafali01</t>
  </si>
  <si>
    <t>UITexture/systemtexture/zhanqi/zhongzu/shengming/T_ICON_zhongzhan_c_zuidafali02</t>
  </si>
  <si>
    <t>UITexture/systemtexture/zhanqi/zhongzu/shengming/T_ICON_zhongzhan_c_zuidafali03</t>
  </si>
  <si>
    <t>UITexture/systemtexture/zhanqi/zhongzu/shengming/T_ICON_zhongzhan_c_zuidafali04</t>
  </si>
  <si>
    <t>UITexture/systemtexture/zhanqi/zhongzu/teshu/T_ICON_zhongzhan_d_shengminghuifu01</t>
  </si>
  <si>
    <t>UITexture/systemtexture/zhanqi/zhongzu/teshu/T_ICON_zhongzhan_d_shengminghuifu02</t>
  </si>
  <si>
    <t>UITexture/systemtexture/zhanqi/zhongzu/teshu/T_ICON_zhongzhan_d_shengminghuifu03</t>
  </si>
  <si>
    <t>UITexture/systemtexture/zhanqi/zhongzu/teshu/T_ICON_zhongzhan_d_shengminghuifu04</t>
  </si>
  <si>
    <t>UITexture/systemtexture/zhanqi/zhongzu/teshu/T_ICON_zhongzhan_d_shengminghuifu05</t>
  </si>
  <si>
    <t>UITexture/systemtexture/zhanqi/zhongzu/teshu/T_ICON_zhongzhan_d_shengmingtouqu01</t>
  </si>
  <si>
    <t>UITexture/systemtexture/zhanqi/zhongzu/teshu/T_ICON_zhongzhan_d_shengmingtouqu02</t>
  </si>
  <si>
    <t>UITexture/systemtexture/zhanqi/zhongzu/teshu/T_ICON_zhongzhan_d_shengmingtouqu03</t>
  </si>
  <si>
    <t>UITexture/systemtexture/zhanqi/zhongzu/teshu/T_ICON_zhongzhan_d_shengmingtouqu04</t>
  </si>
  <si>
    <t>UITexture/systemtexture/zhanqi/zhongzu/teshu/T_ICON_zhongzhan_d_shengmingtouqu05</t>
  </si>
  <si>
    <t>UITexture/systemtexture/zhanqi/zhongzu/teshu/T_ICON_zhongzhan_d_gongsu01</t>
  </si>
  <si>
    <t>UITexture/systemtexture/zhanqi/zhongzu/teshu/T_ICON_zhongzhan_d_gongsu02</t>
  </si>
  <si>
    <t>UITexture/systemtexture/zhanqi/zhongzu/teshu/T_ICON_zhongzhan_d_gongsu03</t>
  </si>
  <si>
    <t>UITexture/systemtexture/zhanqi/zhongzu/teshu/T_ICON_zhongzhan_d_gongsu04</t>
  </si>
  <si>
    <t>UITexture/systemtexture/zhanqi/zhongzu/teshu/T_ICON_zhongzhan_d_gongsu05</t>
  </si>
  <si>
    <t>UITexture/systemtexture/zhanqi/zhongzu/teshu/T_ICON_zhongzhan_d_lengque01</t>
  </si>
  <si>
    <t>UITexture/systemtexture/zhanqi/zhongzu/teshu/T_ICON_zhongzhan_d_lengque02</t>
  </si>
  <si>
    <t>UITexture/systemtexture/zhanqi/zhongzu/teshu/T_ICON_zhongzhan_d_lengque03</t>
  </si>
  <si>
    <t>UITexture/systemtexture/zhanqi/zhongzu/teshu/T_ICON_zhongzhan_d_lengque04</t>
  </si>
  <si>
    <t>UITexture/systemtexture/zhanqi/zhongzu/teshu/T_ICON_zhongzhan_d_lengque05</t>
  </si>
  <si>
    <t>UITexture/systemtexture/zhanqi/zhongzu/teshu/T_ICON_zhongzhan_d_teshu01</t>
  </si>
  <si>
    <t>UITexture/systemtexture/zhanqi/zhongzu/teshu/T_ICON_zhongzhan_d_teshu02</t>
  </si>
  <si>
    <t>UITexture/systemtexture/zhanqi/zhongzu/teshu/T_ICON_zhongzhan_d_teshu03</t>
  </si>
  <si>
    <t>UITexture/systemtexture/zhanqi/zhongzu/teshu/T_ICON_zhongzhan_d_teshu04</t>
  </si>
  <si>
    <t>UITexture/systemtexture/zhanqi/zhongzu/teshu/T_ICON_zhongzhan_d_teshu05</t>
  </si>
  <si>
    <t>符文等级</t>
  </si>
  <si>
    <t>推荐序号</t>
  </si>
  <si>
    <t>战旗id1</t>
  </si>
  <si>
    <t>战旗id2</t>
  </si>
  <si>
    <t>战旗id3</t>
  </si>
  <si>
    <t>战旗id4</t>
  </si>
  <si>
    <t>战旗id5</t>
  </si>
  <si>
    <t>战旗id6</t>
  </si>
  <si>
    <t>战旗id7</t>
  </si>
  <si>
    <t>战旗id8</t>
  </si>
  <si>
    <t>战旗id9</t>
  </si>
  <si>
    <t>战旗id10</t>
  </si>
  <si>
    <t>战旗id11</t>
  </si>
  <si>
    <t>战旗id12</t>
  </si>
  <si>
    <t>战旗id13</t>
  </si>
  <si>
    <t>战旗id14</t>
  </si>
  <si>
    <t>战旗id15</t>
  </si>
  <si>
    <t>战旗页ID</t>
  </si>
  <si>
    <t>是否默认开启</t>
  </si>
  <si>
    <t>消耗货币类型</t>
  </si>
  <si>
    <t>消耗货币数目</t>
  </si>
  <si>
    <t>战旗页1</t>
  </si>
  <si>
    <t>是</t>
  </si>
  <si>
    <t>战旗页2</t>
  </si>
  <si>
    <t>战旗页3</t>
  </si>
  <si>
    <t>否</t>
  </si>
  <si>
    <t>战旗页4</t>
  </si>
  <si>
    <t>战旗页5</t>
  </si>
  <si>
    <t>战旗页6</t>
  </si>
  <si>
    <t>战旗页7</t>
  </si>
  <si>
    <t>战旗页8</t>
  </si>
  <si>
    <t>战旗页9</t>
  </si>
  <si>
    <t>战旗页10</t>
  </si>
  <si>
    <t>战旗页11</t>
  </si>
  <si>
    <t>战旗页12</t>
  </si>
  <si>
    <t>战旗页13</t>
  </si>
  <si>
    <t>战旗页14</t>
  </si>
  <si>
    <t>战旗页15</t>
  </si>
  <si>
    <t>战旗页16</t>
  </si>
  <si>
    <t>战旗页17</t>
  </si>
  <si>
    <t>战旗页18</t>
  </si>
  <si>
    <t>战旗页19</t>
  </si>
  <si>
    <t>战旗页20</t>
  </si>
  <si>
    <t>UITexture/systemtexture/zhanqi/zhongzu/shengming/T_ICON_zhongzhan_c_zuidafali05</t>
  </si>
  <si>
    <t>英雄id</t>
    <phoneticPr fontId="2" type="noConversion"/>
  </si>
  <si>
    <t>序号</t>
    <phoneticPr fontId="2" type="noConversion"/>
  </si>
  <si>
    <t>固定属性类型</t>
  </si>
  <si>
    <t>属性加成类型</t>
  </si>
  <si>
    <t>随机属性1属性加成类型</t>
    <phoneticPr fontId="2" type="noConversion"/>
  </si>
  <si>
    <t>随机属性6属性类型</t>
    <phoneticPr fontId="2" type="noConversion"/>
  </si>
  <si>
    <t>随机属性7属性类型</t>
    <phoneticPr fontId="2" type="noConversion"/>
  </si>
  <si>
    <t>随机属性2属性加成类型</t>
    <phoneticPr fontId="2" type="noConversion"/>
  </si>
  <si>
    <t>随机属性3属性加成类型</t>
    <phoneticPr fontId="2" type="noConversion"/>
  </si>
  <si>
    <t>随机属性4属性加成类型</t>
    <phoneticPr fontId="2" type="noConversion"/>
  </si>
  <si>
    <t>随机属性5属性加成类型</t>
    <phoneticPr fontId="2" type="noConversion"/>
  </si>
  <si>
    <t>随机属性6属性加成类型</t>
    <phoneticPr fontId="2" type="noConversion"/>
  </si>
  <si>
    <t>随机属性7属性加成类型</t>
    <phoneticPr fontId="2" type="noConversion"/>
  </si>
  <si>
    <t>加成属性</t>
  </si>
  <si>
    <t>基础属性乘法</t>
  </si>
  <si>
    <t>符文_攻击力</t>
  </si>
  <si>
    <t>符文_法术强度</t>
  </si>
  <si>
    <t>符文_暴击率</t>
  </si>
  <si>
    <t>符文_护甲值</t>
  </si>
  <si>
    <t>符文_法术抗性</t>
  </si>
  <si>
    <t>符文_最大生命值</t>
  </si>
  <si>
    <t>符文_最大法术值</t>
  </si>
  <si>
    <t>符文_生命回复/5s</t>
  </si>
  <si>
    <t>符文_法术回复/5s</t>
  </si>
  <si>
    <t>符文_生命偷取率</t>
  </si>
  <si>
    <t>符文_攻击速度</t>
  </si>
  <si>
    <t>符文_暴击伤害率</t>
  </si>
  <si>
    <t>符文_护甲穿透</t>
  </si>
  <si>
    <t>符文_法术穿透</t>
  </si>
  <si>
    <t>符文_法术吸血率</t>
  </si>
  <si>
    <t>符文_冷却缩减</t>
  </si>
  <si>
    <t>随机属性1属性类型</t>
  </si>
  <si>
    <t>随机属性2属性类型</t>
  </si>
  <si>
    <t>随机属性3属性类型</t>
  </si>
  <si>
    <t>随机属性4属性类型</t>
  </si>
  <si>
    <t>随机属性5属性类型</t>
  </si>
  <si>
    <t>随机属性6属性类型</t>
  </si>
  <si>
    <t>随机属性7属性类型</t>
  </si>
  <si>
    <t>符文_打野额外金钱</t>
  </si>
  <si>
    <t>符文_打野额外经验</t>
  </si>
  <si>
    <t>符文_击杀士兵额外经验</t>
  </si>
  <si>
    <t>符文_分矿建造时间</t>
  </si>
  <si>
    <t>符文_防御塔建造时间</t>
  </si>
  <si>
    <t>符文_升级基地时间</t>
  </si>
  <si>
    <t>符文_训练士兵费用</t>
  </si>
  <si>
    <t>符文_修理建筑速度</t>
  </si>
  <si>
    <t>符文_出生携带金币</t>
  </si>
  <si>
    <t>符文_传送冷却时间</t>
  </si>
  <si>
    <t>符文_草丛生命回复</t>
  </si>
  <si>
    <t>符文_泉水生命回复</t>
  </si>
  <si>
    <t>加成属性</t>
    <phoneticPr fontId="2" type="noConversion"/>
  </si>
  <si>
    <t>1级战旗：勇气</t>
    <phoneticPr fontId="2" type="noConversion"/>
  </si>
  <si>
    <t>2级战旗：勇气</t>
    <phoneticPr fontId="2" type="noConversion"/>
  </si>
  <si>
    <t>3级战旗：勇气</t>
  </si>
  <si>
    <t>4级战旗：勇气</t>
  </si>
  <si>
    <t>5级战旗：勇气</t>
  </si>
  <si>
    <t>1级战旗：智慧</t>
  </si>
  <si>
    <t>2级战旗：智慧</t>
  </si>
  <si>
    <t>3级战旗：智慧</t>
  </si>
  <si>
    <t>4级战旗：智慧</t>
  </si>
  <si>
    <t>5级战旗：智慧</t>
  </si>
  <si>
    <t>1级战旗：爆裂</t>
  </si>
  <si>
    <t>2级战旗：爆裂</t>
  </si>
  <si>
    <t>3级战旗：爆裂</t>
  </si>
  <si>
    <t>4级战旗：爆裂</t>
  </si>
  <si>
    <t>5级战旗：爆裂</t>
  </si>
  <si>
    <t>1级战旗：堡垒</t>
  </si>
  <si>
    <t>2级战旗：堡垒</t>
  </si>
  <si>
    <t>3级战旗：堡垒</t>
  </si>
  <si>
    <t>4级战旗：堡垒</t>
  </si>
  <si>
    <t>5级战旗：堡垒</t>
  </si>
  <si>
    <t>1级战旗：屏障</t>
  </si>
  <si>
    <t>2级战旗：屏障</t>
  </si>
  <si>
    <t>3级战旗：屏障</t>
  </si>
  <si>
    <t>4级战旗：屏障</t>
  </si>
  <si>
    <t>5级战旗：屏障</t>
  </si>
  <si>
    <t>1级战旗：大地</t>
  </si>
  <si>
    <t>2级战旗：大地</t>
  </si>
  <si>
    <t>3级战旗：大地</t>
  </si>
  <si>
    <t>4级战旗：大地</t>
  </si>
  <si>
    <t>5级战旗：大地</t>
  </si>
  <si>
    <t>1级战旗：潮汐</t>
  </si>
  <si>
    <t>2级战旗：潮汐</t>
  </si>
  <si>
    <t>3级战旗：潮汐</t>
  </si>
  <si>
    <t>4级战旗：潮汐</t>
  </si>
  <si>
    <t>5级战旗：潮汐</t>
  </si>
  <si>
    <t>1级战旗：新生</t>
  </si>
  <si>
    <t>2级战旗：新生</t>
  </si>
  <si>
    <t>3级战旗：新生</t>
  </si>
  <si>
    <t>4级战旗：新生</t>
  </si>
  <si>
    <t>5级战旗：新生</t>
  </si>
  <si>
    <t>1级战旗：冥想</t>
  </si>
  <si>
    <t>2级战旗：冥想</t>
  </si>
  <si>
    <t>3级战旗：冥想</t>
  </si>
  <si>
    <t>4级战旗：冥想</t>
  </si>
  <si>
    <t>5级战旗：冥想</t>
  </si>
  <si>
    <t>1级战旗：盛宴</t>
  </si>
  <si>
    <t>2级战旗：盛宴</t>
  </si>
  <si>
    <t>3级战旗：盛宴</t>
  </si>
  <si>
    <t>4级战旗：盛宴</t>
  </si>
  <si>
    <t>5级战旗：盛宴</t>
  </si>
  <si>
    <t>1级战旗：迅捷</t>
  </si>
  <si>
    <t>2级战旗：迅捷</t>
  </si>
  <si>
    <t>3级战旗：迅捷</t>
  </si>
  <si>
    <t>4级战旗：迅捷</t>
  </si>
  <si>
    <t>5级战旗：迅捷</t>
  </si>
  <si>
    <t>1级战旗：裂魂</t>
  </si>
  <si>
    <t>2级战旗：裂魂</t>
  </si>
  <si>
    <t>3级战旗：裂魂</t>
  </si>
  <si>
    <t>4级战旗：裂魂</t>
  </si>
  <si>
    <t>5级战旗：裂魂</t>
  </si>
  <si>
    <t>1级战旗：洞悉</t>
  </si>
  <si>
    <t>2级战旗：洞悉</t>
  </si>
  <si>
    <t>3级战旗：洞悉</t>
  </si>
  <si>
    <t>4级战旗：洞悉</t>
  </si>
  <si>
    <t>5级战旗：洞悉</t>
  </si>
  <si>
    <t>1级战旗：风暴</t>
  </si>
  <si>
    <t>2级战旗：风暴</t>
  </si>
  <si>
    <t>3级战旗：风暴</t>
  </si>
  <si>
    <t>4级战旗：风暴</t>
  </si>
  <si>
    <t>5级战旗：风暴</t>
  </si>
  <si>
    <t>1级战旗：净化</t>
  </si>
  <si>
    <t>2级战旗：净化</t>
  </si>
  <si>
    <t>3级战旗：净化</t>
  </si>
  <si>
    <t>4级战旗：净化</t>
  </si>
  <si>
    <t>5级战旗：净化</t>
  </si>
  <si>
    <t>1级战旗：急速</t>
  </si>
  <si>
    <t>2级战旗：急速</t>
  </si>
  <si>
    <t>3级战旗：急速</t>
  </si>
  <si>
    <t>4级战旗：急速</t>
  </si>
  <si>
    <t>5级战旗：急速</t>
  </si>
  <si>
    <t>1级战旗：贪婪</t>
  </si>
  <si>
    <t>2级战旗：贪婪</t>
  </si>
  <si>
    <t>3级战旗：贪婪</t>
  </si>
  <si>
    <t>4级战旗：贪婪</t>
  </si>
  <si>
    <t>5级战旗：贪婪</t>
  </si>
  <si>
    <t>1级战旗：恩赐</t>
  </si>
  <si>
    <t>2级战旗：恩赐</t>
  </si>
  <si>
    <t>3级战旗：恩赐</t>
  </si>
  <si>
    <t>4级战旗：恩赐</t>
  </si>
  <si>
    <t>5级战旗：恩赐</t>
  </si>
  <si>
    <t>1级战旗：渴望</t>
  </si>
  <si>
    <t>2级战旗：渴望</t>
  </si>
  <si>
    <t>3级战旗：渴望</t>
  </si>
  <si>
    <t>4级战旗：渴望</t>
  </si>
  <si>
    <t>5级战旗：渴望</t>
  </si>
  <si>
    <t>1级战旗：镜像</t>
  </si>
  <si>
    <t>2级战旗：镜像</t>
  </si>
  <si>
    <t>3级战旗：镜像</t>
  </si>
  <si>
    <t>4级战旗：镜像</t>
  </si>
  <si>
    <t>5级战旗：镜像</t>
  </si>
  <si>
    <t>1级战旗：守护</t>
  </si>
  <si>
    <t>2级战旗：守护</t>
  </si>
  <si>
    <t>3级战旗：守护</t>
  </si>
  <si>
    <t>4级战旗：守护</t>
  </si>
  <si>
    <t>5级战旗：守护</t>
  </si>
  <si>
    <t>1级战旗：盟约</t>
  </si>
  <si>
    <t>2级战旗：盟约</t>
  </si>
  <si>
    <t>3级战旗：盟约</t>
  </si>
  <si>
    <t>4级战旗：盟约</t>
  </si>
  <si>
    <t>5级战旗：盟约</t>
  </si>
  <si>
    <t>1级战旗：专家</t>
  </si>
  <si>
    <t>2级战旗：专家</t>
  </si>
  <si>
    <t>3级战旗：专家</t>
  </si>
  <si>
    <t>4级战旗：专家</t>
  </si>
  <si>
    <t>5级战旗：专家</t>
  </si>
  <si>
    <t>1级战旗：工匠</t>
  </si>
  <si>
    <t>2级战旗：工匠</t>
  </si>
  <si>
    <t>3级战旗：工匠</t>
  </si>
  <si>
    <t>4级战旗：工匠</t>
  </si>
  <si>
    <t>5级战旗：工匠</t>
  </si>
  <si>
    <t>1级战旗：祝福</t>
  </si>
  <si>
    <t>2级战旗：祝福</t>
  </si>
  <si>
    <t>3级战旗：祝福</t>
  </si>
  <si>
    <t>4级战旗：祝福</t>
  </si>
  <si>
    <t>5级战旗：祝福</t>
  </si>
  <si>
    <t>1级战旗：急奔</t>
  </si>
  <si>
    <t>2级战旗：急奔</t>
  </si>
  <si>
    <t>3级战旗：急奔</t>
  </si>
  <si>
    <t>4级战旗：急奔</t>
  </si>
  <si>
    <t>5级战旗：急奔</t>
  </si>
  <si>
    <t>1级战旗：隐秘</t>
  </si>
  <si>
    <t>2级战旗：隐秘</t>
  </si>
  <si>
    <t>3级战旗：隐秘</t>
  </si>
  <si>
    <t>4级战旗：隐秘</t>
  </si>
  <si>
    <t>5级战旗：隐秘</t>
  </si>
  <si>
    <t>1级战旗：回响</t>
  </si>
  <si>
    <t>2级战旗：回响</t>
  </si>
  <si>
    <t>3级战旗：回响</t>
  </si>
  <si>
    <t>4级战旗：回响</t>
  </si>
  <si>
    <t>5级战旗：回响</t>
  </si>
  <si>
    <t>击杀野怪获得的额外金钱百分比</t>
    <phoneticPr fontId="2" type="noConversion"/>
  </si>
  <si>
    <t>击杀野怪获得的额外经验百分比</t>
    <phoneticPr fontId="2" type="noConversion"/>
  </si>
  <si>
    <t>击杀士兵获得的额外经验百分比</t>
    <phoneticPr fontId="2" type="noConversion"/>
  </si>
  <si>
    <t>减少分矿建造的时间</t>
    <phoneticPr fontId="2" type="noConversion"/>
  </si>
  <si>
    <t>减少防御塔建造的时间</t>
    <phoneticPr fontId="2" type="noConversion"/>
  </si>
  <si>
    <t>降低升级基地所需的时间</t>
    <phoneticPr fontId="2" type="noConversion"/>
  </si>
  <si>
    <t>降低训练士兵所消耗的费用</t>
    <phoneticPr fontId="2" type="noConversion"/>
  </si>
  <si>
    <t>加快建筑修理的速率</t>
    <phoneticPr fontId="2" type="noConversion"/>
  </si>
  <si>
    <t>增加开始比赛时，初始携带的金币数目</t>
    <phoneticPr fontId="2" type="noConversion"/>
  </si>
  <si>
    <t>降低传送冷却的时间</t>
    <phoneticPr fontId="2" type="noConversion"/>
  </si>
  <si>
    <t>在草丛中时，增加部队的生命回复速率</t>
    <phoneticPr fontId="2" type="noConversion"/>
  </si>
  <si>
    <t>在泉水时，增加部队的生命回复速率</t>
    <phoneticPr fontId="2" type="noConversion"/>
  </si>
  <si>
    <t>极限攻击</t>
    <phoneticPr fontId="2" type="noConversion"/>
  </si>
  <si>
    <t>纯粹防御</t>
    <phoneticPr fontId="2" type="noConversion"/>
  </si>
  <si>
    <t>科技经营</t>
    <phoneticPr fontId="2" type="noConversion"/>
  </si>
  <si>
    <t>攻守兼备</t>
    <phoneticPr fontId="2" type="noConversion"/>
  </si>
  <si>
    <t>法穿暴击</t>
    <phoneticPr fontId="2" type="noConversion"/>
  </si>
  <si>
    <t>极限法强</t>
    <phoneticPr fontId="2" type="noConversion"/>
  </si>
  <si>
    <t>冷却为主</t>
    <phoneticPr fontId="2" type="noConversion"/>
  </si>
  <si>
    <t>攻速暴击</t>
    <phoneticPr fontId="2" type="noConversion"/>
  </si>
  <si>
    <t>极限防御</t>
    <phoneticPr fontId="2" type="noConversion"/>
  </si>
  <si>
    <t>在最大生命、最大法力、护甲、法术抗性中随机一条额外属性</t>
  </si>
  <si>
    <t>在最大生命、最大法力、护甲、法术抗性中随机一条额外属性</t>
    <phoneticPr fontId="2" type="noConversion"/>
  </si>
  <si>
    <t>在最大生命、最大法力、攻击力、法术强度中随机一条额外属性</t>
  </si>
  <si>
    <t>在最大生命、最大法力、攻击力、法术强度中随机一条额外属性</t>
    <phoneticPr fontId="2" type="noConversion"/>
  </si>
  <si>
    <t>在护甲、法术抗性、攻击力、法术强度、暴击中随机一条额外属性</t>
  </si>
  <si>
    <t>在最大生命、最大法力、攻击力、法术强度、暴击率、护甲、法术抗性中随机两条额外属性</t>
  </si>
  <si>
    <t>在最大生命、最大法力、攻击力、护甲、法术抗性中随机两条额外属性</t>
  </si>
  <si>
    <t>在最大生命、最大法力、攻击力中随机一条额外属性</t>
  </si>
  <si>
    <t>在护甲、攻击力中随机一条额外属性</t>
  </si>
  <si>
    <t>在最大生命、最大法力、护甲中随机一条额外属性</t>
  </si>
  <si>
    <t>在最大生命、最大法力、攻击力、护甲中随机两条额外属性</t>
  </si>
  <si>
    <t>战旗名称_英文</t>
    <phoneticPr fontId="2" type="noConversion"/>
  </si>
  <si>
    <t>战旗名称_繁中</t>
    <phoneticPr fontId="2" type="noConversion"/>
  </si>
  <si>
    <t>战旗名称_简中</t>
    <phoneticPr fontId="2" type="noConversion"/>
  </si>
  <si>
    <t>属性生成规则_简中</t>
    <phoneticPr fontId="2" type="noConversion"/>
  </si>
  <si>
    <t>属性生成规则_英文</t>
    <phoneticPr fontId="2" type="noConversion"/>
  </si>
  <si>
    <t>属性生成规则_繁中</t>
    <phoneticPr fontId="2" type="noConversion"/>
  </si>
  <si>
    <t>简介_简中</t>
    <phoneticPr fontId="2" type="noConversion"/>
  </si>
  <si>
    <t>简介_英文</t>
    <phoneticPr fontId="2" type="noConversion"/>
  </si>
  <si>
    <t>简介_繁中</t>
    <phoneticPr fontId="2" type="noConversion"/>
  </si>
  <si>
    <t>战旗页名称_简中</t>
    <phoneticPr fontId="2" type="noConversion"/>
  </si>
  <si>
    <t>战旗页名称_英文</t>
    <phoneticPr fontId="2" type="noConversion"/>
  </si>
  <si>
    <t>战旗页名称_繁中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</si>
</sst>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Font="1"/>
    <xf numFmtId="0" fontId="0" fillId="0" borderId="0" xfId="0" applyNumberFormat="1"/>
    <xf numFmtId="0" fontId="0" fillId="0" borderId="0" xfId="0" applyNumberFormat="1" applyFont="1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E15" sqref="E15"/>
    </sheetView>
  </sheetViews>
  <sheetFormatPr defaultColWidth="7.875" defaultRowHeight="16.5" x14ac:dyDescent="0.3"/>
  <cols>
    <col min="1" max="1" width="7.875" style="1"/>
    <col min="2" max="2" width="11.25" style="1" customWidth="1"/>
    <col min="3" max="3" width="7.875" style="1"/>
    <col min="4" max="4" width="19.375" style="1" customWidth="1"/>
    <col min="5" max="5" width="20.125" style="1" customWidth="1"/>
    <col min="6" max="6" width="21.375" style="1" customWidth="1"/>
    <col min="7" max="7" width="35.5" style="1" customWidth="1"/>
    <col min="8" max="16384" width="7.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>
        <v>2</v>
      </c>
      <c r="E2" s="1">
        <v>40</v>
      </c>
    </row>
    <row r="3" spans="1:7" x14ac:dyDescent="0.3">
      <c r="A3" s="1">
        <v>2</v>
      </c>
      <c r="B3" s="1" t="s">
        <v>7</v>
      </c>
      <c r="C3" s="1">
        <v>12</v>
      </c>
      <c r="D3" s="1" t="s">
        <v>8</v>
      </c>
      <c r="E3" s="1">
        <v>140</v>
      </c>
    </row>
    <row r="4" spans="1:7" x14ac:dyDescent="0.3">
      <c r="A4" s="1">
        <v>3</v>
      </c>
      <c r="B4" s="1" t="s">
        <v>7</v>
      </c>
      <c r="C4" s="1">
        <v>22</v>
      </c>
      <c r="D4" s="1" t="s">
        <v>8</v>
      </c>
      <c r="E4" s="1">
        <v>320</v>
      </c>
    </row>
    <row r="5" spans="1:7" x14ac:dyDescent="0.3">
      <c r="A5" s="1">
        <v>4</v>
      </c>
      <c r="B5" s="1" t="s">
        <v>9</v>
      </c>
      <c r="C5" s="1">
        <v>3</v>
      </c>
      <c r="D5" s="1" t="s">
        <v>8</v>
      </c>
      <c r="E5" s="1">
        <v>60</v>
      </c>
    </row>
    <row r="6" spans="1:7" x14ac:dyDescent="0.3">
      <c r="A6" s="1">
        <v>5</v>
      </c>
      <c r="B6" s="1" t="s">
        <v>9</v>
      </c>
      <c r="C6" s="1">
        <v>14</v>
      </c>
      <c r="D6" s="1" t="s">
        <v>8</v>
      </c>
      <c r="E6" s="1">
        <v>180</v>
      </c>
    </row>
    <row r="7" spans="1:7" x14ac:dyDescent="0.3">
      <c r="A7" s="1">
        <v>6</v>
      </c>
      <c r="B7" s="1" t="s">
        <v>9</v>
      </c>
      <c r="C7" s="1">
        <v>24</v>
      </c>
      <c r="D7" s="1" t="s">
        <v>8</v>
      </c>
      <c r="E7" s="1">
        <v>400</v>
      </c>
    </row>
    <row r="8" spans="1:7" x14ac:dyDescent="0.3">
      <c r="A8" s="1">
        <v>7</v>
      </c>
      <c r="B8" s="1" t="s">
        <v>10</v>
      </c>
      <c r="C8" s="1">
        <v>5</v>
      </c>
      <c r="D8" s="1" t="s">
        <v>8</v>
      </c>
      <c r="E8" s="1">
        <v>80</v>
      </c>
    </row>
    <row r="9" spans="1:7" x14ac:dyDescent="0.3">
      <c r="A9" s="1">
        <v>8</v>
      </c>
      <c r="B9" s="1" t="s">
        <v>10</v>
      </c>
      <c r="C9" s="1">
        <v>16</v>
      </c>
      <c r="D9" s="1" t="s">
        <v>8</v>
      </c>
      <c r="E9" s="1">
        <v>220</v>
      </c>
    </row>
    <row r="10" spans="1:7" x14ac:dyDescent="0.3">
      <c r="A10" s="1">
        <v>9</v>
      </c>
      <c r="B10" s="1" t="s">
        <v>10</v>
      </c>
      <c r="C10" s="1">
        <v>26</v>
      </c>
      <c r="D10" s="1" t="s">
        <v>8</v>
      </c>
      <c r="E10" s="1">
        <v>480</v>
      </c>
    </row>
    <row r="11" spans="1:7" x14ac:dyDescent="0.3">
      <c r="A11" s="1">
        <v>10</v>
      </c>
      <c r="B11" s="1" t="s">
        <v>11</v>
      </c>
      <c r="C11" s="1">
        <v>8</v>
      </c>
      <c r="D11" s="1" t="s">
        <v>8</v>
      </c>
      <c r="E11" s="1">
        <v>100</v>
      </c>
    </row>
    <row r="12" spans="1:7" x14ac:dyDescent="0.3">
      <c r="A12" s="1">
        <v>11</v>
      </c>
      <c r="B12" s="1" t="s">
        <v>11</v>
      </c>
      <c r="C12" s="1">
        <v>18</v>
      </c>
      <c r="D12" s="1" t="s">
        <v>8</v>
      </c>
      <c r="E12" s="1">
        <v>260</v>
      </c>
    </row>
    <row r="13" spans="1:7" x14ac:dyDescent="0.3">
      <c r="A13" s="1">
        <v>12</v>
      </c>
      <c r="B13" s="1" t="s">
        <v>11</v>
      </c>
      <c r="C13" s="1">
        <v>28</v>
      </c>
      <c r="D13" s="1" t="s">
        <v>8</v>
      </c>
      <c r="E13" s="1">
        <v>560</v>
      </c>
    </row>
    <row r="14" spans="1:7" x14ac:dyDescent="0.3">
      <c r="A14" s="1">
        <v>13</v>
      </c>
      <c r="B14" s="1" t="s">
        <v>12</v>
      </c>
      <c r="C14" s="1">
        <v>10</v>
      </c>
      <c r="D14" s="1" t="s">
        <v>8</v>
      </c>
      <c r="E14" s="1">
        <v>100</v>
      </c>
    </row>
    <row r="15" spans="1:7" x14ac:dyDescent="0.3">
      <c r="A15" s="1">
        <v>14</v>
      </c>
      <c r="B15" s="1" t="s">
        <v>12</v>
      </c>
      <c r="C15" s="1">
        <v>20</v>
      </c>
      <c r="D15" s="1" t="s">
        <v>8</v>
      </c>
      <c r="E15" s="1">
        <v>300</v>
      </c>
    </row>
    <row r="16" spans="1:7" x14ac:dyDescent="0.3">
      <c r="A16" s="1">
        <v>15</v>
      </c>
      <c r="B16" s="1" t="s">
        <v>12</v>
      </c>
      <c r="C16" s="1">
        <v>30</v>
      </c>
      <c r="D16" s="1" t="s">
        <v>8</v>
      </c>
      <c r="E16" s="1">
        <v>600</v>
      </c>
    </row>
  </sheetData>
  <phoneticPr fontId="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89"/>
  <sheetViews>
    <sheetView workbookViewId="0">
      <pane xSplit="2" ySplit="1" topLeftCell="D2" activePane="bottomRight" state="frozen"/>
      <selection pane="topRight"/>
      <selection pane="bottomLeft"/>
      <selection pane="bottomRight" activeCell="D1" sqref="D1:F1"/>
    </sheetView>
  </sheetViews>
  <sheetFormatPr defaultColWidth="9" defaultRowHeight="13.5" x14ac:dyDescent="0.15"/>
  <cols>
    <col min="1" max="2" width="9" style="4"/>
    <col min="3" max="3" width="18.75" style="4" customWidth="1"/>
    <col min="4" max="4" width="62.625" style="4" customWidth="1"/>
    <col min="5" max="5" width="15.625" style="4" customWidth="1"/>
    <col min="6" max="6" width="16.625" style="4" customWidth="1"/>
    <col min="7" max="7" width="9" style="4"/>
    <col min="8" max="8" width="11" style="4" customWidth="1"/>
    <col min="11" max="11" width="13.25" style="4" customWidth="1"/>
    <col min="12" max="12" width="13.25" bestFit="1" customWidth="1"/>
    <col min="13" max="14" width="9" style="4"/>
    <col min="15" max="15" width="13.25" style="4" customWidth="1"/>
    <col min="16" max="17" width="15.5" style="4" customWidth="1"/>
    <col min="18" max="18" width="13.5" style="4" customWidth="1"/>
    <col min="19" max="20" width="16.625" style="4" customWidth="1"/>
    <col min="21" max="21" width="10.5" style="4" customWidth="1"/>
    <col min="22" max="22" width="15.5" style="4" customWidth="1"/>
    <col min="23" max="23" width="12.125" style="4" customWidth="1"/>
    <col min="24" max="24" width="16.625" style="4" bestFit="1" customWidth="1"/>
    <col min="25" max="25" width="9" style="4"/>
    <col min="26" max="26" width="14" style="4" customWidth="1"/>
    <col min="27" max="27" width="15.5" style="4" customWidth="1"/>
    <col min="28" max="28" width="14" style="4" customWidth="1"/>
    <col min="29" max="30" width="16.125" style="4" customWidth="1"/>
    <col min="31" max="31" width="14" style="4" customWidth="1"/>
    <col min="32" max="32" width="15.5" style="4" customWidth="1"/>
    <col min="33" max="33" width="14" style="4" customWidth="1"/>
    <col min="34" max="34" width="16.125" style="4" customWidth="1"/>
    <col min="35" max="35" width="19.875" style="4" customWidth="1"/>
    <col min="36" max="36" width="14.5" style="4" customWidth="1"/>
    <col min="37" max="37" width="15.5" style="4" customWidth="1"/>
    <col min="38" max="38" width="14.5" style="4" customWidth="1"/>
    <col min="39" max="40" width="16.625" style="4" customWidth="1"/>
    <col min="41" max="41" width="14.5" style="4" customWidth="1"/>
    <col min="42" max="42" width="15.5" style="4" customWidth="1"/>
    <col min="43" max="43" width="14.5" style="4" customWidth="1"/>
    <col min="44" max="44" width="16.625" style="4" customWidth="1"/>
    <col min="45" max="45" width="19.25" style="4" customWidth="1"/>
    <col min="46" max="46" width="17.375" style="4" customWidth="1"/>
    <col min="47" max="47" width="15.5" style="4" customWidth="1"/>
    <col min="48" max="48" width="16.75" style="4" customWidth="1"/>
    <col min="49" max="50" width="17.875" style="4" customWidth="1"/>
    <col min="51" max="16384" width="9" style="4"/>
  </cols>
  <sheetData>
    <row r="1" spans="1:50" ht="16.5" x14ac:dyDescent="0.3">
      <c r="A1" s="2" t="s">
        <v>13</v>
      </c>
      <c r="B1" s="2" t="s">
        <v>14</v>
      </c>
      <c r="C1" s="2" t="s">
        <v>15</v>
      </c>
      <c r="D1" s="2" t="s">
        <v>439</v>
      </c>
      <c r="E1" s="2" t="s">
        <v>440</v>
      </c>
      <c r="F1" s="2" t="s">
        <v>441</v>
      </c>
      <c r="G1" s="2" t="s">
        <v>16</v>
      </c>
      <c r="H1" s="2" t="s">
        <v>1</v>
      </c>
      <c r="I1" s="2" t="s">
        <v>17</v>
      </c>
      <c r="J1" s="2" t="s">
        <v>18</v>
      </c>
      <c r="K1" s="2" t="s">
        <v>19</v>
      </c>
      <c r="L1" s="2" t="s">
        <v>215</v>
      </c>
      <c r="M1" s="2" t="s">
        <v>216</v>
      </c>
      <c r="N1" s="2" t="s">
        <v>20</v>
      </c>
      <c r="O1" s="2" t="s">
        <v>21</v>
      </c>
      <c r="P1" s="2" t="s">
        <v>244</v>
      </c>
      <c r="Q1" s="2" t="s">
        <v>217</v>
      </c>
      <c r="R1" s="2" t="s">
        <v>22</v>
      </c>
      <c r="S1" s="2" t="s">
        <v>23</v>
      </c>
      <c r="T1" s="2" t="s">
        <v>24</v>
      </c>
      <c r="U1" s="2" t="s">
        <v>245</v>
      </c>
      <c r="V1" s="2" t="s">
        <v>220</v>
      </c>
      <c r="W1" s="2" t="s">
        <v>25</v>
      </c>
      <c r="X1" s="2" t="s">
        <v>26</v>
      </c>
      <c r="Y1" s="2" t="s">
        <v>27</v>
      </c>
      <c r="Z1" s="2" t="s">
        <v>246</v>
      </c>
      <c r="AA1" s="2" t="s">
        <v>221</v>
      </c>
      <c r="AB1" s="2" t="s">
        <v>28</v>
      </c>
      <c r="AC1" s="2" t="s">
        <v>29</v>
      </c>
      <c r="AD1" s="2" t="s">
        <v>30</v>
      </c>
      <c r="AE1" s="2" t="s">
        <v>247</v>
      </c>
      <c r="AF1" s="2" t="s">
        <v>222</v>
      </c>
      <c r="AG1" s="2" t="s">
        <v>31</v>
      </c>
      <c r="AH1" s="2" t="s">
        <v>32</v>
      </c>
      <c r="AI1" s="2" t="s">
        <v>33</v>
      </c>
      <c r="AJ1" s="2" t="s">
        <v>248</v>
      </c>
      <c r="AK1" s="2" t="s">
        <v>223</v>
      </c>
      <c r="AL1" s="2" t="s">
        <v>34</v>
      </c>
      <c r="AM1" s="2" t="s">
        <v>35</v>
      </c>
      <c r="AN1" s="2" t="s">
        <v>36</v>
      </c>
      <c r="AO1" s="2" t="s">
        <v>249</v>
      </c>
      <c r="AP1" s="2" t="s">
        <v>224</v>
      </c>
      <c r="AQ1" s="2" t="s">
        <v>37</v>
      </c>
      <c r="AR1" s="2" t="s">
        <v>38</v>
      </c>
      <c r="AS1" s="2" t="s">
        <v>39</v>
      </c>
      <c r="AT1" s="2" t="s">
        <v>250</v>
      </c>
      <c r="AU1" s="2" t="s">
        <v>225</v>
      </c>
      <c r="AV1" s="2" t="s">
        <v>40</v>
      </c>
      <c r="AW1" s="2" t="s">
        <v>41</v>
      </c>
      <c r="AX1" s="2" t="s">
        <v>42</v>
      </c>
    </row>
    <row r="2" spans="1:50" ht="16.5" x14ac:dyDescent="0.3">
      <c r="A2" s="2">
        <v>10001</v>
      </c>
      <c r="B2" s="2" t="s">
        <v>264</v>
      </c>
      <c r="C2" s="3" t="s">
        <v>43</v>
      </c>
      <c r="D2" s="2" t="s">
        <v>427</v>
      </c>
      <c r="E2" s="2"/>
      <c r="F2" s="2"/>
      <c r="G2" s="2">
        <v>1</v>
      </c>
      <c r="H2" s="2" t="s">
        <v>7</v>
      </c>
      <c r="I2" s="2">
        <v>10</v>
      </c>
      <c r="J2" s="2">
        <v>10</v>
      </c>
      <c r="K2" s="2" t="s">
        <v>44</v>
      </c>
      <c r="L2" s="2" t="s">
        <v>228</v>
      </c>
      <c r="M2" s="2" t="s">
        <v>226</v>
      </c>
      <c r="N2" s="2">
        <v>90</v>
      </c>
      <c r="O2" s="2">
        <v>1</v>
      </c>
      <c r="P2" s="2" t="s">
        <v>233</v>
      </c>
      <c r="Q2" s="2" t="s">
        <v>226</v>
      </c>
      <c r="R2" s="2">
        <v>30</v>
      </c>
      <c r="S2" s="2">
        <v>800</v>
      </c>
      <c r="T2" s="2">
        <v>1600</v>
      </c>
      <c r="U2" s="2" t="s">
        <v>234</v>
      </c>
      <c r="V2" s="2" t="s">
        <v>226</v>
      </c>
      <c r="W2" s="2">
        <v>30</v>
      </c>
      <c r="X2" s="2">
        <v>100</v>
      </c>
      <c r="Y2" s="2">
        <v>220.00000000000003</v>
      </c>
      <c r="Z2" s="2" t="s">
        <v>228</v>
      </c>
      <c r="AA2" s="2" t="s">
        <v>226</v>
      </c>
      <c r="AB2" s="2">
        <v>20</v>
      </c>
      <c r="AC2" s="2">
        <v>50</v>
      </c>
      <c r="AD2" s="2">
        <v>110.00000000000001</v>
      </c>
      <c r="AE2" s="2" t="s">
        <v>229</v>
      </c>
      <c r="AF2" s="2" t="s">
        <v>226</v>
      </c>
      <c r="AG2" s="2">
        <v>20</v>
      </c>
      <c r="AH2" s="2">
        <v>80</v>
      </c>
      <c r="AI2" s="2">
        <v>140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ht="16.5" x14ac:dyDescent="0.3">
      <c r="A3" s="2">
        <v>10002</v>
      </c>
      <c r="B3" s="2" t="s">
        <v>265</v>
      </c>
      <c r="C3" s="3" t="s">
        <v>45</v>
      </c>
      <c r="D3" s="2" t="s">
        <v>427</v>
      </c>
      <c r="E3" s="2"/>
      <c r="F3" s="2"/>
      <c r="G3" s="2">
        <v>2</v>
      </c>
      <c r="H3" s="2" t="s">
        <v>7</v>
      </c>
      <c r="I3" s="2">
        <v>20</v>
      </c>
      <c r="J3" s="2">
        <v>25</v>
      </c>
      <c r="K3" s="2" t="s">
        <v>44</v>
      </c>
      <c r="L3" s="2" t="s">
        <v>228</v>
      </c>
      <c r="M3" s="2" t="s">
        <v>226</v>
      </c>
      <c r="N3" s="2">
        <v>180</v>
      </c>
      <c r="O3" s="2">
        <v>1</v>
      </c>
      <c r="P3" s="2" t="s">
        <v>233</v>
      </c>
      <c r="Q3" s="2" t="s">
        <v>226</v>
      </c>
      <c r="R3" s="2">
        <v>30</v>
      </c>
      <c r="S3" s="2">
        <v>1400</v>
      </c>
      <c r="T3" s="2">
        <v>2600</v>
      </c>
      <c r="U3" s="2" t="s">
        <v>234</v>
      </c>
      <c r="V3" s="2" t="s">
        <v>226</v>
      </c>
      <c r="W3" s="2">
        <v>30</v>
      </c>
      <c r="X3" s="2">
        <v>200</v>
      </c>
      <c r="Y3" s="2">
        <v>320</v>
      </c>
      <c r="Z3" s="2" t="s">
        <v>228</v>
      </c>
      <c r="AA3" s="2" t="s">
        <v>226</v>
      </c>
      <c r="AB3" s="2">
        <v>20</v>
      </c>
      <c r="AC3" s="2">
        <v>90</v>
      </c>
      <c r="AD3" s="2">
        <v>140</v>
      </c>
      <c r="AE3" s="2" t="s">
        <v>229</v>
      </c>
      <c r="AF3" s="2" t="s">
        <v>226</v>
      </c>
      <c r="AG3" s="2">
        <v>20</v>
      </c>
      <c r="AH3" s="2">
        <v>130</v>
      </c>
      <c r="AI3" s="2">
        <v>170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t="16.5" x14ac:dyDescent="0.3">
      <c r="A4" s="2">
        <v>10003</v>
      </c>
      <c r="B4" s="2" t="s">
        <v>266</v>
      </c>
      <c r="C4" s="3" t="s">
        <v>46</v>
      </c>
      <c r="D4" s="2" t="s">
        <v>427</v>
      </c>
      <c r="E4" s="2"/>
      <c r="F4" s="2"/>
      <c r="G4" s="2">
        <v>3</v>
      </c>
      <c r="H4" s="2" t="s">
        <v>7</v>
      </c>
      <c r="I4" s="2">
        <v>80</v>
      </c>
      <c r="J4" s="2">
        <v>100</v>
      </c>
      <c r="K4" s="2" t="s">
        <v>44</v>
      </c>
      <c r="L4" s="2" t="s">
        <v>228</v>
      </c>
      <c r="M4" s="2" t="s">
        <v>226</v>
      </c>
      <c r="N4" s="2">
        <v>270</v>
      </c>
      <c r="O4" s="2">
        <v>1</v>
      </c>
      <c r="P4" s="2" t="s">
        <v>233</v>
      </c>
      <c r="Q4" s="2" t="s">
        <v>226</v>
      </c>
      <c r="R4" s="2">
        <v>30</v>
      </c>
      <c r="S4" s="2">
        <v>2400</v>
      </c>
      <c r="T4" s="2">
        <v>3600</v>
      </c>
      <c r="U4" s="2" t="s">
        <v>234</v>
      </c>
      <c r="V4" s="2" t="s">
        <v>226</v>
      </c>
      <c r="W4" s="2">
        <v>30</v>
      </c>
      <c r="X4" s="2">
        <v>300</v>
      </c>
      <c r="Y4" s="2">
        <v>420</v>
      </c>
      <c r="Z4" s="2" t="s">
        <v>228</v>
      </c>
      <c r="AA4" s="2" t="s">
        <v>226</v>
      </c>
      <c r="AB4" s="2">
        <v>20</v>
      </c>
      <c r="AC4" s="2">
        <v>120</v>
      </c>
      <c r="AD4" s="2">
        <v>170</v>
      </c>
      <c r="AE4" s="2" t="s">
        <v>229</v>
      </c>
      <c r="AF4" s="2" t="s">
        <v>226</v>
      </c>
      <c r="AG4" s="2">
        <v>20</v>
      </c>
      <c r="AH4" s="2">
        <v>160</v>
      </c>
      <c r="AI4" s="2">
        <v>200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6.5" x14ac:dyDescent="0.3">
      <c r="A5" s="2">
        <v>10004</v>
      </c>
      <c r="B5" s="2" t="s">
        <v>267</v>
      </c>
      <c r="C5" s="3" t="s">
        <v>47</v>
      </c>
      <c r="D5" s="2" t="s">
        <v>427</v>
      </c>
      <c r="E5" s="2"/>
      <c r="F5" s="2"/>
      <c r="G5" s="2">
        <v>4</v>
      </c>
      <c r="H5" s="2" t="s">
        <v>7</v>
      </c>
      <c r="I5" s="2">
        <v>320</v>
      </c>
      <c r="J5" s="2">
        <v>400</v>
      </c>
      <c r="K5" s="2" t="s">
        <v>44</v>
      </c>
      <c r="L5" s="2" t="s">
        <v>228</v>
      </c>
      <c r="M5" s="2" t="s">
        <v>226</v>
      </c>
      <c r="N5" s="2">
        <v>360</v>
      </c>
      <c r="O5" s="2">
        <v>1</v>
      </c>
      <c r="P5" s="2" t="s">
        <v>233</v>
      </c>
      <c r="Q5" s="2" t="s">
        <v>226</v>
      </c>
      <c r="R5" s="2">
        <v>30</v>
      </c>
      <c r="S5" s="2">
        <v>3400</v>
      </c>
      <c r="T5" s="2">
        <v>4400</v>
      </c>
      <c r="U5" s="2" t="s">
        <v>234</v>
      </c>
      <c r="V5" s="2" t="s">
        <v>226</v>
      </c>
      <c r="W5" s="2">
        <v>30</v>
      </c>
      <c r="X5" s="2">
        <v>400</v>
      </c>
      <c r="Y5" s="2">
        <v>520</v>
      </c>
      <c r="Z5" s="2" t="s">
        <v>228</v>
      </c>
      <c r="AA5" s="2" t="s">
        <v>226</v>
      </c>
      <c r="AB5" s="2">
        <v>20</v>
      </c>
      <c r="AC5" s="2">
        <v>150</v>
      </c>
      <c r="AD5" s="2">
        <v>200</v>
      </c>
      <c r="AE5" s="2" t="s">
        <v>229</v>
      </c>
      <c r="AF5" s="2" t="s">
        <v>226</v>
      </c>
      <c r="AG5" s="2">
        <v>20</v>
      </c>
      <c r="AH5" s="2">
        <v>190</v>
      </c>
      <c r="AI5" s="2">
        <v>229.99999999999997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t="16.5" x14ac:dyDescent="0.3">
      <c r="A6" s="2">
        <v>10005</v>
      </c>
      <c r="B6" s="2" t="s">
        <v>268</v>
      </c>
      <c r="C6" s="3" t="s">
        <v>48</v>
      </c>
      <c r="D6" s="2" t="s">
        <v>427</v>
      </c>
      <c r="E6" s="2"/>
      <c r="F6" s="2"/>
      <c r="G6" s="2">
        <v>5</v>
      </c>
      <c r="H6" s="2" t="s">
        <v>7</v>
      </c>
      <c r="I6" s="2">
        <v>800</v>
      </c>
      <c r="J6" s="2">
        <v>1600</v>
      </c>
      <c r="K6" s="2" t="s">
        <v>44</v>
      </c>
      <c r="L6" s="2" t="s">
        <v>228</v>
      </c>
      <c r="M6" s="2" t="s">
        <v>226</v>
      </c>
      <c r="N6" s="2">
        <v>450</v>
      </c>
      <c r="O6" s="2">
        <v>1</v>
      </c>
      <c r="P6" s="2" t="s">
        <v>233</v>
      </c>
      <c r="Q6" s="2" t="s">
        <v>226</v>
      </c>
      <c r="R6" s="2">
        <v>30</v>
      </c>
      <c r="S6" s="2">
        <v>4200</v>
      </c>
      <c r="T6" s="2">
        <v>5200</v>
      </c>
      <c r="U6" s="2" t="s">
        <v>234</v>
      </c>
      <c r="V6" s="2" t="s">
        <v>226</v>
      </c>
      <c r="W6" s="2">
        <v>30</v>
      </c>
      <c r="X6" s="2">
        <v>500</v>
      </c>
      <c r="Y6" s="2">
        <v>600</v>
      </c>
      <c r="Z6" s="2" t="s">
        <v>228</v>
      </c>
      <c r="AA6" s="2" t="s">
        <v>226</v>
      </c>
      <c r="AB6" s="2">
        <v>20</v>
      </c>
      <c r="AC6" s="2">
        <v>190</v>
      </c>
      <c r="AD6" s="2">
        <v>240</v>
      </c>
      <c r="AE6" s="2" t="s">
        <v>229</v>
      </c>
      <c r="AF6" s="2" t="s">
        <v>226</v>
      </c>
      <c r="AG6" s="2">
        <v>20</v>
      </c>
      <c r="AH6" s="2">
        <v>220.00000000000003</v>
      </c>
      <c r="AI6" s="2">
        <v>290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t="16.5" x14ac:dyDescent="0.3">
      <c r="A7" s="2">
        <v>10011</v>
      </c>
      <c r="B7" s="2" t="s">
        <v>269</v>
      </c>
      <c r="C7" s="3" t="s">
        <v>49</v>
      </c>
      <c r="D7" s="2" t="s">
        <v>428</v>
      </c>
      <c r="E7" s="2"/>
      <c r="F7" s="2"/>
      <c r="G7" s="2">
        <v>1</v>
      </c>
      <c r="H7" s="2" t="s">
        <v>7</v>
      </c>
      <c r="I7" s="2">
        <v>10</v>
      </c>
      <c r="J7" s="2">
        <v>10</v>
      </c>
      <c r="K7" s="2" t="s">
        <v>44</v>
      </c>
      <c r="L7" s="2" t="s">
        <v>229</v>
      </c>
      <c r="M7" s="2" t="s">
        <v>226</v>
      </c>
      <c r="N7" s="2">
        <v>110.00000000000001</v>
      </c>
      <c r="O7" s="2">
        <v>1</v>
      </c>
      <c r="P7" s="2" t="s">
        <v>233</v>
      </c>
      <c r="Q7" s="2" t="s">
        <v>226</v>
      </c>
      <c r="R7" s="2">
        <v>30</v>
      </c>
      <c r="S7" s="2">
        <v>800</v>
      </c>
      <c r="T7" s="2">
        <v>1600</v>
      </c>
      <c r="U7" s="2" t="s">
        <v>234</v>
      </c>
      <c r="V7" s="2" t="s">
        <v>226</v>
      </c>
      <c r="W7" s="2">
        <v>30</v>
      </c>
      <c r="X7" s="2">
        <v>100</v>
      </c>
      <c r="Y7" s="2">
        <v>220.00000000000003</v>
      </c>
      <c r="Z7" s="2" t="s">
        <v>228</v>
      </c>
      <c r="AA7" s="2" t="s">
        <v>226</v>
      </c>
      <c r="AB7" s="2">
        <v>20</v>
      </c>
      <c r="AC7" s="2">
        <v>50</v>
      </c>
      <c r="AD7" s="2">
        <v>110.00000000000001</v>
      </c>
      <c r="AE7" s="2" t="s">
        <v>229</v>
      </c>
      <c r="AF7" s="2" t="s">
        <v>226</v>
      </c>
      <c r="AG7" s="2">
        <v>20</v>
      </c>
      <c r="AH7" s="2">
        <v>80</v>
      </c>
      <c r="AI7" s="2">
        <v>140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ht="16.5" x14ac:dyDescent="0.3">
      <c r="A8" s="2">
        <v>10012</v>
      </c>
      <c r="B8" s="2" t="s">
        <v>270</v>
      </c>
      <c r="C8" s="3" t="s">
        <v>50</v>
      </c>
      <c r="D8" s="2" t="s">
        <v>427</v>
      </c>
      <c r="E8" s="2"/>
      <c r="F8" s="2"/>
      <c r="G8" s="2">
        <v>2</v>
      </c>
      <c r="H8" s="2" t="s">
        <v>7</v>
      </c>
      <c r="I8" s="2">
        <v>20</v>
      </c>
      <c r="J8" s="2">
        <v>25</v>
      </c>
      <c r="K8" s="2" t="s">
        <v>44</v>
      </c>
      <c r="L8" s="2" t="s">
        <v>229</v>
      </c>
      <c r="M8" s="2" t="s">
        <v>226</v>
      </c>
      <c r="N8" s="2">
        <v>220.00000000000003</v>
      </c>
      <c r="O8" s="2">
        <v>1</v>
      </c>
      <c r="P8" s="2" t="s">
        <v>233</v>
      </c>
      <c r="Q8" s="2" t="s">
        <v>226</v>
      </c>
      <c r="R8" s="2">
        <v>30</v>
      </c>
      <c r="S8" s="2">
        <v>1400</v>
      </c>
      <c r="T8" s="2">
        <v>2600</v>
      </c>
      <c r="U8" s="2" t="s">
        <v>234</v>
      </c>
      <c r="V8" s="2" t="s">
        <v>226</v>
      </c>
      <c r="W8" s="2">
        <v>30</v>
      </c>
      <c r="X8" s="2">
        <v>200</v>
      </c>
      <c r="Y8" s="2">
        <v>320</v>
      </c>
      <c r="Z8" s="2" t="s">
        <v>228</v>
      </c>
      <c r="AA8" s="2" t="s">
        <v>226</v>
      </c>
      <c r="AB8" s="2">
        <v>20</v>
      </c>
      <c r="AC8" s="2">
        <v>90</v>
      </c>
      <c r="AD8" s="2">
        <v>140</v>
      </c>
      <c r="AE8" s="2" t="s">
        <v>229</v>
      </c>
      <c r="AF8" s="2" t="s">
        <v>226</v>
      </c>
      <c r="AG8" s="2">
        <v>20</v>
      </c>
      <c r="AH8" s="2">
        <v>130</v>
      </c>
      <c r="AI8" s="2">
        <v>170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ht="16.5" x14ac:dyDescent="0.3">
      <c r="A9" s="2">
        <v>10013</v>
      </c>
      <c r="B9" s="2" t="s">
        <v>271</v>
      </c>
      <c r="C9" s="3" t="s">
        <v>51</v>
      </c>
      <c r="D9" s="2" t="s">
        <v>427</v>
      </c>
      <c r="E9" s="2"/>
      <c r="F9" s="2"/>
      <c r="G9" s="2">
        <v>3</v>
      </c>
      <c r="H9" s="2" t="s">
        <v>7</v>
      </c>
      <c r="I9" s="2">
        <v>80</v>
      </c>
      <c r="J9" s="2">
        <v>100</v>
      </c>
      <c r="K9" s="2" t="s">
        <v>44</v>
      </c>
      <c r="L9" s="2" t="s">
        <v>229</v>
      </c>
      <c r="M9" s="2" t="s">
        <v>226</v>
      </c>
      <c r="N9" s="2">
        <v>320</v>
      </c>
      <c r="O9" s="2">
        <v>1</v>
      </c>
      <c r="P9" s="2" t="s">
        <v>233</v>
      </c>
      <c r="Q9" s="2" t="s">
        <v>226</v>
      </c>
      <c r="R9" s="2">
        <v>30</v>
      </c>
      <c r="S9" s="2">
        <v>2400</v>
      </c>
      <c r="T9" s="2">
        <v>3600</v>
      </c>
      <c r="U9" s="2" t="s">
        <v>234</v>
      </c>
      <c r="V9" s="2" t="s">
        <v>226</v>
      </c>
      <c r="W9" s="2">
        <v>30</v>
      </c>
      <c r="X9" s="2">
        <v>300</v>
      </c>
      <c r="Y9" s="2">
        <v>420</v>
      </c>
      <c r="Z9" s="2" t="s">
        <v>228</v>
      </c>
      <c r="AA9" s="2" t="s">
        <v>226</v>
      </c>
      <c r="AB9" s="2">
        <v>20</v>
      </c>
      <c r="AC9" s="2">
        <v>120</v>
      </c>
      <c r="AD9" s="2">
        <v>170</v>
      </c>
      <c r="AE9" s="2" t="s">
        <v>229</v>
      </c>
      <c r="AF9" s="2" t="s">
        <v>226</v>
      </c>
      <c r="AG9" s="2">
        <v>20</v>
      </c>
      <c r="AH9" s="2">
        <v>160</v>
      </c>
      <c r="AI9" s="2">
        <v>200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ht="16.5" x14ac:dyDescent="0.3">
      <c r="A10" s="2">
        <v>10014</v>
      </c>
      <c r="B10" s="2" t="s">
        <v>272</v>
      </c>
      <c r="C10" s="3" t="s">
        <v>52</v>
      </c>
      <c r="D10" s="2" t="s">
        <v>427</v>
      </c>
      <c r="E10" s="2"/>
      <c r="F10" s="2"/>
      <c r="G10" s="2">
        <v>4</v>
      </c>
      <c r="H10" s="2" t="s">
        <v>7</v>
      </c>
      <c r="I10" s="2">
        <v>320</v>
      </c>
      <c r="J10" s="2">
        <v>400</v>
      </c>
      <c r="K10" s="2" t="s">
        <v>44</v>
      </c>
      <c r="L10" s="2" t="s">
        <v>229</v>
      </c>
      <c r="M10" s="2" t="s">
        <v>226</v>
      </c>
      <c r="N10" s="2">
        <v>430</v>
      </c>
      <c r="O10" s="2">
        <v>1</v>
      </c>
      <c r="P10" s="2" t="s">
        <v>233</v>
      </c>
      <c r="Q10" s="2" t="s">
        <v>226</v>
      </c>
      <c r="R10" s="2">
        <v>30</v>
      </c>
      <c r="S10" s="2">
        <v>3400</v>
      </c>
      <c r="T10" s="2">
        <v>4400</v>
      </c>
      <c r="U10" s="2" t="s">
        <v>234</v>
      </c>
      <c r="V10" s="2" t="s">
        <v>226</v>
      </c>
      <c r="W10" s="2">
        <v>30</v>
      </c>
      <c r="X10" s="2">
        <v>400</v>
      </c>
      <c r="Y10" s="2">
        <v>520</v>
      </c>
      <c r="Z10" s="2" t="s">
        <v>228</v>
      </c>
      <c r="AA10" s="2" t="s">
        <v>226</v>
      </c>
      <c r="AB10" s="2">
        <v>20</v>
      </c>
      <c r="AC10" s="2">
        <v>150</v>
      </c>
      <c r="AD10" s="2">
        <v>200</v>
      </c>
      <c r="AE10" s="2" t="s">
        <v>229</v>
      </c>
      <c r="AF10" s="2" t="s">
        <v>226</v>
      </c>
      <c r="AG10" s="2">
        <v>20</v>
      </c>
      <c r="AH10" s="2">
        <v>190</v>
      </c>
      <c r="AI10" s="2">
        <v>229.99999999999997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ht="16.5" x14ac:dyDescent="0.3">
      <c r="A11" s="2">
        <v>10015</v>
      </c>
      <c r="B11" s="2" t="s">
        <v>273</v>
      </c>
      <c r="C11" s="3" t="s">
        <v>53</v>
      </c>
      <c r="D11" s="2" t="s">
        <v>427</v>
      </c>
      <c r="E11" s="2"/>
      <c r="F11" s="2"/>
      <c r="G11" s="2">
        <v>5</v>
      </c>
      <c r="H11" s="2" t="s">
        <v>7</v>
      </c>
      <c r="I11" s="2">
        <v>800</v>
      </c>
      <c r="J11" s="2">
        <v>1600</v>
      </c>
      <c r="K11" s="2" t="s">
        <v>44</v>
      </c>
      <c r="L11" s="2" t="s">
        <v>229</v>
      </c>
      <c r="M11" s="2" t="s">
        <v>226</v>
      </c>
      <c r="N11" s="2">
        <v>530</v>
      </c>
      <c r="O11" s="2">
        <v>1</v>
      </c>
      <c r="P11" s="2" t="s">
        <v>233</v>
      </c>
      <c r="Q11" s="2" t="s">
        <v>226</v>
      </c>
      <c r="R11" s="2">
        <v>30</v>
      </c>
      <c r="S11" s="2">
        <v>4200</v>
      </c>
      <c r="T11" s="2">
        <v>5200</v>
      </c>
      <c r="U11" s="2" t="s">
        <v>234</v>
      </c>
      <c r="V11" s="2" t="s">
        <v>226</v>
      </c>
      <c r="W11" s="2">
        <v>30</v>
      </c>
      <c r="X11" s="2">
        <v>500</v>
      </c>
      <c r="Y11" s="2">
        <v>600</v>
      </c>
      <c r="Z11" s="2" t="s">
        <v>228</v>
      </c>
      <c r="AA11" s="2" t="s">
        <v>226</v>
      </c>
      <c r="AB11" s="2">
        <v>20</v>
      </c>
      <c r="AC11" s="2">
        <v>190</v>
      </c>
      <c r="AD11" s="2">
        <v>240</v>
      </c>
      <c r="AE11" s="2" t="s">
        <v>229</v>
      </c>
      <c r="AF11" s="2" t="s">
        <v>226</v>
      </c>
      <c r="AG11" s="2">
        <v>20</v>
      </c>
      <c r="AH11" s="2">
        <v>220.00000000000003</v>
      </c>
      <c r="AI11" s="2">
        <v>290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16.5" x14ac:dyDescent="0.3">
      <c r="A12" s="2">
        <v>10021</v>
      </c>
      <c r="B12" s="2" t="s">
        <v>274</v>
      </c>
      <c r="C12" s="3" t="s">
        <v>54</v>
      </c>
      <c r="D12" s="2" t="s">
        <v>427</v>
      </c>
      <c r="E12" s="2"/>
      <c r="F12" s="2"/>
      <c r="G12" s="2">
        <v>1</v>
      </c>
      <c r="H12" s="2" t="s">
        <v>7</v>
      </c>
      <c r="I12" s="2">
        <v>10</v>
      </c>
      <c r="J12" s="2">
        <v>10</v>
      </c>
      <c r="K12" s="2" t="s">
        <v>44</v>
      </c>
      <c r="L12" s="2" t="s">
        <v>230</v>
      </c>
      <c r="M12" s="2" t="s">
        <v>226</v>
      </c>
      <c r="N12" s="2">
        <v>3000</v>
      </c>
      <c r="O12" s="2">
        <v>1</v>
      </c>
      <c r="P12" s="2" t="s">
        <v>233</v>
      </c>
      <c r="Q12" s="2" t="s">
        <v>226</v>
      </c>
      <c r="R12" s="2">
        <v>30</v>
      </c>
      <c r="S12" s="2">
        <v>800</v>
      </c>
      <c r="T12" s="2">
        <v>1600</v>
      </c>
      <c r="U12" s="2" t="s">
        <v>234</v>
      </c>
      <c r="V12" s="2" t="s">
        <v>226</v>
      </c>
      <c r="W12" s="2">
        <v>30</v>
      </c>
      <c r="X12" s="2">
        <v>100</v>
      </c>
      <c r="Y12" s="2">
        <v>220.00000000000003</v>
      </c>
      <c r="Z12" s="2" t="s">
        <v>228</v>
      </c>
      <c r="AA12" s="2" t="s">
        <v>226</v>
      </c>
      <c r="AB12" s="2">
        <v>20</v>
      </c>
      <c r="AC12" s="2">
        <v>50</v>
      </c>
      <c r="AD12" s="2">
        <v>110.00000000000001</v>
      </c>
      <c r="AE12" s="2" t="s">
        <v>229</v>
      </c>
      <c r="AF12" s="2" t="s">
        <v>226</v>
      </c>
      <c r="AG12" s="2">
        <v>20</v>
      </c>
      <c r="AH12" s="2">
        <v>80</v>
      </c>
      <c r="AI12" s="2">
        <v>140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16.5" x14ac:dyDescent="0.3">
      <c r="A13" s="2">
        <v>10022</v>
      </c>
      <c r="B13" s="2" t="s">
        <v>275</v>
      </c>
      <c r="C13" s="3" t="s">
        <v>55</v>
      </c>
      <c r="D13" s="2" t="s">
        <v>427</v>
      </c>
      <c r="E13" s="2"/>
      <c r="F13" s="2"/>
      <c r="G13" s="2">
        <v>2</v>
      </c>
      <c r="H13" s="2" t="s">
        <v>7</v>
      </c>
      <c r="I13" s="2">
        <v>20</v>
      </c>
      <c r="J13" s="2">
        <v>25</v>
      </c>
      <c r="K13" s="2" t="s">
        <v>44</v>
      </c>
      <c r="L13" s="2" t="s">
        <v>230</v>
      </c>
      <c r="M13" s="2" t="s">
        <v>226</v>
      </c>
      <c r="N13" s="2">
        <v>6000</v>
      </c>
      <c r="O13" s="2">
        <v>1</v>
      </c>
      <c r="P13" s="2" t="s">
        <v>233</v>
      </c>
      <c r="Q13" s="2" t="s">
        <v>226</v>
      </c>
      <c r="R13" s="2">
        <v>30</v>
      </c>
      <c r="S13" s="2">
        <v>1400</v>
      </c>
      <c r="T13" s="2">
        <v>2600</v>
      </c>
      <c r="U13" s="2" t="s">
        <v>234</v>
      </c>
      <c r="V13" s="2" t="s">
        <v>226</v>
      </c>
      <c r="W13" s="2">
        <v>30</v>
      </c>
      <c r="X13" s="2">
        <v>200</v>
      </c>
      <c r="Y13" s="2">
        <v>320</v>
      </c>
      <c r="Z13" s="2" t="s">
        <v>228</v>
      </c>
      <c r="AA13" s="2" t="s">
        <v>226</v>
      </c>
      <c r="AB13" s="2">
        <v>20</v>
      </c>
      <c r="AC13" s="2">
        <v>90</v>
      </c>
      <c r="AD13" s="2">
        <v>140</v>
      </c>
      <c r="AE13" s="2" t="s">
        <v>229</v>
      </c>
      <c r="AF13" s="2" t="s">
        <v>226</v>
      </c>
      <c r="AG13" s="2">
        <v>20</v>
      </c>
      <c r="AH13" s="2">
        <v>130</v>
      </c>
      <c r="AI13" s="2">
        <v>170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t="16.5" x14ac:dyDescent="0.3">
      <c r="A14" s="2">
        <v>10023</v>
      </c>
      <c r="B14" s="2" t="s">
        <v>276</v>
      </c>
      <c r="C14" s="3" t="s">
        <v>56</v>
      </c>
      <c r="D14" s="2" t="s">
        <v>427</v>
      </c>
      <c r="E14" s="2"/>
      <c r="F14" s="2"/>
      <c r="G14" s="2">
        <v>3</v>
      </c>
      <c r="H14" s="2" t="s">
        <v>7</v>
      </c>
      <c r="I14" s="2">
        <v>80</v>
      </c>
      <c r="J14" s="2">
        <v>100</v>
      </c>
      <c r="K14" s="2" t="s">
        <v>44</v>
      </c>
      <c r="L14" s="2" t="s">
        <v>230</v>
      </c>
      <c r="M14" s="2" t="s">
        <v>226</v>
      </c>
      <c r="N14" s="2">
        <v>8999.9999999999982</v>
      </c>
      <c r="O14" s="2">
        <v>1</v>
      </c>
      <c r="P14" s="2" t="s">
        <v>233</v>
      </c>
      <c r="Q14" s="2" t="s">
        <v>226</v>
      </c>
      <c r="R14" s="2">
        <v>30</v>
      </c>
      <c r="S14" s="2">
        <v>2400</v>
      </c>
      <c r="T14" s="2">
        <v>3600</v>
      </c>
      <c r="U14" s="2" t="s">
        <v>234</v>
      </c>
      <c r="V14" s="2" t="s">
        <v>226</v>
      </c>
      <c r="W14" s="2">
        <v>30</v>
      </c>
      <c r="X14" s="2">
        <v>300</v>
      </c>
      <c r="Y14" s="2">
        <v>420</v>
      </c>
      <c r="Z14" s="2" t="s">
        <v>228</v>
      </c>
      <c r="AA14" s="2" t="s">
        <v>226</v>
      </c>
      <c r="AB14" s="2">
        <v>20</v>
      </c>
      <c r="AC14" s="2">
        <v>120</v>
      </c>
      <c r="AD14" s="2">
        <v>170</v>
      </c>
      <c r="AE14" s="2" t="s">
        <v>229</v>
      </c>
      <c r="AF14" s="2" t="s">
        <v>226</v>
      </c>
      <c r="AG14" s="2">
        <v>20</v>
      </c>
      <c r="AH14" s="2">
        <v>160</v>
      </c>
      <c r="AI14" s="2">
        <v>200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16.5" x14ac:dyDescent="0.3">
      <c r="A15" s="2">
        <v>10024</v>
      </c>
      <c r="B15" s="2" t="s">
        <v>277</v>
      </c>
      <c r="C15" s="3" t="s">
        <v>57</v>
      </c>
      <c r="D15" s="2" t="s">
        <v>427</v>
      </c>
      <c r="E15" s="2"/>
      <c r="F15" s="2"/>
      <c r="G15" s="2">
        <v>4</v>
      </c>
      <c r="H15" s="2" t="s">
        <v>7</v>
      </c>
      <c r="I15" s="2">
        <v>320</v>
      </c>
      <c r="J15" s="2">
        <v>400</v>
      </c>
      <c r="K15" s="2" t="s">
        <v>44</v>
      </c>
      <c r="L15" s="2" t="s">
        <v>230</v>
      </c>
      <c r="M15" s="2" t="s">
        <v>226</v>
      </c>
      <c r="N15" s="2">
        <v>12000</v>
      </c>
      <c r="O15" s="2">
        <v>1</v>
      </c>
      <c r="P15" s="2" t="s">
        <v>233</v>
      </c>
      <c r="Q15" s="2" t="s">
        <v>226</v>
      </c>
      <c r="R15" s="2">
        <v>30</v>
      </c>
      <c r="S15" s="2">
        <v>3400</v>
      </c>
      <c r="T15" s="2">
        <v>4400</v>
      </c>
      <c r="U15" s="2" t="s">
        <v>234</v>
      </c>
      <c r="V15" s="2" t="s">
        <v>226</v>
      </c>
      <c r="W15" s="2">
        <v>30</v>
      </c>
      <c r="X15" s="2">
        <v>400</v>
      </c>
      <c r="Y15" s="2">
        <v>520</v>
      </c>
      <c r="Z15" s="2" t="s">
        <v>228</v>
      </c>
      <c r="AA15" s="2" t="s">
        <v>226</v>
      </c>
      <c r="AB15" s="2">
        <v>20</v>
      </c>
      <c r="AC15" s="2">
        <v>150</v>
      </c>
      <c r="AD15" s="2">
        <v>200</v>
      </c>
      <c r="AE15" s="2" t="s">
        <v>229</v>
      </c>
      <c r="AF15" s="2" t="s">
        <v>226</v>
      </c>
      <c r="AG15" s="2">
        <v>20</v>
      </c>
      <c r="AH15" s="2">
        <v>190</v>
      </c>
      <c r="AI15" s="2">
        <v>229.99999999999997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16.5" x14ac:dyDescent="0.3">
      <c r="A16" s="2">
        <v>10025</v>
      </c>
      <c r="B16" s="2" t="s">
        <v>278</v>
      </c>
      <c r="C16" s="3" t="s">
        <v>58</v>
      </c>
      <c r="D16" s="2" t="s">
        <v>427</v>
      </c>
      <c r="E16" s="2"/>
      <c r="F16" s="2"/>
      <c r="G16" s="2">
        <v>5</v>
      </c>
      <c r="H16" s="2" t="s">
        <v>7</v>
      </c>
      <c r="I16" s="2">
        <v>800</v>
      </c>
      <c r="J16" s="2">
        <v>1600</v>
      </c>
      <c r="K16" s="2" t="s">
        <v>44</v>
      </c>
      <c r="L16" s="2" t="s">
        <v>230</v>
      </c>
      <c r="M16" s="2" t="s">
        <v>226</v>
      </c>
      <c r="N16" s="2">
        <v>15000</v>
      </c>
      <c r="O16" s="2">
        <v>1</v>
      </c>
      <c r="P16" s="2" t="s">
        <v>233</v>
      </c>
      <c r="Q16" s="2" t="s">
        <v>226</v>
      </c>
      <c r="R16" s="2">
        <v>30</v>
      </c>
      <c r="S16" s="2">
        <v>4200</v>
      </c>
      <c r="T16" s="2">
        <v>5200</v>
      </c>
      <c r="U16" s="2" t="s">
        <v>234</v>
      </c>
      <c r="V16" s="2" t="s">
        <v>226</v>
      </c>
      <c r="W16" s="2">
        <v>30</v>
      </c>
      <c r="X16" s="2">
        <v>500</v>
      </c>
      <c r="Y16" s="2">
        <v>600</v>
      </c>
      <c r="Z16" s="2" t="s">
        <v>228</v>
      </c>
      <c r="AA16" s="2" t="s">
        <v>226</v>
      </c>
      <c r="AB16" s="2">
        <v>20</v>
      </c>
      <c r="AC16" s="2">
        <v>190</v>
      </c>
      <c r="AD16" s="2">
        <v>240</v>
      </c>
      <c r="AE16" s="2" t="s">
        <v>229</v>
      </c>
      <c r="AF16" s="2" t="s">
        <v>226</v>
      </c>
      <c r="AG16" s="2">
        <v>20</v>
      </c>
      <c r="AH16" s="2">
        <v>220.00000000000003</v>
      </c>
      <c r="AI16" s="2">
        <v>290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16.5" x14ac:dyDescent="0.3">
      <c r="A17" s="2">
        <v>20001</v>
      </c>
      <c r="B17" s="2" t="s">
        <v>279</v>
      </c>
      <c r="C17" s="3" t="s">
        <v>59</v>
      </c>
      <c r="D17" s="2" t="s">
        <v>429</v>
      </c>
      <c r="E17" s="2"/>
      <c r="F17" s="2"/>
      <c r="G17" s="2">
        <v>1</v>
      </c>
      <c r="H17" s="2" t="s">
        <v>9</v>
      </c>
      <c r="I17" s="2">
        <v>10</v>
      </c>
      <c r="J17" s="2">
        <v>10</v>
      </c>
      <c r="K17" s="2" t="s">
        <v>44</v>
      </c>
      <c r="L17" s="2" t="s">
        <v>231</v>
      </c>
      <c r="M17" s="2" t="s">
        <v>226</v>
      </c>
      <c r="N17" s="2">
        <v>240</v>
      </c>
      <c r="O17" s="2">
        <v>1</v>
      </c>
      <c r="P17" s="2" t="s">
        <v>231</v>
      </c>
      <c r="Q17" s="2" t="s">
        <v>226</v>
      </c>
      <c r="R17" s="2">
        <v>30</v>
      </c>
      <c r="S17" s="2">
        <v>100</v>
      </c>
      <c r="T17" s="2">
        <v>220.00000000000003</v>
      </c>
      <c r="U17" s="2" t="s">
        <v>232</v>
      </c>
      <c r="V17" s="2" t="s">
        <v>226</v>
      </c>
      <c r="W17" s="2">
        <v>30</v>
      </c>
      <c r="X17" s="2">
        <v>100</v>
      </c>
      <c r="Y17" s="2">
        <v>220.00000000000003</v>
      </c>
      <c r="Z17" s="2" t="s">
        <v>228</v>
      </c>
      <c r="AA17" s="2" t="s">
        <v>226</v>
      </c>
      <c r="AB17" s="2">
        <v>18</v>
      </c>
      <c r="AC17" s="2">
        <v>50</v>
      </c>
      <c r="AD17" s="2">
        <v>110.00000000000001</v>
      </c>
      <c r="AE17" s="2" t="s">
        <v>229</v>
      </c>
      <c r="AF17" s="2" t="s">
        <v>226</v>
      </c>
      <c r="AG17" s="2">
        <v>18</v>
      </c>
      <c r="AH17" s="2">
        <v>80</v>
      </c>
      <c r="AI17" s="2">
        <v>140</v>
      </c>
      <c r="AJ17" s="2" t="s">
        <v>230</v>
      </c>
      <c r="AK17" s="2" t="s">
        <v>226</v>
      </c>
      <c r="AL17" s="2">
        <v>4</v>
      </c>
      <c r="AM17" s="2">
        <v>1000</v>
      </c>
      <c r="AN17" s="2">
        <v>3000</v>
      </c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16.5" x14ac:dyDescent="0.3">
      <c r="A18" s="2">
        <v>20002</v>
      </c>
      <c r="B18" s="2" t="s">
        <v>280</v>
      </c>
      <c r="C18" s="3" t="s">
        <v>60</v>
      </c>
      <c r="D18" s="2" t="s">
        <v>429</v>
      </c>
      <c r="E18" s="2"/>
      <c r="F18" s="2"/>
      <c r="G18" s="2">
        <v>2</v>
      </c>
      <c r="H18" s="2" t="s">
        <v>9</v>
      </c>
      <c r="I18" s="2">
        <v>20</v>
      </c>
      <c r="J18" s="2">
        <v>25</v>
      </c>
      <c r="K18" s="2" t="s">
        <v>44</v>
      </c>
      <c r="L18" s="2" t="s">
        <v>231</v>
      </c>
      <c r="M18" s="2" t="s">
        <v>226</v>
      </c>
      <c r="N18" s="2">
        <v>480</v>
      </c>
      <c r="O18" s="2">
        <v>1</v>
      </c>
      <c r="P18" s="2" t="s">
        <v>231</v>
      </c>
      <c r="Q18" s="2" t="s">
        <v>226</v>
      </c>
      <c r="R18" s="2">
        <v>30</v>
      </c>
      <c r="S18" s="2">
        <v>200</v>
      </c>
      <c r="T18" s="2">
        <v>320</v>
      </c>
      <c r="U18" s="2" t="s">
        <v>232</v>
      </c>
      <c r="V18" s="2" t="s">
        <v>226</v>
      </c>
      <c r="W18" s="2">
        <v>30</v>
      </c>
      <c r="X18" s="2">
        <v>200</v>
      </c>
      <c r="Y18" s="2">
        <v>320</v>
      </c>
      <c r="Z18" s="2" t="s">
        <v>228</v>
      </c>
      <c r="AA18" s="2" t="s">
        <v>226</v>
      </c>
      <c r="AB18" s="2">
        <v>18</v>
      </c>
      <c r="AC18" s="2">
        <v>90</v>
      </c>
      <c r="AD18" s="2">
        <v>140</v>
      </c>
      <c r="AE18" s="2" t="s">
        <v>229</v>
      </c>
      <c r="AF18" s="2" t="s">
        <v>226</v>
      </c>
      <c r="AG18" s="2">
        <v>18</v>
      </c>
      <c r="AH18" s="2">
        <v>130</v>
      </c>
      <c r="AI18" s="2">
        <v>170</v>
      </c>
      <c r="AJ18" s="2" t="s">
        <v>230</v>
      </c>
      <c r="AK18" s="2" t="s">
        <v>226</v>
      </c>
      <c r="AL18" s="2">
        <v>4</v>
      </c>
      <c r="AM18" s="2">
        <v>1000</v>
      </c>
      <c r="AN18" s="2">
        <v>4000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ht="16.5" x14ac:dyDescent="0.3">
      <c r="A19" s="2">
        <v>20003</v>
      </c>
      <c r="B19" s="2" t="s">
        <v>281</v>
      </c>
      <c r="C19" s="3" t="s">
        <v>61</v>
      </c>
      <c r="D19" s="2" t="s">
        <v>429</v>
      </c>
      <c r="E19" s="2"/>
      <c r="F19" s="2"/>
      <c r="G19" s="2">
        <v>3</v>
      </c>
      <c r="H19" s="2" t="s">
        <v>9</v>
      </c>
      <c r="I19" s="2">
        <v>80</v>
      </c>
      <c r="J19" s="2">
        <v>100</v>
      </c>
      <c r="K19" s="2" t="s">
        <v>44</v>
      </c>
      <c r="L19" s="2" t="s">
        <v>231</v>
      </c>
      <c r="M19" s="2" t="s">
        <v>226</v>
      </c>
      <c r="N19" s="2">
        <v>720</v>
      </c>
      <c r="O19" s="2">
        <v>1</v>
      </c>
      <c r="P19" s="2" t="s">
        <v>231</v>
      </c>
      <c r="Q19" s="2" t="s">
        <v>226</v>
      </c>
      <c r="R19" s="2">
        <v>30</v>
      </c>
      <c r="S19" s="2">
        <v>300</v>
      </c>
      <c r="T19" s="2">
        <v>420</v>
      </c>
      <c r="U19" s="2" t="s">
        <v>232</v>
      </c>
      <c r="V19" s="2" t="s">
        <v>226</v>
      </c>
      <c r="W19" s="2">
        <v>30</v>
      </c>
      <c r="X19" s="2">
        <v>300</v>
      </c>
      <c r="Y19" s="2">
        <v>420</v>
      </c>
      <c r="Z19" s="2" t="s">
        <v>228</v>
      </c>
      <c r="AA19" s="2" t="s">
        <v>226</v>
      </c>
      <c r="AB19" s="2">
        <v>18</v>
      </c>
      <c r="AC19" s="2">
        <v>120</v>
      </c>
      <c r="AD19" s="2">
        <v>170</v>
      </c>
      <c r="AE19" s="2" t="s">
        <v>229</v>
      </c>
      <c r="AF19" s="2" t="s">
        <v>226</v>
      </c>
      <c r="AG19" s="2">
        <v>18</v>
      </c>
      <c r="AH19" s="2">
        <v>160</v>
      </c>
      <c r="AI19" s="2">
        <v>200</v>
      </c>
      <c r="AJ19" s="2" t="s">
        <v>230</v>
      </c>
      <c r="AK19" s="2" t="s">
        <v>226</v>
      </c>
      <c r="AL19" s="2">
        <v>4</v>
      </c>
      <c r="AM19" s="2">
        <v>2000</v>
      </c>
      <c r="AN19" s="2">
        <v>4000</v>
      </c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ht="16.5" x14ac:dyDescent="0.3">
      <c r="A20" s="2">
        <v>20004</v>
      </c>
      <c r="B20" s="2" t="s">
        <v>282</v>
      </c>
      <c r="C20" s="3" t="s">
        <v>62</v>
      </c>
      <c r="D20" s="2" t="s">
        <v>429</v>
      </c>
      <c r="E20" s="2"/>
      <c r="F20" s="2"/>
      <c r="G20" s="2">
        <v>4</v>
      </c>
      <c r="H20" s="2" t="s">
        <v>9</v>
      </c>
      <c r="I20" s="2">
        <v>320</v>
      </c>
      <c r="J20" s="2">
        <v>400</v>
      </c>
      <c r="K20" s="2" t="s">
        <v>44</v>
      </c>
      <c r="L20" s="2" t="s">
        <v>231</v>
      </c>
      <c r="M20" s="2" t="s">
        <v>226</v>
      </c>
      <c r="N20" s="2">
        <v>960</v>
      </c>
      <c r="O20" s="2">
        <v>1</v>
      </c>
      <c r="P20" s="2" t="s">
        <v>231</v>
      </c>
      <c r="Q20" s="2" t="s">
        <v>226</v>
      </c>
      <c r="R20" s="2">
        <v>30</v>
      </c>
      <c r="S20" s="2">
        <v>400</v>
      </c>
      <c r="T20" s="2">
        <v>520</v>
      </c>
      <c r="U20" s="2" t="s">
        <v>232</v>
      </c>
      <c r="V20" s="2" t="s">
        <v>226</v>
      </c>
      <c r="W20" s="2">
        <v>30</v>
      </c>
      <c r="X20" s="2">
        <v>400</v>
      </c>
      <c r="Y20" s="2">
        <v>520</v>
      </c>
      <c r="Z20" s="2" t="s">
        <v>228</v>
      </c>
      <c r="AA20" s="2" t="s">
        <v>226</v>
      </c>
      <c r="AB20" s="2">
        <v>18</v>
      </c>
      <c r="AC20" s="2">
        <v>150</v>
      </c>
      <c r="AD20" s="2">
        <v>200</v>
      </c>
      <c r="AE20" s="2" t="s">
        <v>229</v>
      </c>
      <c r="AF20" s="2" t="s">
        <v>226</v>
      </c>
      <c r="AG20" s="2">
        <v>18</v>
      </c>
      <c r="AH20" s="2">
        <v>190</v>
      </c>
      <c r="AI20" s="2">
        <v>229.99999999999997</v>
      </c>
      <c r="AJ20" s="2" t="s">
        <v>230</v>
      </c>
      <c r="AK20" s="2" t="s">
        <v>226</v>
      </c>
      <c r="AL20" s="2">
        <v>4</v>
      </c>
      <c r="AM20" s="2">
        <v>2000</v>
      </c>
      <c r="AN20" s="2">
        <v>5000</v>
      </c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ht="16.5" x14ac:dyDescent="0.3">
      <c r="A21" s="2">
        <v>20005</v>
      </c>
      <c r="B21" s="2" t="s">
        <v>283</v>
      </c>
      <c r="C21" s="3" t="s">
        <v>63</v>
      </c>
      <c r="D21" s="2" t="s">
        <v>429</v>
      </c>
      <c r="E21" s="2"/>
      <c r="F21" s="2"/>
      <c r="G21" s="2">
        <v>5</v>
      </c>
      <c r="H21" s="2" t="s">
        <v>9</v>
      </c>
      <c r="I21" s="2">
        <v>800</v>
      </c>
      <c r="J21" s="2">
        <v>1600</v>
      </c>
      <c r="K21" s="2" t="s">
        <v>44</v>
      </c>
      <c r="L21" s="2" t="s">
        <v>231</v>
      </c>
      <c r="M21" s="2" t="s">
        <v>226</v>
      </c>
      <c r="N21" s="2">
        <v>1200</v>
      </c>
      <c r="O21" s="2">
        <v>1</v>
      </c>
      <c r="P21" s="2" t="s">
        <v>231</v>
      </c>
      <c r="Q21" s="2" t="s">
        <v>226</v>
      </c>
      <c r="R21" s="2">
        <v>30</v>
      </c>
      <c r="S21" s="2">
        <v>500</v>
      </c>
      <c r="T21" s="2">
        <v>600</v>
      </c>
      <c r="U21" s="2" t="s">
        <v>232</v>
      </c>
      <c r="V21" s="2" t="s">
        <v>226</v>
      </c>
      <c r="W21" s="2">
        <v>30</v>
      </c>
      <c r="X21" s="2">
        <v>500</v>
      </c>
      <c r="Y21" s="2">
        <v>600</v>
      </c>
      <c r="Z21" s="2" t="s">
        <v>228</v>
      </c>
      <c r="AA21" s="2" t="s">
        <v>226</v>
      </c>
      <c r="AB21" s="2">
        <v>18</v>
      </c>
      <c r="AC21" s="2">
        <v>190</v>
      </c>
      <c r="AD21" s="2">
        <v>240</v>
      </c>
      <c r="AE21" s="2" t="s">
        <v>229</v>
      </c>
      <c r="AF21" s="2" t="s">
        <v>226</v>
      </c>
      <c r="AG21" s="2">
        <v>18</v>
      </c>
      <c r="AH21" s="2">
        <v>220.00000000000003</v>
      </c>
      <c r="AI21" s="2">
        <v>290</v>
      </c>
      <c r="AJ21" s="2" t="s">
        <v>230</v>
      </c>
      <c r="AK21" s="2" t="s">
        <v>226</v>
      </c>
      <c r="AL21" s="2">
        <v>4</v>
      </c>
      <c r="AM21" s="2">
        <v>3000</v>
      </c>
      <c r="AN21" s="2">
        <v>6000</v>
      </c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16.5" x14ac:dyDescent="0.3">
      <c r="A22" s="2">
        <v>20011</v>
      </c>
      <c r="B22" s="2" t="s">
        <v>284</v>
      </c>
      <c r="C22" s="3" t="s">
        <v>64</v>
      </c>
      <c r="D22" s="2" t="s">
        <v>429</v>
      </c>
      <c r="E22" s="2"/>
      <c r="F22" s="2"/>
      <c r="G22" s="2">
        <v>1</v>
      </c>
      <c r="H22" s="2" t="s">
        <v>9</v>
      </c>
      <c r="I22" s="2">
        <v>10</v>
      </c>
      <c r="J22" s="2">
        <v>10</v>
      </c>
      <c r="K22" s="2" t="s">
        <v>44</v>
      </c>
      <c r="L22" t="s">
        <v>232</v>
      </c>
      <c r="M22" s="2" t="s">
        <v>226</v>
      </c>
      <c r="N22" s="2">
        <v>240</v>
      </c>
      <c r="O22" s="2">
        <v>1</v>
      </c>
      <c r="P22" s="2" t="s">
        <v>231</v>
      </c>
      <c r="Q22" s="2" t="s">
        <v>226</v>
      </c>
      <c r="R22" s="2">
        <v>30</v>
      </c>
      <c r="S22" s="2">
        <v>100</v>
      </c>
      <c r="T22" s="2">
        <v>220.00000000000003</v>
      </c>
      <c r="U22" s="2" t="s">
        <v>232</v>
      </c>
      <c r="V22" s="2" t="s">
        <v>226</v>
      </c>
      <c r="W22" s="2">
        <v>30</v>
      </c>
      <c r="X22" s="2">
        <v>100</v>
      </c>
      <c r="Y22" s="2">
        <v>220.00000000000003</v>
      </c>
      <c r="Z22" s="2" t="s">
        <v>228</v>
      </c>
      <c r="AA22" s="2" t="s">
        <v>226</v>
      </c>
      <c r="AB22" s="2">
        <v>18</v>
      </c>
      <c r="AC22" s="2">
        <v>50</v>
      </c>
      <c r="AD22" s="2">
        <v>110.00000000000001</v>
      </c>
      <c r="AE22" s="2" t="s">
        <v>229</v>
      </c>
      <c r="AF22" s="2" t="s">
        <v>226</v>
      </c>
      <c r="AG22" s="2">
        <v>18</v>
      </c>
      <c r="AH22" s="2">
        <v>80</v>
      </c>
      <c r="AI22" s="2">
        <v>140</v>
      </c>
      <c r="AJ22" s="2" t="s">
        <v>230</v>
      </c>
      <c r="AK22" s="2" t="s">
        <v>226</v>
      </c>
      <c r="AL22" s="2">
        <v>4</v>
      </c>
      <c r="AM22" s="2">
        <v>1000</v>
      </c>
      <c r="AN22" s="2">
        <v>3000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ht="16.5" x14ac:dyDescent="0.3">
      <c r="A23" s="2">
        <v>20012</v>
      </c>
      <c r="B23" s="2" t="s">
        <v>285</v>
      </c>
      <c r="C23" s="3" t="s">
        <v>65</v>
      </c>
      <c r="D23" s="2" t="s">
        <v>429</v>
      </c>
      <c r="E23" s="2"/>
      <c r="F23" s="2"/>
      <c r="G23" s="2">
        <v>2</v>
      </c>
      <c r="H23" s="2" t="s">
        <v>9</v>
      </c>
      <c r="I23" s="2">
        <v>20</v>
      </c>
      <c r="J23" s="2">
        <v>25</v>
      </c>
      <c r="K23" s="2" t="s">
        <v>44</v>
      </c>
      <c r="L23" t="s">
        <v>232</v>
      </c>
      <c r="M23" s="2" t="s">
        <v>226</v>
      </c>
      <c r="N23" s="2">
        <v>480</v>
      </c>
      <c r="O23" s="2">
        <v>1</v>
      </c>
      <c r="P23" s="2" t="s">
        <v>231</v>
      </c>
      <c r="Q23" s="2" t="s">
        <v>226</v>
      </c>
      <c r="R23" s="2">
        <v>30</v>
      </c>
      <c r="S23" s="2">
        <v>200</v>
      </c>
      <c r="T23" s="2">
        <v>320</v>
      </c>
      <c r="U23" s="2" t="s">
        <v>232</v>
      </c>
      <c r="V23" s="2" t="s">
        <v>226</v>
      </c>
      <c r="W23" s="2">
        <v>30</v>
      </c>
      <c r="X23" s="2">
        <v>200</v>
      </c>
      <c r="Y23" s="2">
        <v>320</v>
      </c>
      <c r="Z23" s="2" t="s">
        <v>228</v>
      </c>
      <c r="AA23" s="2" t="s">
        <v>226</v>
      </c>
      <c r="AB23" s="2">
        <v>18</v>
      </c>
      <c r="AC23" s="2">
        <v>90</v>
      </c>
      <c r="AD23" s="2">
        <v>140</v>
      </c>
      <c r="AE23" s="2" t="s">
        <v>229</v>
      </c>
      <c r="AF23" s="2" t="s">
        <v>226</v>
      </c>
      <c r="AG23" s="2">
        <v>18</v>
      </c>
      <c r="AH23" s="2">
        <v>130</v>
      </c>
      <c r="AI23" s="2">
        <v>170</v>
      </c>
      <c r="AJ23" s="2" t="s">
        <v>230</v>
      </c>
      <c r="AK23" s="2" t="s">
        <v>226</v>
      </c>
      <c r="AL23" s="2">
        <v>4</v>
      </c>
      <c r="AM23" s="2">
        <v>1000</v>
      </c>
      <c r="AN23" s="2">
        <v>4000</v>
      </c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16.5" x14ac:dyDescent="0.3">
      <c r="A24" s="2">
        <v>20013</v>
      </c>
      <c r="B24" s="2" t="s">
        <v>286</v>
      </c>
      <c r="C24" s="3" t="s">
        <v>66</v>
      </c>
      <c r="D24" s="2" t="s">
        <v>429</v>
      </c>
      <c r="E24" s="2"/>
      <c r="F24" s="2"/>
      <c r="G24" s="2">
        <v>3</v>
      </c>
      <c r="H24" s="2" t="s">
        <v>9</v>
      </c>
      <c r="I24" s="2">
        <v>80</v>
      </c>
      <c r="J24" s="2">
        <v>100</v>
      </c>
      <c r="K24" s="2" t="s">
        <v>44</v>
      </c>
      <c r="L24" t="s">
        <v>232</v>
      </c>
      <c r="M24" s="2" t="s">
        <v>226</v>
      </c>
      <c r="N24" s="2">
        <v>720</v>
      </c>
      <c r="O24" s="2">
        <v>1</v>
      </c>
      <c r="P24" s="2" t="s">
        <v>231</v>
      </c>
      <c r="Q24" s="2" t="s">
        <v>226</v>
      </c>
      <c r="R24" s="2">
        <v>30</v>
      </c>
      <c r="S24" s="2">
        <v>300</v>
      </c>
      <c r="T24" s="2">
        <v>420</v>
      </c>
      <c r="U24" s="2" t="s">
        <v>232</v>
      </c>
      <c r="V24" s="2" t="s">
        <v>226</v>
      </c>
      <c r="W24" s="2">
        <v>30</v>
      </c>
      <c r="X24" s="2">
        <v>300</v>
      </c>
      <c r="Y24" s="2">
        <v>420</v>
      </c>
      <c r="Z24" s="2" t="s">
        <v>228</v>
      </c>
      <c r="AA24" s="2" t="s">
        <v>226</v>
      </c>
      <c r="AB24" s="2">
        <v>18</v>
      </c>
      <c r="AC24" s="2">
        <v>120</v>
      </c>
      <c r="AD24" s="2">
        <v>170</v>
      </c>
      <c r="AE24" s="2" t="s">
        <v>229</v>
      </c>
      <c r="AF24" s="2" t="s">
        <v>226</v>
      </c>
      <c r="AG24" s="2">
        <v>18</v>
      </c>
      <c r="AH24" s="2">
        <v>160</v>
      </c>
      <c r="AI24" s="2">
        <v>200</v>
      </c>
      <c r="AJ24" s="2" t="s">
        <v>230</v>
      </c>
      <c r="AK24" s="2" t="s">
        <v>226</v>
      </c>
      <c r="AL24" s="2">
        <v>4</v>
      </c>
      <c r="AM24" s="2">
        <v>2000</v>
      </c>
      <c r="AN24" s="2">
        <v>4000</v>
      </c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ht="16.5" x14ac:dyDescent="0.3">
      <c r="A25" s="2">
        <v>20014</v>
      </c>
      <c r="B25" s="2" t="s">
        <v>287</v>
      </c>
      <c r="C25" s="3" t="s">
        <v>67</v>
      </c>
      <c r="D25" s="2" t="s">
        <v>429</v>
      </c>
      <c r="E25" s="2"/>
      <c r="F25" s="2"/>
      <c r="G25" s="2">
        <v>4</v>
      </c>
      <c r="H25" s="2" t="s">
        <v>9</v>
      </c>
      <c r="I25" s="2">
        <v>320</v>
      </c>
      <c r="J25" s="2">
        <v>400</v>
      </c>
      <c r="K25" s="2" t="s">
        <v>44</v>
      </c>
      <c r="L25" t="s">
        <v>232</v>
      </c>
      <c r="M25" s="2" t="s">
        <v>226</v>
      </c>
      <c r="N25" s="2">
        <v>960</v>
      </c>
      <c r="O25" s="2">
        <v>1</v>
      </c>
      <c r="P25" s="2" t="s">
        <v>231</v>
      </c>
      <c r="Q25" s="2" t="s">
        <v>226</v>
      </c>
      <c r="R25" s="2">
        <v>30</v>
      </c>
      <c r="S25" s="2">
        <v>400</v>
      </c>
      <c r="T25" s="2">
        <v>520</v>
      </c>
      <c r="U25" s="2" t="s">
        <v>232</v>
      </c>
      <c r="V25" s="2" t="s">
        <v>226</v>
      </c>
      <c r="W25" s="2">
        <v>30</v>
      </c>
      <c r="X25" s="2">
        <v>400</v>
      </c>
      <c r="Y25" s="2">
        <v>520</v>
      </c>
      <c r="Z25" s="2" t="s">
        <v>228</v>
      </c>
      <c r="AA25" s="2" t="s">
        <v>226</v>
      </c>
      <c r="AB25" s="2">
        <v>18</v>
      </c>
      <c r="AC25" s="2">
        <v>150</v>
      </c>
      <c r="AD25" s="2">
        <v>200</v>
      </c>
      <c r="AE25" s="2" t="s">
        <v>229</v>
      </c>
      <c r="AF25" s="2" t="s">
        <v>226</v>
      </c>
      <c r="AG25" s="2">
        <v>18</v>
      </c>
      <c r="AH25" s="2">
        <v>190</v>
      </c>
      <c r="AI25" s="2">
        <v>229.99999999999997</v>
      </c>
      <c r="AJ25" s="2" t="s">
        <v>230</v>
      </c>
      <c r="AK25" s="2" t="s">
        <v>226</v>
      </c>
      <c r="AL25" s="2">
        <v>4</v>
      </c>
      <c r="AM25" s="2">
        <v>2000</v>
      </c>
      <c r="AN25" s="2">
        <v>5000</v>
      </c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16.5" x14ac:dyDescent="0.3">
      <c r="A26" s="2">
        <v>20015</v>
      </c>
      <c r="B26" s="2" t="s">
        <v>288</v>
      </c>
      <c r="C26" s="3" t="s">
        <v>68</v>
      </c>
      <c r="D26" s="2" t="s">
        <v>429</v>
      </c>
      <c r="E26" s="2"/>
      <c r="F26" s="2"/>
      <c r="G26" s="2">
        <v>5</v>
      </c>
      <c r="H26" s="2" t="s">
        <v>9</v>
      </c>
      <c r="I26" s="2">
        <v>800</v>
      </c>
      <c r="J26" s="2">
        <v>1600</v>
      </c>
      <c r="K26" s="2" t="s">
        <v>44</v>
      </c>
      <c r="L26" t="s">
        <v>232</v>
      </c>
      <c r="M26" s="2" t="s">
        <v>226</v>
      </c>
      <c r="N26" s="2">
        <v>1200</v>
      </c>
      <c r="O26" s="2">
        <v>1</v>
      </c>
      <c r="P26" s="2" t="s">
        <v>231</v>
      </c>
      <c r="Q26" s="2" t="s">
        <v>226</v>
      </c>
      <c r="R26" s="2">
        <v>30</v>
      </c>
      <c r="S26" s="2">
        <v>500</v>
      </c>
      <c r="T26" s="2">
        <v>600</v>
      </c>
      <c r="U26" s="2" t="s">
        <v>232</v>
      </c>
      <c r="V26" s="2" t="s">
        <v>226</v>
      </c>
      <c r="W26" s="2">
        <v>30</v>
      </c>
      <c r="X26" s="2">
        <v>500</v>
      </c>
      <c r="Y26" s="2">
        <v>600</v>
      </c>
      <c r="Z26" s="2" t="s">
        <v>228</v>
      </c>
      <c r="AA26" s="2" t="s">
        <v>226</v>
      </c>
      <c r="AB26" s="2">
        <v>18</v>
      </c>
      <c r="AC26" s="2">
        <v>190</v>
      </c>
      <c r="AD26" s="2">
        <v>240</v>
      </c>
      <c r="AE26" s="2" t="s">
        <v>229</v>
      </c>
      <c r="AF26" s="2" t="s">
        <v>226</v>
      </c>
      <c r="AG26" s="2">
        <v>18</v>
      </c>
      <c r="AH26" s="2">
        <v>220.00000000000003</v>
      </c>
      <c r="AI26" s="2">
        <v>290</v>
      </c>
      <c r="AJ26" s="2" t="s">
        <v>230</v>
      </c>
      <c r="AK26" s="2" t="s">
        <v>226</v>
      </c>
      <c r="AL26" s="2">
        <v>4</v>
      </c>
      <c r="AM26" s="2">
        <v>3000</v>
      </c>
      <c r="AN26" s="2">
        <v>6000</v>
      </c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ht="16.5" x14ac:dyDescent="0.3">
      <c r="A27" s="2">
        <v>30001</v>
      </c>
      <c r="B27" s="2" t="s">
        <v>289</v>
      </c>
      <c r="C27" s="3" t="s">
        <v>69</v>
      </c>
      <c r="D27" s="2" t="s">
        <v>425</v>
      </c>
      <c r="E27" s="2"/>
      <c r="F27" s="2"/>
      <c r="G27" s="2">
        <v>1</v>
      </c>
      <c r="H27" s="2" t="s">
        <v>10</v>
      </c>
      <c r="I27" s="2">
        <v>10</v>
      </c>
      <c r="J27" s="2">
        <v>10</v>
      </c>
      <c r="K27" s="2" t="s">
        <v>44</v>
      </c>
      <c r="L27" s="2" t="s">
        <v>233</v>
      </c>
      <c r="M27" s="2" t="s">
        <v>226</v>
      </c>
      <c r="N27" s="2">
        <v>1900</v>
      </c>
      <c r="O27" s="2">
        <v>1</v>
      </c>
      <c r="P27" s="2" t="s">
        <v>233</v>
      </c>
      <c r="Q27" s="2" t="s">
        <v>226</v>
      </c>
      <c r="R27" s="2">
        <v>25</v>
      </c>
      <c r="S27" s="2">
        <v>800</v>
      </c>
      <c r="T27" s="2">
        <v>1600</v>
      </c>
      <c r="U27" s="2" t="s">
        <v>234</v>
      </c>
      <c r="V27" s="2" t="s">
        <v>226</v>
      </c>
      <c r="W27" s="2">
        <v>25</v>
      </c>
      <c r="X27" s="2">
        <v>100</v>
      </c>
      <c r="Y27" s="2">
        <v>220.00000000000003</v>
      </c>
      <c r="Z27" s="2" t="s">
        <v>231</v>
      </c>
      <c r="AA27" s="2" t="s">
        <v>226</v>
      </c>
      <c r="AB27" s="2">
        <v>25</v>
      </c>
      <c r="AC27" s="2">
        <v>100</v>
      </c>
      <c r="AD27" s="2">
        <v>220.00000000000003</v>
      </c>
      <c r="AE27" s="2" t="s">
        <v>232</v>
      </c>
      <c r="AF27" s="2" t="s">
        <v>226</v>
      </c>
      <c r="AG27" s="2">
        <v>25</v>
      </c>
      <c r="AH27" s="2">
        <v>100</v>
      </c>
      <c r="AI27" s="2">
        <v>220.00000000000003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16.5" x14ac:dyDescent="0.3">
      <c r="A28" s="2">
        <v>30002</v>
      </c>
      <c r="B28" s="2" t="s">
        <v>290</v>
      </c>
      <c r="C28" s="3" t="s">
        <v>70</v>
      </c>
      <c r="D28" s="2" t="s">
        <v>425</v>
      </c>
      <c r="E28" s="2"/>
      <c r="F28" s="2"/>
      <c r="G28" s="2">
        <v>2</v>
      </c>
      <c r="H28" s="2" t="s">
        <v>10</v>
      </c>
      <c r="I28" s="2">
        <v>20</v>
      </c>
      <c r="J28" s="2">
        <v>25</v>
      </c>
      <c r="K28" s="2" t="s">
        <v>44</v>
      </c>
      <c r="L28" s="2" t="s">
        <v>233</v>
      </c>
      <c r="M28" s="2" t="s">
        <v>226</v>
      </c>
      <c r="N28" s="2">
        <v>3700</v>
      </c>
      <c r="O28" s="2">
        <v>1</v>
      </c>
      <c r="P28" s="2" t="s">
        <v>233</v>
      </c>
      <c r="Q28" s="2" t="s">
        <v>226</v>
      </c>
      <c r="R28" s="2">
        <v>25</v>
      </c>
      <c r="S28" s="2">
        <v>1400</v>
      </c>
      <c r="T28" s="2">
        <v>2600</v>
      </c>
      <c r="U28" s="2" t="s">
        <v>234</v>
      </c>
      <c r="V28" s="2" t="s">
        <v>226</v>
      </c>
      <c r="W28" s="2">
        <v>25</v>
      </c>
      <c r="X28" s="2">
        <v>200</v>
      </c>
      <c r="Y28" s="2">
        <v>320</v>
      </c>
      <c r="Z28" s="2" t="s">
        <v>231</v>
      </c>
      <c r="AA28" s="2" t="s">
        <v>226</v>
      </c>
      <c r="AB28" s="2">
        <v>25</v>
      </c>
      <c r="AC28" s="2">
        <v>200</v>
      </c>
      <c r="AD28" s="2">
        <v>320</v>
      </c>
      <c r="AE28" s="2" t="s">
        <v>232</v>
      </c>
      <c r="AF28" s="2" t="s">
        <v>226</v>
      </c>
      <c r="AG28" s="2">
        <v>25</v>
      </c>
      <c r="AH28" s="2">
        <v>200</v>
      </c>
      <c r="AI28" s="2">
        <v>320</v>
      </c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ht="16.5" x14ac:dyDescent="0.3">
      <c r="A29" s="2">
        <v>30003</v>
      </c>
      <c r="B29" s="2" t="s">
        <v>291</v>
      </c>
      <c r="C29" s="3" t="s">
        <v>71</v>
      </c>
      <c r="D29" s="2" t="s">
        <v>426</v>
      </c>
      <c r="E29" s="2"/>
      <c r="F29" s="2"/>
      <c r="G29" s="2">
        <v>3</v>
      </c>
      <c r="H29" s="2" t="s">
        <v>10</v>
      </c>
      <c r="I29" s="2">
        <v>80</v>
      </c>
      <c r="J29" s="2">
        <v>100</v>
      </c>
      <c r="K29" s="2" t="s">
        <v>44</v>
      </c>
      <c r="L29" s="2" t="s">
        <v>233</v>
      </c>
      <c r="M29" s="2" t="s">
        <v>226</v>
      </c>
      <c r="N29" s="2">
        <v>5600</v>
      </c>
      <c r="O29" s="2">
        <v>1</v>
      </c>
      <c r="P29" s="2" t="s">
        <v>233</v>
      </c>
      <c r="Q29" s="2" t="s">
        <v>226</v>
      </c>
      <c r="R29" s="2">
        <v>25</v>
      </c>
      <c r="S29" s="2">
        <v>2400</v>
      </c>
      <c r="T29" s="2">
        <v>3600</v>
      </c>
      <c r="U29" s="2" t="s">
        <v>234</v>
      </c>
      <c r="V29" s="2" t="s">
        <v>226</v>
      </c>
      <c r="W29" s="2">
        <v>25</v>
      </c>
      <c r="X29" s="2">
        <v>300</v>
      </c>
      <c r="Y29" s="2">
        <v>420</v>
      </c>
      <c r="Z29" s="2" t="s">
        <v>231</v>
      </c>
      <c r="AA29" s="2" t="s">
        <v>226</v>
      </c>
      <c r="AB29" s="2">
        <v>25</v>
      </c>
      <c r="AC29" s="2">
        <v>300</v>
      </c>
      <c r="AD29" s="2">
        <v>420</v>
      </c>
      <c r="AE29" s="2" t="s">
        <v>232</v>
      </c>
      <c r="AF29" s="2" t="s">
        <v>226</v>
      </c>
      <c r="AG29" s="2">
        <v>25</v>
      </c>
      <c r="AH29" s="2">
        <v>300</v>
      </c>
      <c r="AI29" s="2">
        <v>420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ht="16.5" x14ac:dyDescent="0.3">
      <c r="A30" s="2">
        <v>30004</v>
      </c>
      <c r="B30" s="2" t="s">
        <v>292</v>
      </c>
      <c r="C30" s="3" t="s">
        <v>72</v>
      </c>
      <c r="D30" s="2" t="s">
        <v>425</v>
      </c>
      <c r="E30" s="2"/>
      <c r="F30" s="2"/>
      <c r="G30" s="2">
        <v>4</v>
      </c>
      <c r="H30" s="2" t="s">
        <v>10</v>
      </c>
      <c r="I30" s="2">
        <v>320</v>
      </c>
      <c r="J30" s="2">
        <v>400</v>
      </c>
      <c r="K30" s="2" t="s">
        <v>44</v>
      </c>
      <c r="L30" s="2" t="s">
        <v>233</v>
      </c>
      <c r="M30" s="2" t="s">
        <v>226</v>
      </c>
      <c r="N30" s="2">
        <v>7400</v>
      </c>
      <c r="O30" s="2">
        <v>1</v>
      </c>
      <c r="P30" s="2" t="s">
        <v>233</v>
      </c>
      <c r="Q30" s="2" t="s">
        <v>226</v>
      </c>
      <c r="R30" s="2">
        <v>25</v>
      </c>
      <c r="S30" s="2">
        <v>3400</v>
      </c>
      <c r="T30" s="2">
        <v>4400</v>
      </c>
      <c r="U30" s="2" t="s">
        <v>234</v>
      </c>
      <c r="V30" s="2" t="s">
        <v>226</v>
      </c>
      <c r="W30" s="2">
        <v>25</v>
      </c>
      <c r="X30" s="2">
        <v>400</v>
      </c>
      <c r="Y30" s="2">
        <v>520</v>
      </c>
      <c r="Z30" s="2" t="s">
        <v>231</v>
      </c>
      <c r="AA30" s="2" t="s">
        <v>226</v>
      </c>
      <c r="AB30" s="2">
        <v>25</v>
      </c>
      <c r="AC30" s="2">
        <v>400</v>
      </c>
      <c r="AD30" s="2">
        <v>520</v>
      </c>
      <c r="AE30" s="2" t="s">
        <v>232</v>
      </c>
      <c r="AF30" s="2" t="s">
        <v>226</v>
      </c>
      <c r="AG30" s="2">
        <v>25</v>
      </c>
      <c r="AH30" s="2">
        <v>400</v>
      </c>
      <c r="AI30" s="2">
        <v>520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ht="16.5" x14ac:dyDescent="0.3">
      <c r="A31" s="2">
        <v>30005</v>
      </c>
      <c r="B31" s="2" t="s">
        <v>293</v>
      </c>
      <c r="C31" s="3" t="s">
        <v>73</v>
      </c>
      <c r="D31" s="2" t="s">
        <v>425</v>
      </c>
      <c r="E31" s="2"/>
      <c r="F31" s="2"/>
      <c r="G31" s="2">
        <v>5</v>
      </c>
      <c r="H31" s="2" t="s">
        <v>10</v>
      </c>
      <c r="I31" s="2">
        <v>800</v>
      </c>
      <c r="J31" s="2">
        <v>1600</v>
      </c>
      <c r="K31" s="2" t="s">
        <v>44</v>
      </c>
      <c r="L31" s="2" t="s">
        <v>233</v>
      </c>
      <c r="M31" s="2" t="s">
        <v>226</v>
      </c>
      <c r="N31" s="2">
        <v>9300</v>
      </c>
      <c r="O31" s="2">
        <v>1</v>
      </c>
      <c r="P31" s="2" t="s">
        <v>233</v>
      </c>
      <c r="Q31" s="2" t="s">
        <v>226</v>
      </c>
      <c r="R31" s="2">
        <v>25</v>
      </c>
      <c r="S31" s="2">
        <v>4200</v>
      </c>
      <c r="T31" s="2">
        <v>5200</v>
      </c>
      <c r="U31" s="2" t="s">
        <v>234</v>
      </c>
      <c r="V31" s="2" t="s">
        <v>226</v>
      </c>
      <c r="W31" s="2">
        <v>25</v>
      </c>
      <c r="X31" s="2">
        <v>500</v>
      </c>
      <c r="Y31" s="2">
        <v>600</v>
      </c>
      <c r="Z31" s="2" t="s">
        <v>231</v>
      </c>
      <c r="AA31" s="2" t="s">
        <v>226</v>
      </c>
      <c r="AB31" s="2">
        <v>25</v>
      </c>
      <c r="AC31" s="2">
        <v>500</v>
      </c>
      <c r="AD31" s="2">
        <v>600</v>
      </c>
      <c r="AE31" s="2" t="s">
        <v>232</v>
      </c>
      <c r="AF31" s="2" t="s">
        <v>226</v>
      </c>
      <c r="AG31" s="2">
        <v>25</v>
      </c>
      <c r="AH31" s="2">
        <v>500</v>
      </c>
      <c r="AI31" s="2">
        <v>600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ht="16.5" x14ac:dyDescent="0.3">
      <c r="A32" s="2">
        <v>30011</v>
      </c>
      <c r="B32" s="2" t="s">
        <v>294</v>
      </c>
      <c r="C32" s="3" t="s">
        <v>74</v>
      </c>
      <c r="D32" s="2" t="s">
        <v>425</v>
      </c>
      <c r="E32" s="2"/>
      <c r="F32" s="2"/>
      <c r="G32" s="2">
        <v>1</v>
      </c>
      <c r="H32" s="2" t="s">
        <v>10</v>
      </c>
      <c r="I32" s="2">
        <v>10</v>
      </c>
      <c r="J32" s="2">
        <v>10</v>
      </c>
      <c r="K32" s="2" t="s">
        <v>44</v>
      </c>
      <c r="L32" s="2" t="s">
        <v>234</v>
      </c>
      <c r="M32" s="2" t="s">
        <v>226</v>
      </c>
      <c r="N32" s="2">
        <v>200</v>
      </c>
      <c r="O32" s="2">
        <v>1</v>
      </c>
      <c r="P32" s="2" t="s">
        <v>233</v>
      </c>
      <c r="Q32" s="2" t="s">
        <v>226</v>
      </c>
      <c r="R32" s="2">
        <v>25</v>
      </c>
      <c r="S32" s="2">
        <v>800</v>
      </c>
      <c r="T32" s="2">
        <v>1600</v>
      </c>
      <c r="U32" s="2" t="s">
        <v>234</v>
      </c>
      <c r="V32" s="2" t="s">
        <v>226</v>
      </c>
      <c r="W32" s="2">
        <v>25</v>
      </c>
      <c r="X32" s="2">
        <v>100</v>
      </c>
      <c r="Y32" s="2">
        <v>220.00000000000003</v>
      </c>
      <c r="Z32" s="2" t="s">
        <v>231</v>
      </c>
      <c r="AA32" s="2" t="s">
        <v>226</v>
      </c>
      <c r="AB32" s="2">
        <v>25</v>
      </c>
      <c r="AC32" s="2">
        <v>100</v>
      </c>
      <c r="AD32" s="2">
        <v>220.00000000000003</v>
      </c>
      <c r="AE32" s="2" t="s">
        <v>232</v>
      </c>
      <c r="AF32" s="2" t="s">
        <v>226</v>
      </c>
      <c r="AG32" s="2">
        <v>25</v>
      </c>
      <c r="AH32" s="2">
        <v>100</v>
      </c>
      <c r="AI32" s="2">
        <v>220.00000000000003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ht="16.5" x14ac:dyDescent="0.3">
      <c r="A33" s="2">
        <v>30012</v>
      </c>
      <c r="B33" s="2" t="s">
        <v>295</v>
      </c>
      <c r="C33" s="3" t="s">
        <v>75</v>
      </c>
      <c r="D33" s="2" t="s">
        <v>425</v>
      </c>
      <c r="E33" s="2"/>
      <c r="F33" s="2"/>
      <c r="G33" s="2">
        <v>2</v>
      </c>
      <c r="H33" s="2" t="s">
        <v>10</v>
      </c>
      <c r="I33" s="2">
        <v>20</v>
      </c>
      <c r="J33" s="2">
        <v>25</v>
      </c>
      <c r="K33" s="2" t="s">
        <v>44</v>
      </c>
      <c r="L33" s="2" t="s">
        <v>234</v>
      </c>
      <c r="M33" s="2" t="s">
        <v>226</v>
      </c>
      <c r="N33" s="2">
        <v>400</v>
      </c>
      <c r="O33" s="2">
        <v>1</v>
      </c>
      <c r="P33" s="2" t="s">
        <v>233</v>
      </c>
      <c r="Q33" s="2" t="s">
        <v>226</v>
      </c>
      <c r="R33" s="2">
        <v>25</v>
      </c>
      <c r="S33" s="2">
        <v>1400</v>
      </c>
      <c r="T33" s="2">
        <v>2600</v>
      </c>
      <c r="U33" s="2" t="s">
        <v>234</v>
      </c>
      <c r="V33" s="2" t="s">
        <v>226</v>
      </c>
      <c r="W33" s="2">
        <v>25</v>
      </c>
      <c r="X33" s="2">
        <v>200</v>
      </c>
      <c r="Y33" s="2">
        <v>320</v>
      </c>
      <c r="Z33" s="2" t="s">
        <v>231</v>
      </c>
      <c r="AA33" s="2" t="s">
        <v>226</v>
      </c>
      <c r="AB33" s="2">
        <v>25</v>
      </c>
      <c r="AC33" s="2">
        <v>200</v>
      </c>
      <c r="AD33" s="2">
        <v>320</v>
      </c>
      <c r="AE33" s="2" t="s">
        <v>232</v>
      </c>
      <c r="AF33" s="2" t="s">
        <v>226</v>
      </c>
      <c r="AG33" s="2">
        <v>25</v>
      </c>
      <c r="AH33" s="2">
        <v>200</v>
      </c>
      <c r="AI33" s="2">
        <v>320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ht="16.5" x14ac:dyDescent="0.3">
      <c r="A34" s="2">
        <v>30013</v>
      </c>
      <c r="B34" s="2" t="s">
        <v>296</v>
      </c>
      <c r="C34" s="3" t="s">
        <v>76</v>
      </c>
      <c r="D34" s="2" t="s">
        <v>425</v>
      </c>
      <c r="E34" s="2"/>
      <c r="F34" s="2"/>
      <c r="G34" s="2">
        <v>3</v>
      </c>
      <c r="H34" s="2" t="s">
        <v>10</v>
      </c>
      <c r="I34" s="2">
        <v>80</v>
      </c>
      <c r="J34" s="2">
        <v>100</v>
      </c>
      <c r="K34" s="2" t="s">
        <v>44</v>
      </c>
      <c r="L34" s="2" t="s">
        <v>234</v>
      </c>
      <c r="M34" s="2" t="s">
        <v>226</v>
      </c>
      <c r="N34" s="2">
        <v>600</v>
      </c>
      <c r="O34" s="2">
        <v>1</v>
      </c>
      <c r="P34" s="2" t="s">
        <v>233</v>
      </c>
      <c r="Q34" s="2" t="s">
        <v>226</v>
      </c>
      <c r="R34" s="2">
        <v>25</v>
      </c>
      <c r="S34" s="2">
        <v>2400</v>
      </c>
      <c r="T34" s="2">
        <v>3600</v>
      </c>
      <c r="U34" s="2" t="s">
        <v>234</v>
      </c>
      <c r="V34" s="2" t="s">
        <v>226</v>
      </c>
      <c r="W34" s="2">
        <v>25</v>
      </c>
      <c r="X34" s="2">
        <v>300</v>
      </c>
      <c r="Y34" s="2">
        <v>420</v>
      </c>
      <c r="Z34" s="2" t="s">
        <v>231</v>
      </c>
      <c r="AA34" s="2" t="s">
        <v>226</v>
      </c>
      <c r="AB34" s="2">
        <v>25</v>
      </c>
      <c r="AC34" s="2">
        <v>300</v>
      </c>
      <c r="AD34" s="2">
        <v>420</v>
      </c>
      <c r="AE34" s="2" t="s">
        <v>232</v>
      </c>
      <c r="AF34" s="2" t="s">
        <v>226</v>
      </c>
      <c r="AG34" s="2">
        <v>25</v>
      </c>
      <c r="AH34" s="2">
        <v>300</v>
      </c>
      <c r="AI34" s="2">
        <v>420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ht="16.5" x14ac:dyDescent="0.3">
      <c r="A35" s="2">
        <v>30014</v>
      </c>
      <c r="B35" s="2" t="s">
        <v>297</v>
      </c>
      <c r="C35" s="3" t="s">
        <v>77</v>
      </c>
      <c r="D35" s="2" t="s">
        <v>425</v>
      </c>
      <c r="E35" s="2"/>
      <c r="F35" s="2"/>
      <c r="G35" s="2">
        <v>4</v>
      </c>
      <c r="H35" s="2" t="s">
        <v>10</v>
      </c>
      <c r="I35" s="2">
        <v>320</v>
      </c>
      <c r="J35" s="2">
        <v>400</v>
      </c>
      <c r="K35" s="2" t="s">
        <v>44</v>
      </c>
      <c r="L35" s="2" t="s">
        <v>234</v>
      </c>
      <c r="M35" s="2" t="s">
        <v>226</v>
      </c>
      <c r="N35" s="2">
        <v>800</v>
      </c>
      <c r="O35" s="2">
        <v>1</v>
      </c>
      <c r="P35" s="2" t="s">
        <v>233</v>
      </c>
      <c r="Q35" s="2" t="s">
        <v>226</v>
      </c>
      <c r="R35" s="2">
        <v>25</v>
      </c>
      <c r="S35" s="2">
        <v>3400</v>
      </c>
      <c r="T35" s="2">
        <v>4400</v>
      </c>
      <c r="U35" s="2" t="s">
        <v>234</v>
      </c>
      <c r="V35" s="2" t="s">
        <v>226</v>
      </c>
      <c r="W35" s="2">
        <v>25</v>
      </c>
      <c r="X35" s="2">
        <v>400</v>
      </c>
      <c r="Y35" s="2">
        <v>520</v>
      </c>
      <c r="Z35" s="2" t="s">
        <v>231</v>
      </c>
      <c r="AA35" s="2" t="s">
        <v>226</v>
      </c>
      <c r="AB35" s="2">
        <v>25</v>
      </c>
      <c r="AC35" s="2">
        <v>400</v>
      </c>
      <c r="AD35" s="2">
        <v>520</v>
      </c>
      <c r="AE35" s="2" t="s">
        <v>232</v>
      </c>
      <c r="AF35" s="2" t="s">
        <v>226</v>
      </c>
      <c r="AG35" s="2">
        <v>25</v>
      </c>
      <c r="AH35" s="2">
        <v>400</v>
      </c>
      <c r="AI35" s="2">
        <v>520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ht="16.5" x14ac:dyDescent="0.3">
      <c r="A36" s="2">
        <v>30015</v>
      </c>
      <c r="B36" s="2" t="s">
        <v>298</v>
      </c>
      <c r="C36" s="3" t="s">
        <v>78</v>
      </c>
      <c r="D36" s="2" t="s">
        <v>425</v>
      </c>
      <c r="E36" s="2"/>
      <c r="F36" s="2"/>
      <c r="G36" s="2">
        <v>5</v>
      </c>
      <c r="H36" s="2" t="s">
        <v>10</v>
      </c>
      <c r="I36" s="2">
        <v>800</v>
      </c>
      <c r="J36" s="2">
        <v>1600</v>
      </c>
      <c r="K36" s="2" t="s">
        <v>44</v>
      </c>
      <c r="L36" s="2" t="s">
        <v>234</v>
      </c>
      <c r="M36" s="2" t="s">
        <v>226</v>
      </c>
      <c r="N36" s="2">
        <v>1000</v>
      </c>
      <c r="O36" s="2">
        <v>1</v>
      </c>
      <c r="P36" s="2" t="s">
        <v>233</v>
      </c>
      <c r="Q36" s="2" t="s">
        <v>226</v>
      </c>
      <c r="R36" s="2">
        <v>25</v>
      </c>
      <c r="S36" s="2">
        <v>4200</v>
      </c>
      <c r="T36" s="2">
        <v>5200</v>
      </c>
      <c r="U36" s="2" t="s">
        <v>234</v>
      </c>
      <c r="V36" s="2" t="s">
        <v>226</v>
      </c>
      <c r="W36" s="2">
        <v>25</v>
      </c>
      <c r="X36" s="2">
        <v>500</v>
      </c>
      <c r="Y36" s="2">
        <v>600</v>
      </c>
      <c r="Z36" s="2" t="s">
        <v>231</v>
      </c>
      <c r="AA36" s="2" t="s">
        <v>226</v>
      </c>
      <c r="AB36" s="2">
        <v>25</v>
      </c>
      <c r="AC36" s="2">
        <v>500</v>
      </c>
      <c r="AD36" s="2">
        <v>600</v>
      </c>
      <c r="AE36" s="2" t="s">
        <v>232</v>
      </c>
      <c r="AF36" s="2" t="s">
        <v>226</v>
      </c>
      <c r="AG36" s="2">
        <v>25</v>
      </c>
      <c r="AH36" s="2">
        <v>500</v>
      </c>
      <c r="AI36" s="2">
        <v>600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ht="16.5" x14ac:dyDescent="0.3">
      <c r="A37" s="2">
        <v>40001</v>
      </c>
      <c r="B37" s="2" t="s">
        <v>299</v>
      </c>
      <c r="C37" s="3" t="s">
        <v>79</v>
      </c>
      <c r="D37" s="2" t="s">
        <v>430</v>
      </c>
      <c r="E37" s="2"/>
      <c r="F37" s="2"/>
      <c r="G37" s="2">
        <v>1</v>
      </c>
      <c r="H37" s="2" t="s">
        <v>12</v>
      </c>
      <c r="I37" s="2">
        <v>10</v>
      </c>
      <c r="J37" s="2">
        <v>15</v>
      </c>
      <c r="K37" s="2" t="s">
        <v>44</v>
      </c>
      <c r="L37" s="2" t="s">
        <v>235</v>
      </c>
      <c r="M37" s="2" t="s">
        <v>226</v>
      </c>
      <c r="N37" s="2">
        <v>100</v>
      </c>
      <c r="O37" s="2">
        <v>2</v>
      </c>
      <c r="P37" s="2" t="s">
        <v>233</v>
      </c>
      <c r="Q37" s="2" t="s">
        <v>226</v>
      </c>
      <c r="R37" s="2">
        <v>17</v>
      </c>
      <c r="S37" s="2">
        <v>800</v>
      </c>
      <c r="T37" s="2">
        <v>1600</v>
      </c>
      <c r="U37" s="2" t="s">
        <v>234</v>
      </c>
      <c r="V37" s="2" t="s">
        <v>226</v>
      </c>
      <c r="W37" s="2">
        <v>17</v>
      </c>
      <c r="X37" s="2">
        <v>100</v>
      </c>
      <c r="Y37" s="2">
        <v>220.00000000000003</v>
      </c>
      <c r="Z37" s="2" t="s">
        <v>231</v>
      </c>
      <c r="AA37" s="2" t="s">
        <v>226</v>
      </c>
      <c r="AB37" s="2">
        <v>17</v>
      </c>
      <c r="AC37" s="2">
        <v>100</v>
      </c>
      <c r="AD37" s="2">
        <v>220.00000000000003</v>
      </c>
      <c r="AE37" s="2" t="s">
        <v>232</v>
      </c>
      <c r="AF37" s="2" t="s">
        <v>226</v>
      </c>
      <c r="AG37" s="2">
        <v>17</v>
      </c>
      <c r="AH37" s="2">
        <v>100</v>
      </c>
      <c r="AI37" s="2">
        <v>220.00000000000003</v>
      </c>
      <c r="AJ37" s="2" t="s">
        <v>228</v>
      </c>
      <c r="AK37" s="2" t="s">
        <v>226</v>
      </c>
      <c r="AL37" s="2">
        <v>12</v>
      </c>
      <c r="AM37" s="2">
        <v>50</v>
      </c>
      <c r="AN37" s="2">
        <v>110.00000000000001</v>
      </c>
      <c r="AO37" s="2" t="s">
        <v>229</v>
      </c>
      <c r="AP37" s="2" t="s">
        <v>226</v>
      </c>
      <c r="AQ37" s="2">
        <v>12</v>
      </c>
      <c r="AR37" s="2">
        <v>80</v>
      </c>
      <c r="AS37" s="2">
        <v>140</v>
      </c>
      <c r="AT37" s="2" t="s">
        <v>230</v>
      </c>
      <c r="AU37" s="2" t="s">
        <v>226</v>
      </c>
      <c r="AV37" s="2">
        <v>8</v>
      </c>
      <c r="AW37" s="2">
        <v>1000</v>
      </c>
      <c r="AX37" s="2">
        <v>3000</v>
      </c>
    </row>
    <row r="38" spans="1:50" ht="16.5" x14ac:dyDescent="0.3">
      <c r="A38" s="2">
        <v>40002</v>
      </c>
      <c r="B38" s="2" t="s">
        <v>300</v>
      </c>
      <c r="C38" s="3" t="s">
        <v>80</v>
      </c>
      <c r="D38" s="2" t="s">
        <v>430</v>
      </c>
      <c r="E38" s="2"/>
      <c r="F38" s="2"/>
      <c r="G38" s="2">
        <v>2</v>
      </c>
      <c r="H38" s="2" t="s">
        <v>12</v>
      </c>
      <c r="I38" s="2">
        <v>20</v>
      </c>
      <c r="J38" s="2">
        <v>38</v>
      </c>
      <c r="K38" s="2" t="s">
        <v>44</v>
      </c>
      <c r="L38" s="2" t="s">
        <v>235</v>
      </c>
      <c r="M38" s="2" t="s">
        <v>226</v>
      </c>
      <c r="N38" s="2">
        <v>200</v>
      </c>
      <c r="O38" s="2">
        <v>2</v>
      </c>
      <c r="P38" s="2" t="s">
        <v>233</v>
      </c>
      <c r="Q38" s="2" t="s">
        <v>226</v>
      </c>
      <c r="R38" s="2">
        <v>17</v>
      </c>
      <c r="S38" s="2">
        <v>1400</v>
      </c>
      <c r="T38" s="2">
        <v>2600</v>
      </c>
      <c r="U38" s="2" t="s">
        <v>234</v>
      </c>
      <c r="V38" s="2" t="s">
        <v>226</v>
      </c>
      <c r="W38" s="2">
        <v>17</v>
      </c>
      <c r="X38" s="2">
        <v>200</v>
      </c>
      <c r="Y38" s="2">
        <v>320</v>
      </c>
      <c r="Z38" s="2" t="s">
        <v>231</v>
      </c>
      <c r="AA38" s="2" t="s">
        <v>226</v>
      </c>
      <c r="AB38" s="2">
        <v>17</v>
      </c>
      <c r="AC38" s="2">
        <v>200</v>
      </c>
      <c r="AD38" s="2">
        <v>320</v>
      </c>
      <c r="AE38" s="2" t="s">
        <v>232</v>
      </c>
      <c r="AF38" s="2" t="s">
        <v>226</v>
      </c>
      <c r="AG38" s="2">
        <v>17</v>
      </c>
      <c r="AH38" s="2">
        <v>200</v>
      </c>
      <c r="AI38" s="2">
        <v>320</v>
      </c>
      <c r="AJ38" s="2" t="s">
        <v>228</v>
      </c>
      <c r="AK38" s="2" t="s">
        <v>226</v>
      </c>
      <c r="AL38" s="2">
        <v>12</v>
      </c>
      <c r="AM38" s="2">
        <v>90</v>
      </c>
      <c r="AN38" s="2">
        <v>140</v>
      </c>
      <c r="AO38" s="2" t="s">
        <v>229</v>
      </c>
      <c r="AP38" s="2" t="s">
        <v>226</v>
      </c>
      <c r="AQ38" s="2">
        <v>12</v>
      </c>
      <c r="AR38" s="2">
        <v>130</v>
      </c>
      <c r="AS38" s="2">
        <v>170</v>
      </c>
      <c r="AT38" s="2" t="s">
        <v>230</v>
      </c>
      <c r="AU38" s="2" t="s">
        <v>226</v>
      </c>
      <c r="AV38" s="2">
        <v>8</v>
      </c>
      <c r="AW38" s="2">
        <v>1000</v>
      </c>
      <c r="AX38" s="2">
        <v>4000</v>
      </c>
    </row>
    <row r="39" spans="1:50" ht="16.5" x14ac:dyDescent="0.3">
      <c r="A39" s="2">
        <v>40003</v>
      </c>
      <c r="B39" s="2" t="s">
        <v>301</v>
      </c>
      <c r="C39" s="3" t="s">
        <v>81</v>
      </c>
      <c r="D39" s="2" t="s">
        <v>430</v>
      </c>
      <c r="E39" s="2"/>
      <c r="F39" s="2"/>
      <c r="G39" s="2">
        <v>3</v>
      </c>
      <c r="H39" s="2" t="s">
        <v>12</v>
      </c>
      <c r="I39" s="2">
        <v>80</v>
      </c>
      <c r="J39" s="2">
        <v>150</v>
      </c>
      <c r="K39" s="2" t="s">
        <v>44</v>
      </c>
      <c r="L39" s="2" t="s">
        <v>235</v>
      </c>
      <c r="M39" s="2" t="s">
        <v>226</v>
      </c>
      <c r="N39" s="2">
        <v>300</v>
      </c>
      <c r="O39" s="2">
        <v>2</v>
      </c>
      <c r="P39" s="2" t="s">
        <v>233</v>
      </c>
      <c r="Q39" s="2" t="s">
        <v>226</v>
      </c>
      <c r="R39" s="2">
        <v>17</v>
      </c>
      <c r="S39" s="2">
        <v>2400</v>
      </c>
      <c r="T39" s="2">
        <v>3600</v>
      </c>
      <c r="U39" s="2" t="s">
        <v>234</v>
      </c>
      <c r="V39" s="2" t="s">
        <v>226</v>
      </c>
      <c r="W39" s="2">
        <v>17</v>
      </c>
      <c r="X39" s="2">
        <v>300</v>
      </c>
      <c r="Y39" s="2">
        <v>420</v>
      </c>
      <c r="Z39" s="2" t="s">
        <v>231</v>
      </c>
      <c r="AA39" s="2" t="s">
        <v>226</v>
      </c>
      <c r="AB39" s="2">
        <v>17</v>
      </c>
      <c r="AC39" s="2">
        <v>300</v>
      </c>
      <c r="AD39" s="2">
        <v>420</v>
      </c>
      <c r="AE39" s="2" t="s">
        <v>232</v>
      </c>
      <c r="AF39" s="2" t="s">
        <v>226</v>
      </c>
      <c r="AG39" s="2">
        <v>17</v>
      </c>
      <c r="AH39" s="2">
        <v>300</v>
      </c>
      <c r="AI39" s="2">
        <v>420</v>
      </c>
      <c r="AJ39" s="2" t="s">
        <v>228</v>
      </c>
      <c r="AK39" s="2" t="s">
        <v>226</v>
      </c>
      <c r="AL39" s="2">
        <v>12</v>
      </c>
      <c r="AM39" s="2">
        <v>120</v>
      </c>
      <c r="AN39" s="2">
        <v>170</v>
      </c>
      <c r="AO39" s="2" t="s">
        <v>229</v>
      </c>
      <c r="AP39" s="2" t="s">
        <v>226</v>
      </c>
      <c r="AQ39" s="2">
        <v>12</v>
      </c>
      <c r="AR39" s="2">
        <v>160</v>
      </c>
      <c r="AS39" s="2">
        <v>200</v>
      </c>
      <c r="AT39" s="2" t="s">
        <v>230</v>
      </c>
      <c r="AU39" s="2" t="s">
        <v>226</v>
      </c>
      <c r="AV39" s="2">
        <v>8</v>
      </c>
      <c r="AW39" s="2">
        <v>2000</v>
      </c>
      <c r="AX39" s="2">
        <v>4000</v>
      </c>
    </row>
    <row r="40" spans="1:50" ht="16.5" x14ac:dyDescent="0.3">
      <c r="A40" s="2">
        <v>40004</v>
      </c>
      <c r="B40" s="2" t="s">
        <v>302</v>
      </c>
      <c r="C40" s="3" t="s">
        <v>82</v>
      </c>
      <c r="D40" s="2" t="s">
        <v>430</v>
      </c>
      <c r="E40" s="2"/>
      <c r="F40" s="2"/>
      <c r="G40" s="2">
        <v>4</v>
      </c>
      <c r="H40" s="2" t="s">
        <v>12</v>
      </c>
      <c r="I40" s="2">
        <v>320</v>
      </c>
      <c r="J40" s="2">
        <v>600</v>
      </c>
      <c r="K40" s="2" t="s">
        <v>44</v>
      </c>
      <c r="L40" s="2" t="s">
        <v>235</v>
      </c>
      <c r="M40" s="2" t="s">
        <v>226</v>
      </c>
      <c r="N40" s="2">
        <v>400</v>
      </c>
      <c r="O40" s="2">
        <v>2</v>
      </c>
      <c r="P40" s="2" t="s">
        <v>233</v>
      </c>
      <c r="Q40" s="2" t="s">
        <v>226</v>
      </c>
      <c r="R40" s="2">
        <v>17</v>
      </c>
      <c r="S40" s="2">
        <v>3400</v>
      </c>
      <c r="T40" s="2">
        <v>4400</v>
      </c>
      <c r="U40" s="2" t="s">
        <v>234</v>
      </c>
      <c r="V40" s="2" t="s">
        <v>226</v>
      </c>
      <c r="W40" s="2">
        <v>17</v>
      </c>
      <c r="X40" s="2">
        <v>400</v>
      </c>
      <c r="Y40" s="2">
        <v>520</v>
      </c>
      <c r="Z40" s="2" t="s">
        <v>231</v>
      </c>
      <c r="AA40" s="2" t="s">
        <v>226</v>
      </c>
      <c r="AB40" s="2">
        <v>17</v>
      </c>
      <c r="AC40" s="2">
        <v>400</v>
      </c>
      <c r="AD40" s="2">
        <v>520</v>
      </c>
      <c r="AE40" s="2" t="s">
        <v>232</v>
      </c>
      <c r="AF40" s="2" t="s">
        <v>226</v>
      </c>
      <c r="AG40" s="2">
        <v>17</v>
      </c>
      <c r="AH40" s="2">
        <v>400</v>
      </c>
      <c r="AI40" s="2">
        <v>520</v>
      </c>
      <c r="AJ40" s="2" t="s">
        <v>228</v>
      </c>
      <c r="AK40" s="2" t="s">
        <v>226</v>
      </c>
      <c r="AL40" s="2">
        <v>12</v>
      </c>
      <c r="AM40" s="2">
        <v>150</v>
      </c>
      <c r="AN40" s="2">
        <v>200</v>
      </c>
      <c r="AO40" s="2" t="s">
        <v>229</v>
      </c>
      <c r="AP40" s="2" t="s">
        <v>226</v>
      </c>
      <c r="AQ40" s="2">
        <v>12</v>
      </c>
      <c r="AR40" s="2">
        <v>190</v>
      </c>
      <c r="AS40" s="2">
        <v>229.99999999999997</v>
      </c>
      <c r="AT40" s="2" t="s">
        <v>230</v>
      </c>
      <c r="AU40" s="2" t="s">
        <v>226</v>
      </c>
      <c r="AV40" s="2">
        <v>8</v>
      </c>
      <c r="AW40" s="2">
        <v>2000</v>
      </c>
      <c r="AX40" s="2">
        <v>5000</v>
      </c>
    </row>
    <row r="41" spans="1:50" ht="16.5" x14ac:dyDescent="0.3">
      <c r="A41" s="2">
        <v>40005</v>
      </c>
      <c r="B41" s="2" t="s">
        <v>303</v>
      </c>
      <c r="C41" s="3" t="s">
        <v>83</v>
      </c>
      <c r="D41" s="2" t="s">
        <v>430</v>
      </c>
      <c r="E41" s="2"/>
      <c r="F41" s="2"/>
      <c r="G41" s="2">
        <v>5</v>
      </c>
      <c r="H41" s="2" t="s">
        <v>12</v>
      </c>
      <c r="I41" s="2">
        <v>800</v>
      </c>
      <c r="J41" s="2">
        <v>2400</v>
      </c>
      <c r="K41" s="2" t="s">
        <v>44</v>
      </c>
      <c r="L41" s="2" t="s">
        <v>235</v>
      </c>
      <c r="M41" s="2" t="s">
        <v>226</v>
      </c>
      <c r="N41" s="2">
        <v>500</v>
      </c>
      <c r="O41" s="2">
        <v>2</v>
      </c>
      <c r="P41" s="2" t="s">
        <v>233</v>
      </c>
      <c r="Q41" s="2" t="s">
        <v>226</v>
      </c>
      <c r="R41" s="2">
        <v>17</v>
      </c>
      <c r="S41" s="2">
        <v>4200</v>
      </c>
      <c r="T41" s="2">
        <v>5200</v>
      </c>
      <c r="U41" s="2" t="s">
        <v>234</v>
      </c>
      <c r="V41" s="2" t="s">
        <v>226</v>
      </c>
      <c r="W41" s="2">
        <v>17</v>
      </c>
      <c r="X41" s="2">
        <v>500</v>
      </c>
      <c r="Y41" s="2">
        <v>600</v>
      </c>
      <c r="Z41" s="2" t="s">
        <v>231</v>
      </c>
      <c r="AA41" s="2" t="s">
        <v>226</v>
      </c>
      <c r="AB41" s="2">
        <v>17</v>
      </c>
      <c r="AC41" s="2">
        <v>500</v>
      </c>
      <c r="AD41" s="2">
        <v>600</v>
      </c>
      <c r="AE41" s="2" t="s">
        <v>232</v>
      </c>
      <c r="AF41" s="2" t="s">
        <v>226</v>
      </c>
      <c r="AG41" s="2">
        <v>17</v>
      </c>
      <c r="AH41" s="2">
        <v>500</v>
      </c>
      <c r="AI41" s="2">
        <v>600</v>
      </c>
      <c r="AJ41" s="2" t="s">
        <v>228</v>
      </c>
      <c r="AK41" s="2" t="s">
        <v>226</v>
      </c>
      <c r="AL41" s="2">
        <v>12</v>
      </c>
      <c r="AM41" s="2">
        <v>190</v>
      </c>
      <c r="AN41" s="2">
        <v>240</v>
      </c>
      <c r="AO41" s="2" t="s">
        <v>229</v>
      </c>
      <c r="AP41" s="2" t="s">
        <v>226</v>
      </c>
      <c r="AQ41" s="2">
        <v>12</v>
      </c>
      <c r="AR41" s="2">
        <v>220.00000000000003</v>
      </c>
      <c r="AS41" s="2">
        <v>290</v>
      </c>
      <c r="AT41" s="2" t="s">
        <v>230</v>
      </c>
      <c r="AU41" s="2" t="s">
        <v>226</v>
      </c>
      <c r="AV41" s="2">
        <v>8</v>
      </c>
      <c r="AW41" s="2">
        <v>3000</v>
      </c>
      <c r="AX41" s="2">
        <v>6000</v>
      </c>
    </row>
    <row r="42" spans="1:50" ht="16.5" x14ac:dyDescent="0.3">
      <c r="A42" s="2">
        <v>40011</v>
      </c>
      <c r="B42" s="2" t="s">
        <v>304</v>
      </c>
      <c r="C42" s="3" t="s">
        <v>84</v>
      </c>
      <c r="D42" s="2" t="s">
        <v>430</v>
      </c>
      <c r="E42" s="2"/>
      <c r="F42" s="2"/>
      <c r="G42" s="2">
        <v>1</v>
      </c>
      <c r="H42" s="2" t="s">
        <v>12</v>
      </c>
      <c r="I42" s="2">
        <v>10</v>
      </c>
      <c r="J42" s="2">
        <v>15</v>
      </c>
      <c r="K42" s="2" t="s">
        <v>44</v>
      </c>
      <c r="L42" s="2" t="s">
        <v>236</v>
      </c>
      <c r="M42" s="2" t="s">
        <v>226</v>
      </c>
      <c r="N42" s="2">
        <v>20</v>
      </c>
      <c r="O42" s="2">
        <v>2</v>
      </c>
      <c r="P42" s="2" t="s">
        <v>233</v>
      </c>
      <c r="Q42" s="2" t="s">
        <v>226</v>
      </c>
      <c r="R42" s="2">
        <v>17</v>
      </c>
      <c r="S42" s="2">
        <v>800</v>
      </c>
      <c r="T42" s="2">
        <v>1600</v>
      </c>
      <c r="U42" s="2" t="s">
        <v>234</v>
      </c>
      <c r="V42" s="2" t="s">
        <v>226</v>
      </c>
      <c r="W42" s="2">
        <v>17</v>
      </c>
      <c r="X42" s="2">
        <v>100</v>
      </c>
      <c r="Y42" s="2">
        <v>220.00000000000003</v>
      </c>
      <c r="Z42" s="2" t="s">
        <v>231</v>
      </c>
      <c r="AA42" s="2" t="s">
        <v>226</v>
      </c>
      <c r="AB42" s="2">
        <v>17</v>
      </c>
      <c r="AC42" s="2">
        <v>100</v>
      </c>
      <c r="AD42" s="2">
        <v>220.00000000000003</v>
      </c>
      <c r="AE42" s="2" t="s">
        <v>232</v>
      </c>
      <c r="AF42" s="2" t="s">
        <v>226</v>
      </c>
      <c r="AG42" s="2">
        <v>17</v>
      </c>
      <c r="AH42" s="2">
        <v>100</v>
      </c>
      <c r="AI42" s="2">
        <v>220.00000000000003</v>
      </c>
      <c r="AJ42" s="2" t="s">
        <v>228</v>
      </c>
      <c r="AK42" s="2" t="s">
        <v>226</v>
      </c>
      <c r="AL42" s="2">
        <v>12</v>
      </c>
      <c r="AM42" s="2">
        <v>50</v>
      </c>
      <c r="AN42" s="2">
        <v>110.00000000000001</v>
      </c>
      <c r="AO42" s="2" t="s">
        <v>229</v>
      </c>
      <c r="AP42" s="2" t="s">
        <v>226</v>
      </c>
      <c r="AQ42" s="2">
        <v>12</v>
      </c>
      <c r="AR42" s="2">
        <v>80</v>
      </c>
      <c r="AS42" s="2">
        <v>140</v>
      </c>
      <c r="AT42" s="2" t="s">
        <v>230</v>
      </c>
      <c r="AU42" s="2" t="s">
        <v>226</v>
      </c>
      <c r="AV42" s="2">
        <v>8</v>
      </c>
      <c r="AW42" s="2">
        <v>1000</v>
      </c>
      <c r="AX42" s="2">
        <v>3000</v>
      </c>
    </row>
    <row r="43" spans="1:50" ht="16.5" x14ac:dyDescent="0.3">
      <c r="A43" s="2">
        <v>40012</v>
      </c>
      <c r="B43" s="2" t="s">
        <v>305</v>
      </c>
      <c r="C43" s="3" t="s">
        <v>85</v>
      </c>
      <c r="D43" s="2" t="s">
        <v>430</v>
      </c>
      <c r="E43" s="2"/>
      <c r="F43" s="2"/>
      <c r="G43" s="2">
        <v>2</v>
      </c>
      <c r="H43" s="2" t="s">
        <v>12</v>
      </c>
      <c r="I43" s="2">
        <v>20</v>
      </c>
      <c r="J43" s="2">
        <v>38</v>
      </c>
      <c r="K43" s="2" t="s">
        <v>44</v>
      </c>
      <c r="L43" s="2" t="s">
        <v>236</v>
      </c>
      <c r="M43" s="2" t="s">
        <v>226</v>
      </c>
      <c r="N43" s="2">
        <v>40</v>
      </c>
      <c r="O43" s="2">
        <v>2</v>
      </c>
      <c r="P43" s="2" t="s">
        <v>233</v>
      </c>
      <c r="Q43" s="2" t="s">
        <v>226</v>
      </c>
      <c r="R43" s="2">
        <v>17</v>
      </c>
      <c r="S43" s="2">
        <v>1400</v>
      </c>
      <c r="T43" s="2">
        <v>2600</v>
      </c>
      <c r="U43" s="2" t="s">
        <v>234</v>
      </c>
      <c r="V43" s="2" t="s">
        <v>226</v>
      </c>
      <c r="W43" s="2">
        <v>17</v>
      </c>
      <c r="X43" s="2">
        <v>200</v>
      </c>
      <c r="Y43" s="2">
        <v>320</v>
      </c>
      <c r="Z43" s="2" t="s">
        <v>231</v>
      </c>
      <c r="AA43" s="2" t="s">
        <v>226</v>
      </c>
      <c r="AB43" s="2">
        <v>17</v>
      </c>
      <c r="AC43" s="2">
        <v>200</v>
      </c>
      <c r="AD43" s="2">
        <v>320</v>
      </c>
      <c r="AE43" s="2" t="s">
        <v>232</v>
      </c>
      <c r="AF43" s="2" t="s">
        <v>226</v>
      </c>
      <c r="AG43" s="2">
        <v>17</v>
      </c>
      <c r="AH43" s="2">
        <v>200</v>
      </c>
      <c r="AI43" s="2">
        <v>320</v>
      </c>
      <c r="AJ43" s="2" t="s">
        <v>228</v>
      </c>
      <c r="AK43" s="2" t="s">
        <v>226</v>
      </c>
      <c r="AL43" s="2">
        <v>12</v>
      </c>
      <c r="AM43" s="2">
        <v>90</v>
      </c>
      <c r="AN43" s="2">
        <v>140</v>
      </c>
      <c r="AO43" s="2" t="s">
        <v>229</v>
      </c>
      <c r="AP43" s="2" t="s">
        <v>226</v>
      </c>
      <c r="AQ43" s="2">
        <v>12</v>
      </c>
      <c r="AR43" s="2">
        <v>130</v>
      </c>
      <c r="AS43" s="2">
        <v>170</v>
      </c>
      <c r="AT43" s="2" t="s">
        <v>230</v>
      </c>
      <c r="AU43" s="2" t="s">
        <v>226</v>
      </c>
      <c r="AV43" s="2">
        <v>8</v>
      </c>
      <c r="AW43" s="2">
        <v>1000</v>
      </c>
      <c r="AX43" s="2">
        <v>4000</v>
      </c>
    </row>
    <row r="44" spans="1:50" ht="16.5" x14ac:dyDescent="0.3">
      <c r="A44" s="2">
        <v>40013</v>
      </c>
      <c r="B44" s="2" t="s">
        <v>306</v>
      </c>
      <c r="C44" s="3" t="s">
        <v>86</v>
      </c>
      <c r="D44" s="2" t="s">
        <v>430</v>
      </c>
      <c r="E44" s="2"/>
      <c r="F44" s="2"/>
      <c r="G44" s="2">
        <v>3</v>
      </c>
      <c r="H44" s="2" t="s">
        <v>12</v>
      </c>
      <c r="I44" s="2">
        <v>80</v>
      </c>
      <c r="J44" s="2">
        <v>150</v>
      </c>
      <c r="K44" s="2" t="s">
        <v>44</v>
      </c>
      <c r="L44" s="2" t="s">
        <v>236</v>
      </c>
      <c r="M44" s="2" t="s">
        <v>226</v>
      </c>
      <c r="N44" s="2">
        <v>60</v>
      </c>
      <c r="O44" s="2">
        <v>2</v>
      </c>
      <c r="P44" s="2" t="s">
        <v>233</v>
      </c>
      <c r="Q44" s="2" t="s">
        <v>226</v>
      </c>
      <c r="R44" s="2">
        <v>17</v>
      </c>
      <c r="S44" s="2">
        <v>2400</v>
      </c>
      <c r="T44" s="2">
        <v>3600</v>
      </c>
      <c r="U44" s="2" t="s">
        <v>234</v>
      </c>
      <c r="V44" s="2" t="s">
        <v>226</v>
      </c>
      <c r="W44" s="2">
        <v>17</v>
      </c>
      <c r="X44" s="2">
        <v>300</v>
      </c>
      <c r="Y44" s="2">
        <v>420</v>
      </c>
      <c r="Z44" s="2" t="s">
        <v>231</v>
      </c>
      <c r="AA44" s="2" t="s">
        <v>226</v>
      </c>
      <c r="AB44" s="2">
        <v>17</v>
      </c>
      <c r="AC44" s="2">
        <v>300</v>
      </c>
      <c r="AD44" s="2">
        <v>420</v>
      </c>
      <c r="AE44" s="2" t="s">
        <v>232</v>
      </c>
      <c r="AF44" s="2" t="s">
        <v>226</v>
      </c>
      <c r="AG44" s="2">
        <v>17</v>
      </c>
      <c r="AH44" s="2">
        <v>300</v>
      </c>
      <c r="AI44" s="2">
        <v>420</v>
      </c>
      <c r="AJ44" s="2" t="s">
        <v>228</v>
      </c>
      <c r="AK44" s="2" t="s">
        <v>226</v>
      </c>
      <c r="AL44" s="2">
        <v>12</v>
      </c>
      <c r="AM44" s="2">
        <v>120</v>
      </c>
      <c r="AN44" s="2">
        <v>170</v>
      </c>
      <c r="AO44" s="2" t="s">
        <v>229</v>
      </c>
      <c r="AP44" s="2" t="s">
        <v>226</v>
      </c>
      <c r="AQ44" s="2">
        <v>12</v>
      </c>
      <c r="AR44" s="2">
        <v>160</v>
      </c>
      <c r="AS44" s="2">
        <v>200</v>
      </c>
      <c r="AT44" s="2" t="s">
        <v>230</v>
      </c>
      <c r="AU44" s="2" t="s">
        <v>226</v>
      </c>
      <c r="AV44" s="2">
        <v>8</v>
      </c>
      <c r="AW44" s="2">
        <v>2000</v>
      </c>
      <c r="AX44" s="2">
        <v>4000</v>
      </c>
    </row>
    <row r="45" spans="1:50" ht="16.5" x14ac:dyDescent="0.3">
      <c r="A45" s="2">
        <v>40014</v>
      </c>
      <c r="B45" s="2" t="s">
        <v>307</v>
      </c>
      <c r="C45" s="3" t="s">
        <v>87</v>
      </c>
      <c r="D45" s="2" t="s">
        <v>430</v>
      </c>
      <c r="E45" s="2"/>
      <c r="F45" s="2"/>
      <c r="G45" s="2">
        <v>4</v>
      </c>
      <c r="H45" s="2" t="s">
        <v>12</v>
      </c>
      <c r="I45" s="2">
        <v>320</v>
      </c>
      <c r="J45" s="2">
        <v>600</v>
      </c>
      <c r="K45" s="2" t="s">
        <v>44</v>
      </c>
      <c r="L45" s="2" t="s">
        <v>236</v>
      </c>
      <c r="M45" s="2" t="s">
        <v>226</v>
      </c>
      <c r="N45" s="2">
        <v>80</v>
      </c>
      <c r="O45" s="2">
        <v>2</v>
      </c>
      <c r="P45" s="2" t="s">
        <v>233</v>
      </c>
      <c r="Q45" s="2" t="s">
        <v>226</v>
      </c>
      <c r="R45" s="2">
        <v>17</v>
      </c>
      <c r="S45" s="2">
        <v>3400</v>
      </c>
      <c r="T45" s="2">
        <v>4400</v>
      </c>
      <c r="U45" s="2" t="s">
        <v>234</v>
      </c>
      <c r="V45" s="2" t="s">
        <v>226</v>
      </c>
      <c r="W45" s="2">
        <v>17</v>
      </c>
      <c r="X45" s="2">
        <v>400</v>
      </c>
      <c r="Y45" s="2">
        <v>520</v>
      </c>
      <c r="Z45" s="2" t="s">
        <v>231</v>
      </c>
      <c r="AA45" s="2" t="s">
        <v>226</v>
      </c>
      <c r="AB45" s="2">
        <v>17</v>
      </c>
      <c r="AC45" s="2">
        <v>400</v>
      </c>
      <c r="AD45" s="2">
        <v>520</v>
      </c>
      <c r="AE45" s="2" t="s">
        <v>232</v>
      </c>
      <c r="AF45" s="2" t="s">
        <v>226</v>
      </c>
      <c r="AG45" s="2">
        <v>17</v>
      </c>
      <c r="AH45" s="2">
        <v>400</v>
      </c>
      <c r="AI45" s="2">
        <v>520</v>
      </c>
      <c r="AJ45" s="2" t="s">
        <v>228</v>
      </c>
      <c r="AK45" s="2" t="s">
        <v>226</v>
      </c>
      <c r="AL45" s="2">
        <v>12</v>
      </c>
      <c r="AM45" s="2">
        <v>150</v>
      </c>
      <c r="AN45" s="2">
        <v>200</v>
      </c>
      <c r="AO45" s="2" t="s">
        <v>229</v>
      </c>
      <c r="AP45" s="2" t="s">
        <v>226</v>
      </c>
      <c r="AQ45" s="2">
        <v>12</v>
      </c>
      <c r="AR45" s="2">
        <v>190</v>
      </c>
      <c r="AS45" s="2">
        <v>229.99999999999997</v>
      </c>
      <c r="AT45" s="2" t="s">
        <v>230</v>
      </c>
      <c r="AU45" s="2" t="s">
        <v>226</v>
      </c>
      <c r="AV45" s="2">
        <v>8</v>
      </c>
      <c r="AW45" s="2">
        <v>2000</v>
      </c>
      <c r="AX45" s="2">
        <v>5000</v>
      </c>
    </row>
    <row r="46" spans="1:50" ht="16.5" x14ac:dyDescent="0.3">
      <c r="A46" s="2">
        <v>40015</v>
      </c>
      <c r="B46" s="2" t="s">
        <v>308</v>
      </c>
      <c r="C46" s="3" t="s">
        <v>88</v>
      </c>
      <c r="D46" s="2" t="s">
        <v>430</v>
      </c>
      <c r="E46" s="2"/>
      <c r="F46" s="2"/>
      <c r="G46" s="2">
        <v>5</v>
      </c>
      <c r="H46" s="2" t="s">
        <v>12</v>
      </c>
      <c r="I46" s="2">
        <v>800</v>
      </c>
      <c r="J46" s="2">
        <v>2400</v>
      </c>
      <c r="K46" s="2" t="s">
        <v>44</v>
      </c>
      <c r="L46" s="2" t="s">
        <v>236</v>
      </c>
      <c r="M46" s="2" t="s">
        <v>226</v>
      </c>
      <c r="N46" s="2">
        <v>100</v>
      </c>
      <c r="O46" s="2">
        <v>2</v>
      </c>
      <c r="P46" s="2" t="s">
        <v>233</v>
      </c>
      <c r="Q46" s="2" t="s">
        <v>226</v>
      </c>
      <c r="R46" s="2">
        <v>17</v>
      </c>
      <c r="S46" s="2">
        <v>4200</v>
      </c>
      <c r="T46" s="2">
        <v>5200</v>
      </c>
      <c r="U46" s="2" t="s">
        <v>234</v>
      </c>
      <c r="V46" s="2" t="s">
        <v>226</v>
      </c>
      <c r="W46" s="2">
        <v>17</v>
      </c>
      <c r="X46" s="2">
        <v>500</v>
      </c>
      <c r="Y46" s="2">
        <v>600</v>
      </c>
      <c r="Z46" s="2" t="s">
        <v>231</v>
      </c>
      <c r="AA46" s="2" t="s">
        <v>226</v>
      </c>
      <c r="AB46" s="2">
        <v>17</v>
      </c>
      <c r="AC46" s="2">
        <v>500</v>
      </c>
      <c r="AD46" s="2">
        <v>600</v>
      </c>
      <c r="AE46" s="2" t="s">
        <v>232</v>
      </c>
      <c r="AF46" s="2" t="s">
        <v>226</v>
      </c>
      <c r="AG46" s="2">
        <v>17</v>
      </c>
      <c r="AH46" s="2">
        <v>500</v>
      </c>
      <c r="AI46" s="2">
        <v>600</v>
      </c>
      <c r="AJ46" s="2" t="s">
        <v>228</v>
      </c>
      <c r="AK46" s="2" t="s">
        <v>226</v>
      </c>
      <c r="AL46" s="2">
        <v>12</v>
      </c>
      <c r="AM46" s="2">
        <v>190</v>
      </c>
      <c r="AN46" s="2">
        <v>240</v>
      </c>
      <c r="AO46" s="2" t="s">
        <v>229</v>
      </c>
      <c r="AP46" s="2" t="s">
        <v>226</v>
      </c>
      <c r="AQ46" s="2">
        <v>12</v>
      </c>
      <c r="AR46" s="2">
        <v>220.00000000000003</v>
      </c>
      <c r="AS46" s="2">
        <v>290</v>
      </c>
      <c r="AT46" s="2" t="s">
        <v>230</v>
      </c>
      <c r="AU46" s="2" t="s">
        <v>226</v>
      </c>
      <c r="AV46" s="2">
        <v>8</v>
      </c>
      <c r="AW46" s="2">
        <v>3000</v>
      </c>
      <c r="AX46" s="2">
        <v>6000</v>
      </c>
    </row>
    <row r="47" spans="1:50" ht="16.5" x14ac:dyDescent="0.3">
      <c r="A47" s="2">
        <v>40021</v>
      </c>
      <c r="B47" s="2" t="s">
        <v>309</v>
      </c>
      <c r="C47" s="3" t="s">
        <v>89</v>
      </c>
      <c r="D47" s="2" t="s">
        <v>430</v>
      </c>
      <c r="E47" s="2"/>
      <c r="F47" s="2"/>
      <c r="G47" s="2">
        <v>1</v>
      </c>
      <c r="H47" s="2" t="s">
        <v>12</v>
      </c>
      <c r="I47" s="2">
        <v>10</v>
      </c>
      <c r="J47" s="2">
        <v>15</v>
      </c>
      <c r="K47" s="2" t="s">
        <v>44</v>
      </c>
      <c r="L47" s="2" t="s">
        <v>237</v>
      </c>
      <c r="M47" s="2" t="s">
        <v>226</v>
      </c>
      <c r="N47" s="2">
        <v>10000</v>
      </c>
      <c r="O47" s="2">
        <v>2</v>
      </c>
      <c r="P47" s="2" t="s">
        <v>233</v>
      </c>
      <c r="Q47" s="2" t="s">
        <v>226</v>
      </c>
      <c r="R47" s="2">
        <v>17</v>
      </c>
      <c r="S47" s="2">
        <v>800</v>
      </c>
      <c r="T47" s="2">
        <v>1600</v>
      </c>
      <c r="U47" s="2" t="s">
        <v>234</v>
      </c>
      <c r="V47" s="2" t="s">
        <v>226</v>
      </c>
      <c r="W47" s="2">
        <v>17</v>
      </c>
      <c r="X47" s="2">
        <v>100</v>
      </c>
      <c r="Y47" s="2">
        <v>220.00000000000003</v>
      </c>
      <c r="Z47" s="2" t="s">
        <v>231</v>
      </c>
      <c r="AA47" s="2" t="s">
        <v>226</v>
      </c>
      <c r="AB47" s="2">
        <v>17</v>
      </c>
      <c r="AC47" s="2">
        <v>100</v>
      </c>
      <c r="AD47" s="2">
        <v>220.00000000000003</v>
      </c>
      <c r="AE47" s="2" t="s">
        <v>232</v>
      </c>
      <c r="AF47" s="2" t="s">
        <v>226</v>
      </c>
      <c r="AG47" s="2">
        <v>17</v>
      </c>
      <c r="AH47" s="2">
        <v>100</v>
      </c>
      <c r="AI47" s="2">
        <v>220.00000000000003</v>
      </c>
      <c r="AJ47" s="2" t="s">
        <v>228</v>
      </c>
      <c r="AK47" s="2" t="s">
        <v>226</v>
      </c>
      <c r="AL47" s="2">
        <v>12</v>
      </c>
      <c r="AM47" s="2">
        <v>50</v>
      </c>
      <c r="AN47" s="2">
        <v>110.00000000000001</v>
      </c>
      <c r="AO47" s="2" t="s">
        <v>229</v>
      </c>
      <c r="AP47" s="2" t="s">
        <v>226</v>
      </c>
      <c r="AQ47" s="2">
        <v>12</v>
      </c>
      <c r="AR47" s="2">
        <v>80</v>
      </c>
      <c r="AS47" s="2">
        <v>140</v>
      </c>
      <c r="AT47" s="2" t="s">
        <v>230</v>
      </c>
      <c r="AU47" s="2" t="s">
        <v>226</v>
      </c>
      <c r="AV47" s="2">
        <v>8</v>
      </c>
      <c r="AW47" s="2">
        <v>1000</v>
      </c>
      <c r="AX47" s="2">
        <v>3000</v>
      </c>
    </row>
    <row r="48" spans="1:50" ht="16.5" x14ac:dyDescent="0.3">
      <c r="A48" s="2">
        <v>40022</v>
      </c>
      <c r="B48" s="2" t="s">
        <v>310</v>
      </c>
      <c r="C48" s="3" t="s">
        <v>90</v>
      </c>
      <c r="D48" s="2" t="s">
        <v>430</v>
      </c>
      <c r="E48" s="2"/>
      <c r="F48" s="2"/>
      <c r="G48" s="2">
        <v>2</v>
      </c>
      <c r="H48" s="2" t="s">
        <v>12</v>
      </c>
      <c r="I48" s="2">
        <v>20</v>
      </c>
      <c r="J48" s="2">
        <v>38</v>
      </c>
      <c r="K48" s="2" t="s">
        <v>44</v>
      </c>
      <c r="L48" s="2" t="s">
        <v>237</v>
      </c>
      <c r="M48" s="2" t="s">
        <v>226</v>
      </c>
      <c r="N48" s="2">
        <v>20000</v>
      </c>
      <c r="O48" s="2">
        <v>2</v>
      </c>
      <c r="P48" s="2" t="s">
        <v>233</v>
      </c>
      <c r="Q48" s="2" t="s">
        <v>226</v>
      </c>
      <c r="R48" s="2">
        <v>17</v>
      </c>
      <c r="S48" s="2">
        <v>1400</v>
      </c>
      <c r="T48" s="2">
        <v>2600</v>
      </c>
      <c r="U48" s="2" t="s">
        <v>234</v>
      </c>
      <c r="V48" s="2" t="s">
        <v>226</v>
      </c>
      <c r="W48" s="2">
        <v>17</v>
      </c>
      <c r="X48" s="2">
        <v>200</v>
      </c>
      <c r="Y48" s="2">
        <v>320</v>
      </c>
      <c r="Z48" s="2" t="s">
        <v>231</v>
      </c>
      <c r="AA48" s="2" t="s">
        <v>226</v>
      </c>
      <c r="AB48" s="2">
        <v>17</v>
      </c>
      <c r="AC48" s="2">
        <v>200</v>
      </c>
      <c r="AD48" s="2">
        <v>320</v>
      </c>
      <c r="AE48" s="2" t="s">
        <v>232</v>
      </c>
      <c r="AF48" s="2" t="s">
        <v>226</v>
      </c>
      <c r="AG48" s="2">
        <v>17</v>
      </c>
      <c r="AH48" s="2">
        <v>200</v>
      </c>
      <c r="AI48" s="2">
        <v>320</v>
      </c>
      <c r="AJ48" s="2" t="s">
        <v>228</v>
      </c>
      <c r="AK48" s="2" t="s">
        <v>226</v>
      </c>
      <c r="AL48" s="2">
        <v>12</v>
      </c>
      <c r="AM48" s="2">
        <v>90</v>
      </c>
      <c r="AN48" s="2">
        <v>140</v>
      </c>
      <c r="AO48" s="2" t="s">
        <v>229</v>
      </c>
      <c r="AP48" s="2" t="s">
        <v>226</v>
      </c>
      <c r="AQ48" s="2">
        <v>12</v>
      </c>
      <c r="AR48" s="2">
        <v>130</v>
      </c>
      <c r="AS48" s="2">
        <v>170</v>
      </c>
      <c r="AT48" s="2" t="s">
        <v>230</v>
      </c>
      <c r="AU48" s="2" t="s">
        <v>226</v>
      </c>
      <c r="AV48" s="2">
        <v>8</v>
      </c>
      <c r="AW48" s="2">
        <v>1000</v>
      </c>
      <c r="AX48" s="2">
        <v>4000</v>
      </c>
    </row>
    <row r="49" spans="1:50" ht="16.5" x14ac:dyDescent="0.3">
      <c r="A49" s="2">
        <v>40023</v>
      </c>
      <c r="B49" s="2" t="s">
        <v>311</v>
      </c>
      <c r="C49" s="3" t="s">
        <v>91</v>
      </c>
      <c r="D49" s="2" t="s">
        <v>430</v>
      </c>
      <c r="E49" s="2"/>
      <c r="F49" s="2"/>
      <c r="G49" s="2">
        <v>3</v>
      </c>
      <c r="H49" s="2" t="s">
        <v>12</v>
      </c>
      <c r="I49" s="2">
        <v>80</v>
      </c>
      <c r="J49" s="2">
        <v>150</v>
      </c>
      <c r="K49" s="2" t="s">
        <v>44</v>
      </c>
      <c r="L49" s="2" t="s">
        <v>237</v>
      </c>
      <c r="M49" s="2" t="s">
        <v>226</v>
      </c>
      <c r="N49" s="2">
        <v>30000</v>
      </c>
      <c r="O49" s="2">
        <v>2</v>
      </c>
      <c r="P49" s="2" t="s">
        <v>233</v>
      </c>
      <c r="Q49" s="2" t="s">
        <v>226</v>
      </c>
      <c r="R49" s="2">
        <v>17</v>
      </c>
      <c r="S49" s="2">
        <v>2400</v>
      </c>
      <c r="T49" s="2">
        <v>3600</v>
      </c>
      <c r="U49" s="2" t="s">
        <v>234</v>
      </c>
      <c r="V49" s="2" t="s">
        <v>226</v>
      </c>
      <c r="W49" s="2">
        <v>17</v>
      </c>
      <c r="X49" s="2">
        <v>300</v>
      </c>
      <c r="Y49" s="2">
        <v>420</v>
      </c>
      <c r="Z49" s="2" t="s">
        <v>231</v>
      </c>
      <c r="AA49" s="2" t="s">
        <v>226</v>
      </c>
      <c r="AB49" s="2">
        <v>17</v>
      </c>
      <c r="AC49" s="2">
        <v>300</v>
      </c>
      <c r="AD49" s="2">
        <v>420</v>
      </c>
      <c r="AE49" s="2" t="s">
        <v>232</v>
      </c>
      <c r="AF49" s="2" t="s">
        <v>226</v>
      </c>
      <c r="AG49" s="2">
        <v>17</v>
      </c>
      <c r="AH49" s="2">
        <v>300</v>
      </c>
      <c r="AI49" s="2">
        <v>420</v>
      </c>
      <c r="AJ49" s="2" t="s">
        <v>228</v>
      </c>
      <c r="AK49" s="2" t="s">
        <v>226</v>
      </c>
      <c r="AL49" s="2">
        <v>12</v>
      </c>
      <c r="AM49" s="2">
        <v>120</v>
      </c>
      <c r="AN49" s="2">
        <v>170</v>
      </c>
      <c r="AO49" s="2" t="s">
        <v>229</v>
      </c>
      <c r="AP49" s="2" t="s">
        <v>226</v>
      </c>
      <c r="AQ49" s="2">
        <v>12</v>
      </c>
      <c r="AR49" s="2">
        <v>160</v>
      </c>
      <c r="AS49" s="2">
        <v>200</v>
      </c>
      <c r="AT49" s="2" t="s">
        <v>230</v>
      </c>
      <c r="AU49" s="2" t="s">
        <v>226</v>
      </c>
      <c r="AV49" s="2">
        <v>8</v>
      </c>
      <c r="AW49" s="2">
        <v>2000</v>
      </c>
      <c r="AX49" s="2">
        <v>4000</v>
      </c>
    </row>
    <row r="50" spans="1:50" ht="16.5" x14ac:dyDescent="0.3">
      <c r="A50" s="2">
        <v>40024</v>
      </c>
      <c r="B50" s="2" t="s">
        <v>312</v>
      </c>
      <c r="C50" s="3" t="s">
        <v>92</v>
      </c>
      <c r="D50" s="2" t="s">
        <v>430</v>
      </c>
      <c r="E50" s="2"/>
      <c r="F50" s="2"/>
      <c r="G50" s="2">
        <v>4</v>
      </c>
      <c r="H50" s="2" t="s">
        <v>12</v>
      </c>
      <c r="I50" s="2">
        <v>320</v>
      </c>
      <c r="J50" s="2">
        <v>600</v>
      </c>
      <c r="K50" s="2" t="s">
        <v>44</v>
      </c>
      <c r="L50" s="2" t="s">
        <v>237</v>
      </c>
      <c r="M50" s="2" t="s">
        <v>226</v>
      </c>
      <c r="N50" s="2">
        <v>40000</v>
      </c>
      <c r="O50" s="2">
        <v>2</v>
      </c>
      <c r="P50" s="2" t="s">
        <v>233</v>
      </c>
      <c r="Q50" s="2" t="s">
        <v>226</v>
      </c>
      <c r="R50" s="2">
        <v>17</v>
      </c>
      <c r="S50" s="2">
        <v>3400</v>
      </c>
      <c r="T50" s="2">
        <v>4400</v>
      </c>
      <c r="U50" s="2" t="s">
        <v>234</v>
      </c>
      <c r="V50" s="2" t="s">
        <v>226</v>
      </c>
      <c r="W50" s="2">
        <v>17</v>
      </c>
      <c r="X50" s="2">
        <v>400</v>
      </c>
      <c r="Y50" s="2">
        <v>520</v>
      </c>
      <c r="Z50" s="2" t="s">
        <v>231</v>
      </c>
      <c r="AA50" s="2" t="s">
        <v>226</v>
      </c>
      <c r="AB50" s="2">
        <v>17</v>
      </c>
      <c r="AC50" s="2">
        <v>400</v>
      </c>
      <c r="AD50" s="2">
        <v>520</v>
      </c>
      <c r="AE50" s="2" t="s">
        <v>232</v>
      </c>
      <c r="AF50" s="2" t="s">
        <v>226</v>
      </c>
      <c r="AG50" s="2">
        <v>17</v>
      </c>
      <c r="AH50" s="2">
        <v>400</v>
      </c>
      <c r="AI50" s="2">
        <v>520</v>
      </c>
      <c r="AJ50" s="2" t="s">
        <v>228</v>
      </c>
      <c r="AK50" s="2" t="s">
        <v>226</v>
      </c>
      <c r="AL50" s="2">
        <v>12</v>
      </c>
      <c r="AM50" s="2">
        <v>150</v>
      </c>
      <c r="AN50" s="2">
        <v>200</v>
      </c>
      <c r="AO50" s="2" t="s">
        <v>229</v>
      </c>
      <c r="AP50" s="2" t="s">
        <v>226</v>
      </c>
      <c r="AQ50" s="2">
        <v>12</v>
      </c>
      <c r="AR50" s="2">
        <v>190</v>
      </c>
      <c r="AS50" s="2">
        <v>229.99999999999997</v>
      </c>
      <c r="AT50" s="2" t="s">
        <v>230</v>
      </c>
      <c r="AU50" s="2" t="s">
        <v>226</v>
      </c>
      <c r="AV50" s="2">
        <v>8</v>
      </c>
      <c r="AW50" s="2">
        <v>2000</v>
      </c>
      <c r="AX50" s="2">
        <v>5000</v>
      </c>
    </row>
    <row r="51" spans="1:50" ht="16.5" x14ac:dyDescent="0.3">
      <c r="A51" s="2">
        <v>40025</v>
      </c>
      <c r="B51" s="2" t="s">
        <v>313</v>
      </c>
      <c r="C51" s="3" t="s">
        <v>93</v>
      </c>
      <c r="D51" s="2" t="s">
        <v>430</v>
      </c>
      <c r="E51" s="2"/>
      <c r="F51" s="2"/>
      <c r="G51" s="2">
        <v>5</v>
      </c>
      <c r="H51" s="2" t="s">
        <v>12</v>
      </c>
      <c r="I51" s="2">
        <v>800</v>
      </c>
      <c r="J51" s="2">
        <v>2400</v>
      </c>
      <c r="K51" s="2" t="s">
        <v>44</v>
      </c>
      <c r="L51" s="2" t="s">
        <v>237</v>
      </c>
      <c r="M51" s="2" t="s">
        <v>226</v>
      </c>
      <c r="N51" s="2">
        <v>50000</v>
      </c>
      <c r="O51" s="2">
        <v>2</v>
      </c>
      <c r="P51" s="2" t="s">
        <v>233</v>
      </c>
      <c r="Q51" s="2" t="s">
        <v>226</v>
      </c>
      <c r="R51" s="2">
        <v>17</v>
      </c>
      <c r="S51" s="2">
        <v>4200</v>
      </c>
      <c r="T51" s="2">
        <v>5200</v>
      </c>
      <c r="U51" s="2" t="s">
        <v>234</v>
      </c>
      <c r="V51" s="2" t="s">
        <v>226</v>
      </c>
      <c r="W51" s="2">
        <v>17</v>
      </c>
      <c r="X51" s="2">
        <v>500</v>
      </c>
      <c r="Y51" s="2">
        <v>600</v>
      </c>
      <c r="Z51" s="2" t="s">
        <v>231</v>
      </c>
      <c r="AA51" s="2" t="s">
        <v>226</v>
      </c>
      <c r="AB51" s="2">
        <v>17</v>
      </c>
      <c r="AC51" s="2">
        <v>500</v>
      </c>
      <c r="AD51" s="2">
        <v>600</v>
      </c>
      <c r="AE51" s="2" t="s">
        <v>232</v>
      </c>
      <c r="AF51" s="2" t="s">
        <v>226</v>
      </c>
      <c r="AG51" s="2">
        <v>17</v>
      </c>
      <c r="AH51" s="2">
        <v>500</v>
      </c>
      <c r="AI51" s="2">
        <v>600</v>
      </c>
      <c r="AJ51" s="2" t="s">
        <v>228</v>
      </c>
      <c r="AK51" s="2" t="s">
        <v>226</v>
      </c>
      <c r="AL51" s="2">
        <v>12</v>
      </c>
      <c r="AM51" s="2">
        <v>190</v>
      </c>
      <c r="AN51" s="2">
        <v>240</v>
      </c>
      <c r="AO51" s="2" t="s">
        <v>229</v>
      </c>
      <c r="AP51" s="2" t="s">
        <v>226</v>
      </c>
      <c r="AQ51" s="2">
        <v>12</v>
      </c>
      <c r="AR51" s="2">
        <v>220.00000000000003</v>
      </c>
      <c r="AS51" s="2">
        <v>290</v>
      </c>
      <c r="AT51" s="2" t="s">
        <v>230</v>
      </c>
      <c r="AU51" s="2" t="s">
        <v>226</v>
      </c>
      <c r="AV51" s="2">
        <v>8</v>
      </c>
      <c r="AW51" s="2">
        <v>3000</v>
      </c>
      <c r="AX51" s="2">
        <v>6000</v>
      </c>
    </row>
    <row r="52" spans="1:50" ht="16.5" x14ac:dyDescent="0.3">
      <c r="A52" s="2">
        <v>40031</v>
      </c>
      <c r="B52" s="2" t="s">
        <v>314</v>
      </c>
      <c r="C52" s="3" t="s">
        <v>94</v>
      </c>
      <c r="D52" s="2" t="s">
        <v>430</v>
      </c>
      <c r="E52" s="2"/>
      <c r="F52" s="2"/>
      <c r="G52" s="2">
        <v>1</v>
      </c>
      <c r="H52" s="2" t="s">
        <v>12</v>
      </c>
      <c r="I52" s="2">
        <v>10</v>
      </c>
      <c r="J52" s="2">
        <v>15</v>
      </c>
      <c r="K52" s="2" t="s">
        <v>44</v>
      </c>
      <c r="L52" s="2" t="s">
        <v>238</v>
      </c>
      <c r="M52" s="2" t="s">
        <v>227</v>
      </c>
      <c r="N52" s="2">
        <v>10000</v>
      </c>
      <c r="O52" s="2">
        <v>2</v>
      </c>
      <c r="P52" s="2" t="s">
        <v>233</v>
      </c>
      <c r="Q52" s="2" t="s">
        <v>226</v>
      </c>
      <c r="R52" s="2">
        <v>17</v>
      </c>
      <c r="S52" s="2">
        <v>800</v>
      </c>
      <c r="T52" s="2">
        <v>1600</v>
      </c>
      <c r="U52" s="2" t="s">
        <v>234</v>
      </c>
      <c r="V52" s="2" t="s">
        <v>226</v>
      </c>
      <c r="W52" s="2">
        <v>17</v>
      </c>
      <c r="X52" s="2">
        <v>100</v>
      </c>
      <c r="Y52" s="2">
        <v>220.00000000000003</v>
      </c>
      <c r="Z52" s="2" t="s">
        <v>231</v>
      </c>
      <c r="AA52" s="2" t="s">
        <v>226</v>
      </c>
      <c r="AB52" s="2">
        <v>17</v>
      </c>
      <c r="AC52" s="2">
        <v>100</v>
      </c>
      <c r="AD52" s="2">
        <v>220.00000000000003</v>
      </c>
      <c r="AE52" s="2" t="s">
        <v>232</v>
      </c>
      <c r="AF52" s="2" t="s">
        <v>226</v>
      </c>
      <c r="AG52" s="2">
        <v>17</v>
      </c>
      <c r="AH52" s="2">
        <v>100</v>
      </c>
      <c r="AI52" s="2">
        <v>220.00000000000003</v>
      </c>
      <c r="AJ52" s="2" t="s">
        <v>228</v>
      </c>
      <c r="AK52" s="2" t="s">
        <v>226</v>
      </c>
      <c r="AL52" s="2">
        <v>12</v>
      </c>
      <c r="AM52" s="2">
        <v>50</v>
      </c>
      <c r="AN52" s="2">
        <v>110.00000000000001</v>
      </c>
      <c r="AO52" s="2" t="s">
        <v>229</v>
      </c>
      <c r="AP52" s="2" t="s">
        <v>226</v>
      </c>
      <c r="AQ52" s="2">
        <v>12</v>
      </c>
      <c r="AR52" s="2">
        <v>80</v>
      </c>
      <c r="AS52" s="2">
        <v>140</v>
      </c>
      <c r="AT52" s="2" t="s">
        <v>230</v>
      </c>
      <c r="AU52" s="2" t="s">
        <v>226</v>
      </c>
      <c r="AV52" s="2">
        <v>8</v>
      </c>
      <c r="AW52" s="2">
        <v>1000</v>
      </c>
      <c r="AX52" s="2">
        <v>3000</v>
      </c>
    </row>
    <row r="53" spans="1:50" ht="16.5" x14ac:dyDescent="0.3">
      <c r="A53" s="2">
        <v>40032</v>
      </c>
      <c r="B53" s="2" t="s">
        <v>315</v>
      </c>
      <c r="C53" s="3" t="s">
        <v>95</v>
      </c>
      <c r="D53" s="2" t="s">
        <v>430</v>
      </c>
      <c r="E53" s="2"/>
      <c r="F53" s="2"/>
      <c r="G53" s="2">
        <v>2</v>
      </c>
      <c r="H53" s="2" t="s">
        <v>12</v>
      </c>
      <c r="I53" s="2">
        <v>20</v>
      </c>
      <c r="J53" s="2">
        <v>38</v>
      </c>
      <c r="K53" s="2" t="s">
        <v>44</v>
      </c>
      <c r="L53" s="2" t="s">
        <v>238</v>
      </c>
      <c r="M53" s="2" t="s">
        <v>227</v>
      </c>
      <c r="N53" s="2">
        <v>20000</v>
      </c>
      <c r="O53" s="2">
        <v>2</v>
      </c>
      <c r="P53" s="2" t="s">
        <v>233</v>
      </c>
      <c r="Q53" s="2" t="s">
        <v>226</v>
      </c>
      <c r="R53" s="2">
        <v>17</v>
      </c>
      <c r="S53" s="2">
        <v>1400</v>
      </c>
      <c r="T53" s="2">
        <v>2600</v>
      </c>
      <c r="U53" s="2" t="s">
        <v>234</v>
      </c>
      <c r="V53" s="2" t="s">
        <v>226</v>
      </c>
      <c r="W53" s="2">
        <v>17</v>
      </c>
      <c r="X53" s="2">
        <v>200</v>
      </c>
      <c r="Y53" s="2">
        <v>320</v>
      </c>
      <c r="Z53" s="2" t="s">
        <v>231</v>
      </c>
      <c r="AA53" s="2" t="s">
        <v>226</v>
      </c>
      <c r="AB53" s="2">
        <v>17</v>
      </c>
      <c r="AC53" s="2">
        <v>200</v>
      </c>
      <c r="AD53" s="2">
        <v>320</v>
      </c>
      <c r="AE53" s="2" t="s">
        <v>232</v>
      </c>
      <c r="AF53" s="2" t="s">
        <v>226</v>
      </c>
      <c r="AG53" s="2">
        <v>17</v>
      </c>
      <c r="AH53" s="2">
        <v>200</v>
      </c>
      <c r="AI53" s="2">
        <v>320</v>
      </c>
      <c r="AJ53" s="2" t="s">
        <v>228</v>
      </c>
      <c r="AK53" s="2" t="s">
        <v>226</v>
      </c>
      <c r="AL53" s="2">
        <v>12</v>
      </c>
      <c r="AM53" s="2">
        <v>90</v>
      </c>
      <c r="AN53" s="2">
        <v>140</v>
      </c>
      <c r="AO53" s="2" t="s">
        <v>229</v>
      </c>
      <c r="AP53" s="2" t="s">
        <v>226</v>
      </c>
      <c r="AQ53" s="2">
        <v>12</v>
      </c>
      <c r="AR53" s="2">
        <v>130</v>
      </c>
      <c r="AS53" s="2">
        <v>170</v>
      </c>
      <c r="AT53" s="2" t="s">
        <v>230</v>
      </c>
      <c r="AU53" s="2" t="s">
        <v>226</v>
      </c>
      <c r="AV53" s="2">
        <v>8</v>
      </c>
      <c r="AW53" s="2">
        <v>1000</v>
      </c>
      <c r="AX53" s="2">
        <v>4000</v>
      </c>
    </row>
    <row r="54" spans="1:50" ht="16.5" x14ac:dyDescent="0.3">
      <c r="A54" s="2">
        <v>40033</v>
      </c>
      <c r="B54" s="2" t="s">
        <v>316</v>
      </c>
      <c r="C54" s="3" t="s">
        <v>96</v>
      </c>
      <c r="D54" s="2" t="s">
        <v>430</v>
      </c>
      <c r="E54" s="2"/>
      <c r="F54" s="2"/>
      <c r="G54" s="2">
        <v>3</v>
      </c>
      <c r="H54" s="2" t="s">
        <v>12</v>
      </c>
      <c r="I54" s="2">
        <v>80</v>
      </c>
      <c r="J54" s="2">
        <v>150</v>
      </c>
      <c r="K54" s="2" t="s">
        <v>44</v>
      </c>
      <c r="L54" s="2" t="s">
        <v>238</v>
      </c>
      <c r="M54" s="2" t="s">
        <v>227</v>
      </c>
      <c r="N54" s="2">
        <v>30000</v>
      </c>
      <c r="O54" s="2">
        <v>2</v>
      </c>
      <c r="P54" s="2" t="s">
        <v>233</v>
      </c>
      <c r="Q54" s="2" t="s">
        <v>226</v>
      </c>
      <c r="R54" s="2">
        <v>17</v>
      </c>
      <c r="S54" s="2">
        <v>2400</v>
      </c>
      <c r="T54" s="2">
        <v>3600</v>
      </c>
      <c r="U54" s="2" t="s">
        <v>234</v>
      </c>
      <c r="V54" s="2" t="s">
        <v>226</v>
      </c>
      <c r="W54" s="2">
        <v>17</v>
      </c>
      <c r="X54" s="2">
        <v>300</v>
      </c>
      <c r="Y54" s="2">
        <v>420</v>
      </c>
      <c r="Z54" s="2" t="s">
        <v>231</v>
      </c>
      <c r="AA54" s="2" t="s">
        <v>226</v>
      </c>
      <c r="AB54" s="2">
        <v>17</v>
      </c>
      <c r="AC54" s="2">
        <v>300</v>
      </c>
      <c r="AD54" s="2">
        <v>420</v>
      </c>
      <c r="AE54" s="2" t="s">
        <v>232</v>
      </c>
      <c r="AF54" s="2" t="s">
        <v>226</v>
      </c>
      <c r="AG54" s="2">
        <v>17</v>
      </c>
      <c r="AH54" s="2">
        <v>300</v>
      </c>
      <c r="AI54" s="2">
        <v>420</v>
      </c>
      <c r="AJ54" s="2" t="s">
        <v>228</v>
      </c>
      <c r="AK54" s="2" t="s">
        <v>226</v>
      </c>
      <c r="AL54" s="2">
        <v>12</v>
      </c>
      <c r="AM54" s="2">
        <v>120</v>
      </c>
      <c r="AN54" s="2">
        <v>170</v>
      </c>
      <c r="AO54" s="2" t="s">
        <v>229</v>
      </c>
      <c r="AP54" s="2" t="s">
        <v>226</v>
      </c>
      <c r="AQ54" s="2">
        <v>12</v>
      </c>
      <c r="AR54" s="2">
        <v>160</v>
      </c>
      <c r="AS54" s="2">
        <v>200</v>
      </c>
      <c r="AT54" s="2" t="s">
        <v>230</v>
      </c>
      <c r="AU54" s="2" t="s">
        <v>226</v>
      </c>
      <c r="AV54" s="2">
        <v>8</v>
      </c>
      <c r="AW54" s="2">
        <v>2000</v>
      </c>
      <c r="AX54" s="2">
        <v>4000</v>
      </c>
    </row>
    <row r="55" spans="1:50" ht="16.5" x14ac:dyDescent="0.3">
      <c r="A55" s="2">
        <v>40034</v>
      </c>
      <c r="B55" s="2" t="s">
        <v>317</v>
      </c>
      <c r="C55" s="3" t="s">
        <v>97</v>
      </c>
      <c r="D55" s="2" t="s">
        <v>430</v>
      </c>
      <c r="E55" s="2"/>
      <c r="F55" s="2"/>
      <c r="G55" s="2">
        <v>4</v>
      </c>
      <c r="H55" s="2" t="s">
        <v>12</v>
      </c>
      <c r="I55" s="2">
        <v>320</v>
      </c>
      <c r="J55" s="2">
        <v>600</v>
      </c>
      <c r="K55" s="2" t="s">
        <v>44</v>
      </c>
      <c r="L55" s="2" t="s">
        <v>238</v>
      </c>
      <c r="M55" s="2" t="s">
        <v>227</v>
      </c>
      <c r="N55" s="2">
        <v>40000</v>
      </c>
      <c r="O55" s="2">
        <v>2</v>
      </c>
      <c r="P55" s="2" t="s">
        <v>233</v>
      </c>
      <c r="Q55" s="2" t="s">
        <v>226</v>
      </c>
      <c r="R55" s="2">
        <v>17</v>
      </c>
      <c r="S55" s="2">
        <v>3400</v>
      </c>
      <c r="T55" s="2">
        <v>4400</v>
      </c>
      <c r="U55" s="2" t="s">
        <v>234</v>
      </c>
      <c r="V55" s="2" t="s">
        <v>226</v>
      </c>
      <c r="W55" s="2">
        <v>17</v>
      </c>
      <c r="X55" s="2">
        <v>400</v>
      </c>
      <c r="Y55" s="2">
        <v>520</v>
      </c>
      <c r="Z55" s="2" t="s">
        <v>231</v>
      </c>
      <c r="AA55" s="2" t="s">
        <v>226</v>
      </c>
      <c r="AB55" s="2">
        <v>17</v>
      </c>
      <c r="AC55" s="2">
        <v>400</v>
      </c>
      <c r="AD55" s="2">
        <v>520</v>
      </c>
      <c r="AE55" s="2" t="s">
        <v>232</v>
      </c>
      <c r="AF55" s="2" t="s">
        <v>226</v>
      </c>
      <c r="AG55" s="2">
        <v>17</v>
      </c>
      <c r="AH55" s="2">
        <v>400</v>
      </c>
      <c r="AI55" s="2">
        <v>520</v>
      </c>
      <c r="AJ55" s="2" t="s">
        <v>228</v>
      </c>
      <c r="AK55" s="2" t="s">
        <v>226</v>
      </c>
      <c r="AL55" s="2">
        <v>12</v>
      </c>
      <c r="AM55" s="2">
        <v>150</v>
      </c>
      <c r="AN55" s="2">
        <v>200</v>
      </c>
      <c r="AO55" s="2" t="s">
        <v>229</v>
      </c>
      <c r="AP55" s="2" t="s">
        <v>226</v>
      </c>
      <c r="AQ55" s="2">
        <v>12</v>
      </c>
      <c r="AR55" s="2">
        <v>190</v>
      </c>
      <c r="AS55" s="2">
        <v>229.99999999999997</v>
      </c>
      <c r="AT55" s="2" t="s">
        <v>230</v>
      </c>
      <c r="AU55" s="2" t="s">
        <v>226</v>
      </c>
      <c r="AV55" s="2">
        <v>8</v>
      </c>
      <c r="AW55" s="2">
        <v>2000</v>
      </c>
      <c r="AX55" s="2">
        <v>5000</v>
      </c>
    </row>
    <row r="56" spans="1:50" ht="16.5" x14ac:dyDescent="0.3">
      <c r="A56" s="2">
        <v>40035</v>
      </c>
      <c r="B56" s="2" t="s">
        <v>318</v>
      </c>
      <c r="C56" s="3" t="s">
        <v>98</v>
      </c>
      <c r="D56" s="2" t="s">
        <v>430</v>
      </c>
      <c r="E56" s="2"/>
      <c r="F56" s="2"/>
      <c r="G56" s="2">
        <v>5</v>
      </c>
      <c r="H56" s="2" t="s">
        <v>12</v>
      </c>
      <c r="I56" s="2">
        <v>800</v>
      </c>
      <c r="J56" s="2">
        <v>2400</v>
      </c>
      <c r="K56" s="2" t="s">
        <v>44</v>
      </c>
      <c r="L56" s="2" t="s">
        <v>238</v>
      </c>
      <c r="M56" s="2" t="s">
        <v>227</v>
      </c>
      <c r="N56" s="2">
        <v>50000</v>
      </c>
      <c r="O56" s="2">
        <v>2</v>
      </c>
      <c r="P56" s="2" t="s">
        <v>233</v>
      </c>
      <c r="Q56" s="2" t="s">
        <v>226</v>
      </c>
      <c r="R56" s="2">
        <v>17</v>
      </c>
      <c r="S56" s="2">
        <v>4200</v>
      </c>
      <c r="T56" s="2">
        <v>5200</v>
      </c>
      <c r="U56" s="2" t="s">
        <v>234</v>
      </c>
      <c r="V56" s="2" t="s">
        <v>226</v>
      </c>
      <c r="W56" s="2">
        <v>17</v>
      </c>
      <c r="X56" s="2">
        <v>500</v>
      </c>
      <c r="Y56" s="2">
        <v>600</v>
      </c>
      <c r="Z56" s="2" t="s">
        <v>231</v>
      </c>
      <c r="AA56" s="2" t="s">
        <v>226</v>
      </c>
      <c r="AB56" s="2">
        <v>17</v>
      </c>
      <c r="AC56" s="2">
        <v>500</v>
      </c>
      <c r="AD56" s="2">
        <v>600</v>
      </c>
      <c r="AE56" s="2" t="s">
        <v>232</v>
      </c>
      <c r="AF56" s="2" t="s">
        <v>226</v>
      </c>
      <c r="AG56" s="2">
        <v>17</v>
      </c>
      <c r="AH56" s="2">
        <v>500</v>
      </c>
      <c r="AI56" s="2">
        <v>600</v>
      </c>
      <c r="AJ56" s="2" t="s">
        <v>228</v>
      </c>
      <c r="AK56" s="2" t="s">
        <v>226</v>
      </c>
      <c r="AL56" s="2">
        <v>12</v>
      </c>
      <c r="AM56" s="2">
        <v>190</v>
      </c>
      <c r="AN56" s="2">
        <v>240</v>
      </c>
      <c r="AO56" s="2" t="s">
        <v>229</v>
      </c>
      <c r="AP56" s="2" t="s">
        <v>226</v>
      </c>
      <c r="AQ56" s="2">
        <v>12</v>
      </c>
      <c r="AR56" s="2">
        <v>220.00000000000003</v>
      </c>
      <c r="AS56" s="2">
        <v>290</v>
      </c>
      <c r="AT56" s="2" t="s">
        <v>230</v>
      </c>
      <c r="AU56" s="2" t="s">
        <v>226</v>
      </c>
      <c r="AV56" s="2">
        <v>8</v>
      </c>
      <c r="AW56" s="2">
        <v>3000</v>
      </c>
      <c r="AX56" s="2">
        <v>6000</v>
      </c>
    </row>
    <row r="57" spans="1:50" ht="16.5" x14ac:dyDescent="0.3">
      <c r="A57" s="2">
        <v>40041</v>
      </c>
      <c r="B57" s="2" t="s">
        <v>319</v>
      </c>
      <c r="C57" s="3" t="s">
        <v>99</v>
      </c>
      <c r="D57" s="2" t="s">
        <v>430</v>
      </c>
      <c r="E57" s="2"/>
      <c r="F57" s="2"/>
      <c r="G57" s="2">
        <v>1</v>
      </c>
      <c r="H57" s="2" t="s">
        <v>12</v>
      </c>
      <c r="I57" s="2">
        <v>10</v>
      </c>
      <c r="J57" s="2">
        <v>15</v>
      </c>
      <c r="K57" s="2" t="s">
        <v>44</v>
      </c>
      <c r="L57" s="2" t="s">
        <v>239</v>
      </c>
      <c r="M57" s="2" t="s">
        <v>226</v>
      </c>
      <c r="N57" s="2">
        <v>20000</v>
      </c>
      <c r="O57" s="2">
        <v>2</v>
      </c>
      <c r="P57" s="2" t="s">
        <v>233</v>
      </c>
      <c r="Q57" s="2" t="s">
        <v>226</v>
      </c>
      <c r="R57" s="2">
        <v>17</v>
      </c>
      <c r="S57" s="2">
        <v>800</v>
      </c>
      <c r="T57" s="2">
        <v>1600</v>
      </c>
      <c r="U57" s="2" t="s">
        <v>234</v>
      </c>
      <c r="V57" s="2" t="s">
        <v>226</v>
      </c>
      <c r="W57" s="2">
        <v>17</v>
      </c>
      <c r="X57" s="2">
        <v>100</v>
      </c>
      <c r="Y57" s="2">
        <v>220.00000000000003</v>
      </c>
      <c r="Z57" s="2" t="s">
        <v>231</v>
      </c>
      <c r="AA57" s="2" t="s">
        <v>226</v>
      </c>
      <c r="AB57" s="2">
        <v>17</v>
      </c>
      <c r="AC57" s="2">
        <v>100</v>
      </c>
      <c r="AD57" s="2">
        <v>220.00000000000003</v>
      </c>
      <c r="AE57" s="2" t="s">
        <v>232</v>
      </c>
      <c r="AF57" s="2" t="s">
        <v>226</v>
      </c>
      <c r="AG57" s="2">
        <v>17</v>
      </c>
      <c r="AH57" s="2">
        <v>100</v>
      </c>
      <c r="AI57" s="2">
        <v>220.00000000000003</v>
      </c>
      <c r="AJ57" s="2" t="s">
        <v>228</v>
      </c>
      <c r="AK57" s="2" t="s">
        <v>226</v>
      </c>
      <c r="AL57" s="2">
        <v>12</v>
      </c>
      <c r="AM57" s="2">
        <v>50</v>
      </c>
      <c r="AN57" s="2">
        <v>110.00000000000001</v>
      </c>
      <c r="AO57" s="2" t="s">
        <v>229</v>
      </c>
      <c r="AP57" s="2" t="s">
        <v>226</v>
      </c>
      <c r="AQ57" s="2">
        <v>12</v>
      </c>
      <c r="AR57" s="2">
        <v>80</v>
      </c>
      <c r="AS57" s="2">
        <v>140</v>
      </c>
      <c r="AT57" s="2" t="s">
        <v>230</v>
      </c>
      <c r="AU57" s="2" t="s">
        <v>226</v>
      </c>
      <c r="AV57" s="2">
        <v>8</v>
      </c>
      <c r="AW57" s="2">
        <v>1000</v>
      </c>
      <c r="AX57" s="2">
        <v>3000</v>
      </c>
    </row>
    <row r="58" spans="1:50" ht="16.5" x14ac:dyDescent="0.3">
      <c r="A58" s="2">
        <v>40042</v>
      </c>
      <c r="B58" s="2" t="s">
        <v>320</v>
      </c>
      <c r="C58" s="3" t="s">
        <v>100</v>
      </c>
      <c r="D58" s="2" t="s">
        <v>430</v>
      </c>
      <c r="E58" s="2"/>
      <c r="F58" s="2"/>
      <c r="G58" s="2">
        <v>2</v>
      </c>
      <c r="H58" s="2" t="s">
        <v>12</v>
      </c>
      <c r="I58" s="2">
        <v>20</v>
      </c>
      <c r="J58" s="2">
        <v>38</v>
      </c>
      <c r="K58" s="2" t="s">
        <v>44</v>
      </c>
      <c r="L58" s="2" t="s">
        <v>239</v>
      </c>
      <c r="M58" s="2" t="s">
        <v>226</v>
      </c>
      <c r="N58" s="2">
        <v>40000</v>
      </c>
      <c r="O58" s="2">
        <v>2</v>
      </c>
      <c r="P58" s="2" t="s">
        <v>233</v>
      </c>
      <c r="Q58" s="2" t="s">
        <v>226</v>
      </c>
      <c r="R58" s="2">
        <v>17</v>
      </c>
      <c r="S58" s="2">
        <v>1400</v>
      </c>
      <c r="T58" s="2">
        <v>2600</v>
      </c>
      <c r="U58" s="2" t="s">
        <v>234</v>
      </c>
      <c r="V58" s="2" t="s">
        <v>226</v>
      </c>
      <c r="W58" s="2">
        <v>17</v>
      </c>
      <c r="X58" s="2">
        <v>200</v>
      </c>
      <c r="Y58" s="2">
        <v>320</v>
      </c>
      <c r="Z58" s="2" t="s">
        <v>231</v>
      </c>
      <c r="AA58" s="2" t="s">
        <v>226</v>
      </c>
      <c r="AB58" s="2">
        <v>17</v>
      </c>
      <c r="AC58" s="2">
        <v>200</v>
      </c>
      <c r="AD58" s="2">
        <v>320</v>
      </c>
      <c r="AE58" s="2" t="s">
        <v>232</v>
      </c>
      <c r="AF58" s="2" t="s">
        <v>226</v>
      </c>
      <c r="AG58" s="2">
        <v>17</v>
      </c>
      <c r="AH58" s="2">
        <v>200</v>
      </c>
      <c r="AI58" s="2">
        <v>320</v>
      </c>
      <c r="AJ58" s="2" t="s">
        <v>228</v>
      </c>
      <c r="AK58" s="2" t="s">
        <v>226</v>
      </c>
      <c r="AL58" s="2">
        <v>12</v>
      </c>
      <c r="AM58" s="2">
        <v>90</v>
      </c>
      <c r="AN58" s="2">
        <v>140</v>
      </c>
      <c r="AO58" s="2" t="s">
        <v>229</v>
      </c>
      <c r="AP58" s="2" t="s">
        <v>226</v>
      </c>
      <c r="AQ58" s="2">
        <v>12</v>
      </c>
      <c r="AR58" s="2">
        <v>130</v>
      </c>
      <c r="AS58" s="2">
        <v>170</v>
      </c>
      <c r="AT58" s="2" t="s">
        <v>230</v>
      </c>
      <c r="AU58" s="2" t="s">
        <v>226</v>
      </c>
      <c r="AV58" s="2">
        <v>8</v>
      </c>
      <c r="AW58" s="2">
        <v>1000</v>
      </c>
      <c r="AX58" s="2">
        <v>4000</v>
      </c>
    </row>
    <row r="59" spans="1:50" ht="16.5" x14ac:dyDescent="0.3">
      <c r="A59" s="2">
        <v>40043</v>
      </c>
      <c r="B59" s="2" t="s">
        <v>321</v>
      </c>
      <c r="C59" s="3" t="s">
        <v>101</v>
      </c>
      <c r="D59" s="2" t="s">
        <v>430</v>
      </c>
      <c r="E59" s="2"/>
      <c r="F59" s="2"/>
      <c r="G59" s="2">
        <v>3</v>
      </c>
      <c r="H59" s="2" t="s">
        <v>12</v>
      </c>
      <c r="I59" s="2">
        <v>80</v>
      </c>
      <c r="J59" s="2">
        <v>150</v>
      </c>
      <c r="K59" s="2" t="s">
        <v>44</v>
      </c>
      <c r="L59" s="2" t="s">
        <v>239</v>
      </c>
      <c r="M59" s="2" t="s">
        <v>226</v>
      </c>
      <c r="N59" s="2">
        <v>60000</v>
      </c>
      <c r="O59" s="2">
        <v>2</v>
      </c>
      <c r="P59" s="2" t="s">
        <v>233</v>
      </c>
      <c r="Q59" s="2" t="s">
        <v>226</v>
      </c>
      <c r="R59" s="2">
        <v>17</v>
      </c>
      <c r="S59" s="2">
        <v>2400</v>
      </c>
      <c r="T59" s="2">
        <v>3600</v>
      </c>
      <c r="U59" s="2" t="s">
        <v>234</v>
      </c>
      <c r="V59" s="2" t="s">
        <v>226</v>
      </c>
      <c r="W59" s="2">
        <v>17</v>
      </c>
      <c r="X59" s="2">
        <v>300</v>
      </c>
      <c r="Y59" s="2">
        <v>420</v>
      </c>
      <c r="Z59" s="2" t="s">
        <v>231</v>
      </c>
      <c r="AA59" s="2" t="s">
        <v>226</v>
      </c>
      <c r="AB59" s="2">
        <v>17</v>
      </c>
      <c r="AC59" s="2">
        <v>300</v>
      </c>
      <c r="AD59" s="2">
        <v>420</v>
      </c>
      <c r="AE59" s="2" t="s">
        <v>232</v>
      </c>
      <c r="AF59" s="2" t="s">
        <v>226</v>
      </c>
      <c r="AG59" s="2">
        <v>17</v>
      </c>
      <c r="AH59" s="2">
        <v>300</v>
      </c>
      <c r="AI59" s="2">
        <v>420</v>
      </c>
      <c r="AJ59" s="2" t="s">
        <v>228</v>
      </c>
      <c r="AK59" s="2" t="s">
        <v>226</v>
      </c>
      <c r="AL59" s="2">
        <v>12</v>
      </c>
      <c r="AM59" s="2">
        <v>120</v>
      </c>
      <c r="AN59" s="2">
        <v>170</v>
      </c>
      <c r="AO59" s="2" t="s">
        <v>229</v>
      </c>
      <c r="AP59" s="2" t="s">
        <v>226</v>
      </c>
      <c r="AQ59" s="2">
        <v>12</v>
      </c>
      <c r="AR59" s="2">
        <v>160</v>
      </c>
      <c r="AS59" s="2">
        <v>200</v>
      </c>
      <c r="AT59" s="2" t="s">
        <v>230</v>
      </c>
      <c r="AU59" s="2" t="s">
        <v>226</v>
      </c>
      <c r="AV59" s="2">
        <v>8</v>
      </c>
      <c r="AW59" s="2">
        <v>2000</v>
      </c>
      <c r="AX59" s="2">
        <v>4000</v>
      </c>
    </row>
    <row r="60" spans="1:50" ht="16.5" x14ac:dyDescent="0.3">
      <c r="A60" s="2">
        <v>40044</v>
      </c>
      <c r="B60" s="2" t="s">
        <v>322</v>
      </c>
      <c r="C60" s="3" t="s">
        <v>102</v>
      </c>
      <c r="D60" s="2" t="s">
        <v>430</v>
      </c>
      <c r="E60" s="2"/>
      <c r="F60" s="2"/>
      <c r="G60" s="2">
        <v>4</v>
      </c>
      <c r="H60" s="2" t="s">
        <v>12</v>
      </c>
      <c r="I60" s="2">
        <v>320</v>
      </c>
      <c r="J60" s="2">
        <v>600</v>
      </c>
      <c r="K60" s="2" t="s">
        <v>44</v>
      </c>
      <c r="L60" s="2" t="s">
        <v>239</v>
      </c>
      <c r="M60" s="2" t="s">
        <v>226</v>
      </c>
      <c r="N60" s="2">
        <v>80000</v>
      </c>
      <c r="O60" s="2">
        <v>2</v>
      </c>
      <c r="P60" s="2" t="s">
        <v>233</v>
      </c>
      <c r="Q60" s="2" t="s">
        <v>226</v>
      </c>
      <c r="R60" s="2">
        <v>17</v>
      </c>
      <c r="S60" s="2">
        <v>3400</v>
      </c>
      <c r="T60" s="2">
        <v>4400</v>
      </c>
      <c r="U60" s="2" t="s">
        <v>234</v>
      </c>
      <c r="V60" s="2" t="s">
        <v>226</v>
      </c>
      <c r="W60" s="2">
        <v>17</v>
      </c>
      <c r="X60" s="2">
        <v>400</v>
      </c>
      <c r="Y60" s="2">
        <v>520</v>
      </c>
      <c r="Z60" s="2" t="s">
        <v>231</v>
      </c>
      <c r="AA60" s="2" t="s">
        <v>226</v>
      </c>
      <c r="AB60" s="2">
        <v>17</v>
      </c>
      <c r="AC60" s="2">
        <v>400</v>
      </c>
      <c r="AD60" s="2">
        <v>520</v>
      </c>
      <c r="AE60" s="2" t="s">
        <v>232</v>
      </c>
      <c r="AF60" s="2" t="s">
        <v>226</v>
      </c>
      <c r="AG60" s="2">
        <v>17</v>
      </c>
      <c r="AH60" s="2">
        <v>400</v>
      </c>
      <c r="AI60" s="2">
        <v>520</v>
      </c>
      <c r="AJ60" s="2" t="s">
        <v>228</v>
      </c>
      <c r="AK60" s="2" t="s">
        <v>226</v>
      </c>
      <c r="AL60" s="2">
        <v>12</v>
      </c>
      <c r="AM60" s="2">
        <v>150</v>
      </c>
      <c r="AN60" s="2">
        <v>200</v>
      </c>
      <c r="AO60" s="2" t="s">
        <v>229</v>
      </c>
      <c r="AP60" s="2" t="s">
        <v>226</v>
      </c>
      <c r="AQ60" s="2">
        <v>12</v>
      </c>
      <c r="AR60" s="2">
        <v>190</v>
      </c>
      <c r="AS60" s="2">
        <v>229.99999999999997</v>
      </c>
      <c r="AT60" s="2" t="s">
        <v>230</v>
      </c>
      <c r="AU60" s="2" t="s">
        <v>226</v>
      </c>
      <c r="AV60" s="2">
        <v>8</v>
      </c>
      <c r="AW60" s="2">
        <v>2000</v>
      </c>
      <c r="AX60" s="2">
        <v>5000</v>
      </c>
    </row>
    <row r="61" spans="1:50" ht="16.5" x14ac:dyDescent="0.3">
      <c r="A61" s="2">
        <v>40045</v>
      </c>
      <c r="B61" s="2" t="s">
        <v>323</v>
      </c>
      <c r="C61" s="3" t="s">
        <v>103</v>
      </c>
      <c r="D61" s="2" t="s">
        <v>430</v>
      </c>
      <c r="E61" s="2"/>
      <c r="F61" s="2"/>
      <c r="G61" s="2">
        <v>5</v>
      </c>
      <c r="H61" s="2" t="s">
        <v>12</v>
      </c>
      <c r="I61" s="2">
        <v>800</v>
      </c>
      <c r="J61" s="2">
        <v>2400</v>
      </c>
      <c r="K61" s="2" t="s">
        <v>44</v>
      </c>
      <c r="L61" s="2" t="s">
        <v>239</v>
      </c>
      <c r="M61" s="2" t="s">
        <v>226</v>
      </c>
      <c r="N61" s="2">
        <v>100000</v>
      </c>
      <c r="O61" s="2">
        <v>2</v>
      </c>
      <c r="P61" s="2" t="s">
        <v>233</v>
      </c>
      <c r="Q61" s="2" t="s">
        <v>226</v>
      </c>
      <c r="R61" s="2">
        <v>17</v>
      </c>
      <c r="S61" s="2">
        <v>4200</v>
      </c>
      <c r="T61" s="2">
        <v>5200</v>
      </c>
      <c r="U61" s="2" t="s">
        <v>234</v>
      </c>
      <c r="V61" s="2" t="s">
        <v>226</v>
      </c>
      <c r="W61" s="2">
        <v>17</v>
      </c>
      <c r="X61" s="2">
        <v>500</v>
      </c>
      <c r="Y61" s="2">
        <v>600</v>
      </c>
      <c r="Z61" s="2" t="s">
        <v>231</v>
      </c>
      <c r="AA61" s="2" t="s">
        <v>226</v>
      </c>
      <c r="AB61" s="2">
        <v>17</v>
      </c>
      <c r="AC61" s="2">
        <v>500</v>
      </c>
      <c r="AD61" s="2">
        <v>600</v>
      </c>
      <c r="AE61" s="2" t="s">
        <v>232</v>
      </c>
      <c r="AF61" s="2" t="s">
        <v>226</v>
      </c>
      <c r="AG61" s="2">
        <v>17</v>
      </c>
      <c r="AH61" s="2">
        <v>500</v>
      </c>
      <c r="AI61" s="2">
        <v>600</v>
      </c>
      <c r="AJ61" s="2" t="s">
        <v>228</v>
      </c>
      <c r="AK61" s="2" t="s">
        <v>226</v>
      </c>
      <c r="AL61" s="2">
        <v>12</v>
      </c>
      <c r="AM61" s="2">
        <v>190</v>
      </c>
      <c r="AN61" s="2">
        <v>240</v>
      </c>
      <c r="AO61" s="2" t="s">
        <v>229</v>
      </c>
      <c r="AP61" s="2" t="s">
        <v>226</v>
      </c>
      <c r="AQ61" s="2">
        <v>12</v>
      </c>
      <c r="AR61" s="2">
        <v>220.00000000000003</v>
      </c>
      <c r="AS61" s="2">
        <v>290</v>
      </c>
      <c r="AT61" s="2" t="s">
        <v>230</v>
      </c>
      <c r="AU61" s="2" t="s">
        <v>226</v>
      </c>
      <c r="AV61" s="2">
        <v>8</v>
      </c>
      <c r="AW61" s="2">
        <v>3000</v>
      </c>
      <c r="AX61" s="2">
        <v>6000</v>
      </c>
    </row>
    <row r="62" spans="1:50" ht="16.5" x14ac:dyDescent="0.3">
      <c r="A62" s="2">
        <v>40051</v>
      </c>
      <c r="B62" s="2" t="s">
        <v>324</v>
      </c>
      <c r="C62" s="3" t="s">
        <v>104</v>
      </c>
      <c r="D62" s="2" t="s">
        <v>430</v>
      </c>
      <c r="E62" s="2"/>
      <c r="F62" s="2"/>
      <c r="G62" s="2">
        <v>1</v>
      </c>
      <c r="H62" s="2" t="s">
        <v>12</v>
      </c>
      <c r="I62" s="2">
        <v>10</v>
      </c>
      <c r="J62" s="2">
        <v>15</v>
      </c>
      <c r="K62" s="2" t="s">
        <v>44</v>
      </c>
      <c r="L62" s="2" t="s">
        <v>240</v>
      </c>
      <c r="M62" s="2" t="s">
        <v>226</v>
      </c>
      <c r="N62" s="2">
        <v>100</v>
      </c>
      <c r="O62" s="2">
        <v>2</v>
      </c>
      <c r="P62" s="2" t="s">
        <v>233</v>
      </c>
      <c r="Q62" s="2" t="s">
        <v>226</v>
      </c>
      <c r="R62" s="2">
        <v>17</v>
      </c>
      <c r="S62" s="2">
        <v>800</v>
      </c>
      <c r="T62" s="2">
        <v>1600</v>
      </c>
      <c r="U62" s="2" t="s">
        <v>234</v>
      </c>
      <c r="V62" s="2" t="s">
        <v>226</v>
      </c>
      <c r="W62" s="2">
        <v>17</v>
      </c>
      <c r="X62" s="2">
        <v>100</v>
      </c>
      <c r="Y62" s="2">
        <v>220.00000000000003</v>
      </c>
      <c r="Z62" s="2" t="s">
        <v>231</v>
      </c>
      <c r="AA62" s="2" t="s">
        <v>226</v>
      </c>
      <c r="AB62" s="2">
        <v>17</v>
      </c>
      <c r="AC62" s="2">
        <v>100</v>
      </c>
      <c r="AD62" s="2">
        <v>220.00000000000003</v>
      </c>
      <c r="AE62" s="2" t="s">
        <v>232</v>
      </c>
      <c r="AF62" s="2" t="s">
        <v>226</v>
      </c>
      <c r="AG62" s="2">
        <v>17</v>
      </c>
      <c r="AH62" s="2">
        <v>100</v>
      </c>
      <c r="AI62" s="2">
        <v>220.00000000000003</v>
      </c>
      <c r="AJ62" s="2" t="s">
        <v>228</v>
      </c>
      <c r="AK62" s="2" t="s">
        <v>226</v>
      </c>
      <c r="AL62" s="2">
        <v>12</v>
      </c>
      <c r="AM62" s="2">
        <v>50</v>
      </c>
      <c r="AN62" s="2">
        <v>110.00000000000001</v>
      </c>
      <c r="AO62" s="2" t="s">
        <v>229</v>
      </c>
      <c r="AP62" s="2" t="s">
        <v>226</v>
      </c>
      <c r="AQ62" s="2">
        <v>12</v>
      </c>
      <c r="AR62" s="2">
        <v>80</v>
      </c>
      <c r="AS62" s="2">
        <v>140</v>
      </c>
      <c r="AT62" s="2" t="s">
        <v>230</v>
      </c>
      <c r="AU62" s="2" t="s">
        <v>226</v>
      </c>
      <c r="AV62" s="2">
        <v>8</v>
      </c>
      <c r="AW62" s="2">
        <v>1000</v>
      </c>
      <c r="AX62" s="2">
        <v>3000</v>
      </c>
    </row>
    <row r="63" spans="1:50" ht="16.5" x14ac:dyDescent="0.3">
      <c r="A63" s="2">
        <v>40052</v>
      </c>
      <c r="B63" s="2" t="s">
        <v>325</v>
      </c>
      <c r="C63" s="3" t="s">
        <v>105</v>
      </c>
      <c r="D63" s="2" t="s">
        <v>430</v>
      </c>
      <c r="E63" s="2"/>
      <c r="F63" s="2"/>
      <c r="G63" s="2">
        <v>2</v>
      </c>
      <c r="H63" s="2" t="s">
        <v>12</v>
      </c>
      <c r="I63" s="2">
        <v>20</v>
      </c>
      <c r="J63" s="2">
        <v>38</v>
      </c>
      <c r="K63" s="2" t="s">
        <v>44</v>
      </c>
      <c r="L63" s="2" t="s">
        <v>240</v>
      </c>
      <c r="M63" s="2" t="s">
        <v>226</v>
      </c>
      <c r="N63" s="2">
        <v>200</v>
      </c>
      <c r="O63" s="2">
        <v>2</v>
      </c>
      <c r="P63" s="2" t="s">
        <v>233</v>
      </c>
      <c r="Q63" s="2" t="s">
        <v>226</v>
      </c>
      <c r="R63" s="2">
        <v>17</v>
      </c>
      <c r="S63" s="2">
        <v>1400</v>
      </c>
      <c r="T63" s="2">
        <v>2600</v>
      </c>
      <c r="U63" s="2" t="s">
        <v>234</v>
      </c>
      <c r="V63" s="2" t="s">
        <v>226</v>
      </c>
      <c r="W63" s="2">
        <v>17</v>
      </c>
      <c r="X63" s="2">
        <v>200</v>
      </c>
      <c r="Y63" s="2">
        <v>320</v>
      </c>
      <c r="Z63" s="2" t="s">
        <v>231</v>
      </c>
      <c r="AA63" s="2" t="s">
        <v>226</v>
      </c>
      <c r="AB63" s="2">
        <v>17</v>
      </c>
      <c r="AC63" s="2">
        <v>200</v>
      </c>
      <c r="AD63" s="2">
        <v>320</v>
      </c>
      <c r="AE63" s="2" t="s">
        <v>232</v>
      </c>
      <c r="AF63" s="2" t="s">
        <v>226</v>
      </c>
      <c r="AG63" s="2">
        <v>17</v>
      </c>
      <c r="AH63" s="2">
        <v>200</v>
      </c>
      <c r="AI63" s="2">
        <v>320</v>
      </c>
      <c r="AJ63" s="2" t="s">
        <v>228</v>
      </c>
      <c r="AK63" s="2" t="s">
        <v>226</v>
      </c>
      <c r="AL63" s="2">
        <v>12</v>
      </c>
      <c r="AM63" s="2">
        <v>90</v>
      </c>
      <c r="AN63" s="2">
        <v>140</v>
      </c>
      <c r="AO63" s="2" t="s">
        <v>229</v>
      </c>
      <c r="AP63" s="2" t="s">
        <v>226</v>
      </c>
      <c r="AQ63" s="2">
        <v>12</v>
      </c>
      <c r="AR63" s="2">
        <v>130</v>
      </c>
      <c r="AS63" s="2">
        <v>170</v>
      </c>
      <c r="AT63" s="2" t="s">
        <v>230</v>
      </c>
      <c r="AU63" s="2" t="s">
        <v>226</v>
      </c>
      <c r="AV63" s="2">
        <v>8</v>
      </c>
      <c r="AW63" s="2">
        <v>1000</v>
      </c>
      <c r="AX63" s="2">
        <v>4000</v>
      </c>
    </row>
    <row r="64" spans="1:50" ht="16.5" x14ac:dyDescent="0.3">
      <c r="A64" s="2">
        <v>40053</v>
      </c>
      <c r="B64" s="2" t="s">
        <v>326</v>
      </c>
      <c r="C64" s="3" t="s">
        <v>106</v>
      </c>
      <c r="D64" s="2" t="s">
        <v>430</v>
      </c>
      <c r="E64" s="2"/>
      <c r="F64" s="2"/>
      <c r="G64" s="2">
        <v>3</v>
      </c>
      <c r="H64" s="2" t="s">
        <v>12</v>
      </c>
      <c r="I64" s="2">
        <v>80</v>
      </c>
      <c r="J64" s="2">
        <v>150</v>
      </c>
      <c r="K64" s="2" t="s">
        <v>44</v>
      </c>
      <c r="L64" s="2" t="s">
        <v>240</v>
      </c>
      <c r="M64" s="2" t="s">
        <v>226</v>
      </c>
      <c r="N64" s="2">
        <v>300</v>
      </c>
      <c r="O64" s="2">
        <v>2</v>
      </c>
      <c r="P64" s="2" t="s">
        <v>233</v>
      </c>
      <c r="Q64" s="2" t="s">
        <v>226</v>
      </c>
      <c r="R64" s="2">
        <v>17</v>
      </c>
      <c r="S64" s="2">
        <v>2400</v>
      </c>
      <c r="T64" s="2">
        <v>3600</v>
      </c>
      <c r="U64" s="2" t="s">
        <v>234</v>
      </c>
      <c r="V64" s="2" t="s">
        <v>226</v>
      </c>
      <c r="W64" s="2">
        <v>17</v>
      </c>
      <c r="X64" s="2">
        <v>300</v>
      </c>
      <c r="Y64" s="2">
        <v>420</v>
      </c>
      <c r="Z64" s="2" t="s">
        <v>231</v>
      </c>
      <c r="AA64" s="2" t="s">
        <v>226</v>
      </c>
      <c r="AB64" s="2">
        <v>17</v>
      </c>
      <c r="AC64" s="2">
        <v>300</v>
      </c>
      <c r="AD64" s="2">
        <v>420</v>
      </c>
      <c r="AE64" s="2" t="s">
        <v>232</v>
      </c>
      <c r="AF64" s="2" t="s">
        <v>226</v>
      </c>
      <c r="AG64" s="2">
        <v>17</v>
      </c>
      <c r="AH64" s="2">
        <v>300</v>
      </c>
      <c r="AI64" s="2">
        <v>420</v>
      </c>
      <c r="AJ64" s="2" t="s">
        <v>228</v>
      </c>
      <c r="AK64" s="2" t="s">
        <v>226</v>
      </c>
      <c r="AL64" s="2">
        <v>12</v>
      </c>
      <c r="AM64" s="2">
        <v>120</v>
      </c>
      <c r="AN64" s="2">
        <v>170</v>
      </c>
      <c r="AO64" s="2" t="s">
        <v>229</v>
      </c>
      <c r="AP64" s="2" t="s">
        <v>226</v>
      </c>
      <c r="AQ64" s="2">
        <v>12</v>
      </c>
      <c r="AR64" s="2">
        <v>160</v>
      </c>
      <c r="AS64" s="2">
        <v>200</v>
      </c>
      <c r="AT64" s="2" t="s">
        <v>230</v>
      </c>
      <c r="AU64" s="2" t="s">
        <v>226</v>
      </c>
      <c r="AV64" s="2">
        <v>8</v>
      </c>
      <c r="AW64" s="2">
        <v>2000</v>
      </c>
      <c r="AX64" s="2">
        <v>4000</v>
      </c>
    </row>
    <row r="65" spans="1:50" ht="16.5" x14ac:dyDescent="0.3">
      <c r="A65" s="2">
        <v>40054</v>
      </c>
      <c r="B65" s="2" t="s">
        <v>327</v>
      </c>
      <c r="C65" s="3" t="s">
        <v>107</v>
      </c>
      <c r="D65" s="2" t="s">
        <v>430</v>
      </c>
      <c r="E65" s="2"/>
      <c r="F65" s="2"/>
      <c r="G65" s="2">
        <v>4</v>
      </c>
      <c r="H65" s="2" t="s">
        <v>12</v>
      </c>
      <c r="I65" s="2">
        <v>320</v>
      </c>
      <c r="J65" s="2">
        <v>600</v>
      </c>
      <c r="K65" s="2" t="s">
        <v>44</v>
      </c>
      <c r="L65" s="2" t="s">
        <v>240</v>
      </c>
      <c r="M65" s="2" t="s">
        <v>226</v>
      </c>
      <c r="N65" s="2">
        <v>400</v>
      </c>
      <c r="O65" s="2">
        <v>2</v>
      </c>
      <c r="P65" s="2" t="s">
        <v>233</v>
      </c>
      <c r="Q65" s="2" t="s">
        <v>226</v>
      </c>
      <c r="R65" s="2">
        <v>17</v>
      </c>
      <c r="S65" s="2">
        <v>3400</v>
      </c>
      <c r="T65" s="2">
        <v>4400</v>
      </c>
      <c r="U65" s="2" t="s">
        <v>234</v>
      </c>
      <c r="V65" s="2" t="s">
        <v>226</v>
      </c>
      <c r="W65" s="2">
        <v>17</v>
      </c>
      <c r="X65" s="2">
        <v>400</v>
      </c>
      <c r="Y65" s="2">
        <v>520</v>
      </c>
      <c r="Z65" s="2" t="s">
        <v>231</v>
      </c>
      <c r="AA65" s="2" t="s">
        <v>226</v>
      </c>
      <c r="AB65" s="2">
        <v>17</v>
      </c>
      <c r="AC65" s="2">
        <v>400</v>
      </c>
      <c r="AD65" s="2">
        <v>520</v>
      </c>
      <c r="AE65" s="2" t="s">
        <v>232</v>
      </c>
      <c r="AF65" s="2" t="s">
        <v>226</v>
      </c>
      <c r="AG65" s="2">
        <v>17</v>
      </c>
      <c r="AH65" s="2">
        <v>400</v>
      </c>
      <c r="AI65" s="2">
        <v>520</v>
      </c>
      <c r="AJ65" s="2" t="s">
        <v>228</v>
      </c>
      <c r="AK65" s="2" t="s">
        <v>226</v>
      </c>
      <c r="AL65" s="2">
        <v>12</v>
      </c>
      <c r="AM65" s="2">
        <v>150</v>
      </c>
      <c r="AN65" s="2">
        <v>200</v>
      </c>
      <c r="AO65" s="2" t="s">
        <v>229</v>
      </c>
      <c r="AP65" s="2" t="s">
        <v>226</v>
      </c>
      <c r="AQ65" s="2">
        <v>12</v>
      </c>
      <c r="AR65" s="2">
        <v>190</v>
      </c>
      <c r="AS65" s="2">
        <v>229.99999999999997</v>
      </c>
      <c r="AT65" s="2" t="s">
        <v>230</v>
      </c>
      <c r="AU65" s="2" t="s">
        <v>226</v>
      </c>
      <c r="AV65" s="2">
        <v>8</v>
      </c>
      <c r="AW65" s="2">
        <v>2000</v>
      </c>
      <c r="AX65" s="2">
        <v>5000</v>
      </c>
    </row>
    <row r="66" spans="1:50" ht="16.5" x14ac:dyDescent="0.3">
      <c r="A66" s="2">
        <v>40055</v>
      </c>
      <c r="B66" s="2" t="s">
        <v>328</v>
      </c>
      <c r="C66" s="3" t="s">
        <v>108</v>
      </c>
      <c r="D66" s="2" t="s">
        <v>430</v>
      </c>
      <c r="E66" s="2"/>
      <c r="F66" s="2"/>
      <c r="G66" s="2">
        <v>5</v>
      </c>
      <c r="H66" s="2" t="s">
        <v>12</v>
      </c>
      <c r="I66" s="2">
        <v>800</v>
      </c>
      <c r="J66" s="2">
        <v>2400</v>
      </c>
      <c r="K66" s="2" t="s">
        <v>44</v>
      </c>
      <c r="L66" s="2" t="s">
        <v>240</v>
      </c>
      <c r="M66" s="2" t="s">
        <v>226</v>
      </c>
      <c r="N66" s="2">
        <v>500</v>
      </c>
      <c r="O66" s="2">
        <v>2</v>
      </c>
      <c r="P66" s="2" t="s">
        <v>233</v>
      </c>
      <c r="Q66" s="2" t="s">
        <v>226</v>
      </c>
      <c r="R66" s="2">
        <v>17</v>
      </c>
      <c r="S66" s="2">
        <v>4200</v>
      </c>
      <c r="T66" s="2">
        <v>5200</v>
      </c>
      <c r="U66" s="2" t="s">
        <v>234</v>
      </c>
      <c r="V66" s="2" t="s">
        <v>226</v>
      </c>
      <c r="W66" s="2">
        <v>17</v>
      </c>
      <c r="X66" s="2">
        <v>500</v>
      </c>
      <c r="Y66" s="2">
        <v>600</v>
      </c>
      <c r="Z66" s="2" t="s">
        <v>231</v>
      </c>
      <c r="AA66" s="2" t="s">
        <v>226</v>
      </c>
      <c r="AB66" s="2">
        <v>17</v>
      </c>
      <c r="AC66" s="2">
        <v>500</v>
      </c>
      <c r="AD66" s="2">
        <v>600</v>
      </c>
      <c r="AE66" s="2" t="s">
        <v>232</v>
      </c>
      <c r="AF66" s="2" t="s">
        <v>226</v>
      </c>
      <c r="AG66" s="2">
        <v>17</v>
      </c>
      <c r="AH66" s="2">
        <v>500</v>
      </c>
      <c r="AI66" s="2">
        <v>600</v>
      </c>
      <c r="AJ66" s="2" t="s">
        <v>228</v>
      </c>
      <c r="AK66" s="2" t="s">
        <v>226</v>
      </c>
      <c r="AL66" s="2">
        <v>12</v>
      </c>
      <c r="AM66" s="2">
        <v>190</v>
      </c>
      <c r="AN66" s="2">
        <v>240</v>
      </c>
      <c r="AO66" s="2" t="s">
        <v>229</v>
      </c>
      <c r="AP66" s="2" t="s">
        <v>226</v>
      </c>
      <c r="AQ66" s="2">
        <v>12</v>
      </c>
      <c r="AR66" s="2">
        <v>220.00000000000003</v>
      </c>
      <c r="AS66" s="2">
        <v>290</v>
      </c>
      <c r="AT66" s="2" t="s">
        <v>230</v>
      </c>
      <c r="AU66" s="2" t="s">
        <v>226</v>
      </c>
      <c r="AV66" s="2">
        <v>8</v>
      </c>
      <c r="AW66" s="2">
        <v>3000</v>
      </c>
      <c r="AX66" s="2">
        <v>6000</v>
      </c>
    </row>
    <row r="67" spans="1:50" ht="16.5" x14ac:dyDescent="0.3">
      <c r="A67" s="2">
        <v>40061</v>
      </c>
      <c r="B67" s="2" t="s">
        <v>329</v>
      </c>
      <c r="C67" s="3" t="s">
        <v>109</v>
      </c>
      <c r="D67" s="2" t="s">
        <v>430</v>
      </c>
      <c r="E67" s="2"/>
      <c r="F67" s="2"/>
      <c r="G67" s="2">
        <v>1</v>
      </c>
      <c r="H67" s="2" t="s">
        <v>12</v>
      </c>
      <c r="I67" s="2">
        <v>10</v>
      </c>
      <c r="J67" s="2">
        <v>15</v>
      </c>
      <c r="K67" s="2" t="s">
        <v>44</v>
      </c>
      <c r="L67" s="2" t="s">
        <v>241</v>
      </c>
      <c r="M67" s="2" t="s">
        <v>226</v>
      </c>
      <c r="N67" s="2">
        <v>100</v>
      </c>
      <c r="O67" s="2">
        <v>2</v>
      </c>
      <c r="P67" s="2" t="s">
        <v>233</v>
      </c>
      <c r="Q67" s="2" t="s">
        <v>226</v>
      </c>
      <c r="R67" s="2">
        <v>17</v>
      </c>
      <c r="S67" s="2">
        <v>800</v>
      </c>
      <c r="T67" s="2">
        <v>1600</v>
      </c>
      <c r="U67" s="2" t="s">
        <v>234</v>
      </c>
      <c r="V67" s="2" t="s">
        <v>226</v>
      </c>
      <c r="W67" s="2">
        <v>17</v>
      </c>
      <c r="X67" s="2">
        <v>100</v>
      </c>
      <c r="Y67" s="2">
        <v>220.00000000000003</v>
      </c>
      <c r="Z67" s="2" t="s">
        <v>231</v>
      </c>
      <c r="AA67" s="2" t="s">
        <v>226</v>
      </c>
      <c r="AB67" s="2">
        <v>17</v>
      </c>
      <c r="AC67" s="2">
        <v>100</v>
      </c>
      <c r="AD67" s="2">
        <v>220.00000000000003</v>
      </c>
      <c r="AE67" s="2" t="s">
        <v>232</v>
      </c>
      <c r="AF67" s="2" t="s">
        <v>226</v>
      </c>
      <c r="AG67" s="2">
        <v>17</v>
      </c>
      <c r="AH67" s="2">
        <v>100</v>
      </c>
      <c r="AI67" s="2">
        <v>220.00000000000003</v>
      </c>
      <c r="AJ67" s="2" t="s">
        <v>228</v>
      </c>
      <c r="AK67" s="2" t="s">
        <v>226</v>
      </c>
      <c r="AL67" s="2">
        <v>12</v>
      </c>
      <c r="AM67" s="2">
        <v>50</v>
      </c>
      <c r="AN67" s="2">
        <v>110.00000000000001</v>
      </c>
      <c r="AO67" s="2" t="s">
        <v>229</v>
      </c>
      <c r="AP67" s="2" t="s">
        <v>226</v>
      </c>
      <c r="AQ67" s="2">
        <v>12</v>
      </c>
      <c r="AR67" s="2">
        <v>80</v>
      </c>
      <c r="AS67" s="2">
        <v>140</v>
      </c>
      <c r="AT67" s="2" t="s">
        <v>230</v>
      </c>
      <c r="AU67" s="2" t="s">
        <v>226</v>
      </c>
      <c r="AV67" s="2">
        <v>8</v>
      </c>
      <c r="AW67" s="2">
        <v>1000</v>
      </c>
      <c r="AX67" s="2">
        <v>3000</v>
      </c>
    </row>
    <row r="68" spans="1:50" ht="16.5" x14ac:dyDescent="0.3">
      <c r="A68" s="2">
        <v>40062</v>
      </c>
      <c r="B68" s="2" t="s">
        <v>330</v>
      </c>
      <c r="C68" s="3" t="s">
        <v>110</v>
      </c>
      <c r="D68" s="2" t="s">
        <v>430</v>
      </c>
      <c r="E68" s="2"/>
      <c r="F68" s="2"/>
      <c r="G68" s="2">
        <v>2</v>
      </c>
      <c r="H68" s="2" t="s">
        <v>12</v>
      </c>
      <c r="I68" s="2">
        <v>20</v>
      </c>
      <c r="J68" s="2">
        <v>38</v>
      </c>
      <c r="K68" s="2" t="s">
        <v>44</v>
      </c>
      <c r="L68" s="2" t="s">
        <v>241</v>
      </c>
      <c r="M68" s="2" t="s">
        <v>226</v>
      </c>
      <c r="N68" s="2">
        <v>200</v>
      </c>
      <c r="O68" s="2">
        <v>2</v>
      </c>
      <c r="P68" s="2" t="s">
        <v>233</v>
      </c>
      <c r="Q68" s="2" t="s">
        <v>226</v>
      </c>
      <c r="R68" s="2">
        <v>17</v>
      </c>
      <c r="S68" s="2">
        <v>1400</v>
      </c>
      <c r="T68" s="2">
        <v>2600</v>
      </c>
      <c r="U68" s="2" t="s">
        <v>234</v>
      </c>
      <c r="V68" s="2" t="s">
        <v>226</v>
      </c>
      <c r="W68" s="2">
        <v>17</v>
      </c>
      <c r="X68" s="2">
        <v>200</v>
      </c>
      <c r="Y68" s="2">
        <v>320</v>
      </c>
      <c r="Z68" s="2" t="s">
        <v>231</v>
      </c>
      <c r="AA68" s="2" t="s">
        <v>226</v>
      </c>
      <c r="AB68" s="2">
        <v>17</v>
      </c>
      <c r="AC68" s="2">
        <v>200</v>
      </c>
      <c r="AD68" s="2">
        <v>320</v>
      </c>
      <c r="AE68" s="2" t="s">
        <v>232</v>
      </c>
      <c r="AF68" s="2" t="s">
        <v>226</v>
      </c>
      <c r="AG68" s="2">
        <v>17</v>
      </c>
      <c r="AH68" s="2">
        <v>200</v>
      </c>
      <c r="AI68" s="2">
        <v>320</v>
      </c>
      <c r="AJ68" s="2" t="s">
        <v>228</v>
      </c>
      <c r="AK68" s="2" t="s">
        <v>226</v>
      </c>
      <c r="AL68" s="2">
        <v>12</v>
      </c>
      <c r="AM68" s="2">
        <v>90</v>
      </c>
      <c r="AN68" s="2">
        <v>140</v>
      </c>
      <c r="AO68" s="2" t="s">
        <v>229</v>
      </c>
      <c r="AP68" s="2" t="s">
        <v>226</v>
      </c>
      <c r="AQ68" s="2">
        <v>12</v>
      </c>
      <c r="AR68" s="2">
        <v>130</v>
      </c>
      <c r="AS68" s="2">
        <v>170</v>
      </c>
      <c r="AT68" s="2" t="s">
        <v>230</v>
      </c>
      <c r="AU68" s="2" t="s">
        <v>226</v>
      </c>
      <c r="AV68" s="2">
        <v>8</v>
      </c>
      <c r="AW68" s="2">
        <v>1000</v>
      </c>
      <c r="AX68" s="2">
        <v>4000</v>
      </c>
    </row>
    <row r="69" spans="1:50" ht="16.5" x14ac:dyDescent="0.3">
      <c r="A69" s="2">
        <v>40063</v>
      </c>
      <c r="B69" s="2" t="s">
        <v>331</v>
      </c>
      <c r="C69" s="3" t="s">
        <v>111</v>
      </c>
      <c r="D69" s="2" t="s">
        <v>430</v>
      </c>
      <c r="E69" s="2"/>
      <c r="F69" s="2"/>
      <c r="G69" s="2">
        <v>3</v>
      </c>
      <c r="H69" s="2" t="s">
        <v>12</v>
      </c>
      <c r="I69" s="2">
        <v>80</v>
      </c>
      <c r="J69" s="2">
        <v>150</v>
      </c>
      <c r="K69" s="2" t="s">
        <v>44</v>
      </c>
      <c r="L69" s="2" t="s">
        <v>241</v>
      </c>
      <c r="M69" s="2" t="s">
        <v>226</v>
      </c>
      <c r="N69" s="2">
        <v>300</v>
      </c>
      <c r="O69" s="2">
        <v>2</v>
      </c>
      <c r="P69" s="2" t="s">
        <v>233</v>
      </c>
      <c r="Q69" s="2" t="s">
        <v>226</v>
      </c>
      <c r="R69" s="2">
        <v>17</v>
      </c>
      <c r="S69" s="2">
        <v>2400</v>
      </c>
      <c r="T69" s="2">
        <v>3600</v>
      </c>
      <c r="U69" s="2" t="s">
        <v>234</v>
      </c>
      <c r="V69" s="2" t="s">
        <v>226</v>
      </c>
      <c r="W69" s="2">
        <v>17</v>
      </c>
      <c r="X69" s="2">
        <v>300</v>
      </c>
      <c r="Y69" s="2">
        <v>420</v>
      </c>
      <c r="Z69" s="2" t="s">
        <v>231</v>
      </c>
      <c r="AA69" s="2" t="s">
        <v>226</v>
      </c>
      <c r="AB69" s="2">
        <v>17</v>
      </c>
      <c r="AC69" s="2">
        <v>300</v>
      </c>
      <c r="AD69" s="2">
        <v>420</v>
      </c>
      <c r="AE69" s="2" t="s">
        <v>232</v>
      </c>
      <c r="AF69" s="2" t="s">
        <v>226</v>
      </c>
      <c r="AG69" s="2">
        <v>17</v>
      </c>
      <c r="AH69" s="2">
        <v>300</v>
      </c>
      <c r="AI69" s="2">
        <v>420</v>
      </c>
      <c r="AJ69" s="2" t="s">
        <v>228</v>
      </c>
      <c r="AK69" s="2" t="s">
        <v>226</v>
      </c>
      <c r="AL69" s="2">
        <v>12</v>
      </c>
      <c r="AM69" s="2">
        <v>120</v>
      </c>
      <c r="AN69" s="2">
        <v>170</v>
      </c>
      <c r="AO69" s="2" t="s">
        <v>229</v>
      </c>
      <c r="AP69" s="2" t="s">
        <v>226</v>
      </c>
      <c r="AQ69" s="2">
        <v>12</v>
      </c>
      <c r="AR69" s="2">
        <v>160</v>
      </c>
      <c r="AS69" s="2">
        <v>200</v>
      </c>
      <c r="AT69" s="2" t="s">
        <v>230</v>
      </c>
      <c r="AU69" s="2" t="s">
        <v>226</v>
      </c>
      <c r="AV69" s="2">
        <v>8</v>
      </c>
      <c r="AW69" s="2">
        <v>2000</v>
      </c>
      <c r="AX69" s="2">
        <v>4000</v>
      </c>
    </row>
    <row r="70" spans="1:50" ht="16.5" x14ac:dyDescent="0.3">
      <c r="A70" s="2">
        <v>40064</v>
      </c>
      <c r="B70" s="2" t="s">
        <v>332</v>
      </c>
      <c r="C70" s="3" t="s">
        <v>112</v>
      </c>
      <c r="D70" s="2" t="s">
        <v>430</v>
      </c>
      <c r="E70" s="2"/>
      <c r="F70" s="2"/>
      <c r="G70" s="2">
        <v>4</v>
      </c>
      <c r="H70" s="2" t="s">
        <v>12</v>
      </c>
      <c r="I70" s="2">
        <v>320</v>
      </c>
      <c r="J70" s="2">
        <v>600</v>
      </c>
      <c r="K70" s="2" t="s">
        <v>44</v>
      </c>
      <c r="L70" s="2" t="s">
        <v>241</v>
      </c>
      <c r="M70" s="2" t="s">
        <v>226</v>
      </c>
      <c r="N70" s="2">
        <v>400</v>
      </c>
      <c r="O70" s="2">
        <v>2</v>
      </c>
      <c r="P70" s="2" t="s">
        <v>233</v>
      </c>
      <c r="Q70" s="2" t="s">
        <v>226</v>
      </c>
      <c r="R70" s="2">
        <v>17</v>
      </c>
      <c r="S70" s="2">
        <v>3400</v>
      </c>
      <c r="T70" s="2">
        <v>4400</v>
      </c>
      <c r="U70" s="2" t="s">
        <v>234</v>
      </c>
      <c r="V70" s="2" t="s">
        <v>226</v>
      </c>
      <c r="W70" s="2">
        <v>17</v>
      </c>
      <c r="X70" s="2">
        <v>400</v>
      </c>
      <c r="Y70" s="2">
        <v>520</v>
      </c>
      <c r="Z70" s="2" t="s">
        <v>231</v>
      </c>
      <c r="AA70" s="2" t="s">
        <v>226</v>
      </c>
      <c r="AB70" s="2">
        <v>17</v>
      </c>
      <c r="AC70" s="2">
        <v>400</v>
      </c>
      <c r="AD70" s="2">
        <v>520</v>
      </c>
      <c r="AE70" s="2" t="s">
        <v>232</v>
      </c>
      <c r="AF70" s="2" t="s">
        <v>226</v>
      </c>
      <c r="AG70" s="2">
        <v>17</v>
      </c>
      <c r="AH70" s="2">
        <v>400</v>
      </c>
      <c r="AI70" s="2">
        <v>520</v>
      </c>
      <c r="AJ70" s="2" t="s">
        <v>228</v>
      </c>
      <c r="AK70" s="2" t="s">
        <v>226</v>
      </c>
      <c r="AL70" s="2">
        <v>12</v>
      </c>
      <c r="AM70" s="2">
        <v>150</v>
      </c>
      <c r="AN70" s="2">
        <v>200</v>
      </c>
      <c r="AO70" s="2" t="s">
        <v>229</v>
      </c>
      <c r="AP70" s="2" t="s">
        <v>226</v>
      </c>
      <c r="AQ70" s="2">
        <v>12</v>
      </c>
      <c r="AR70" s="2">
        <v>190</v>
      </c>
      <c r="AS70" s="2">
        <v>229.99999999999997</v>
      </c>
      <c r="AT70" s="2" t="s">
        <v>230</v>
      </c>
      <c r="AU70" s="2" t="s">
        <v>226</v>
      </c>
      <c r="AV70" s="2">
        <v>8</v>
      </c>
      <c r="AW70" s="2">
        <v>2000</v>
      </c>
      <c r="AX70" s="2">
        <v>5000</v>
      </c>
    </row>
    <row r="71" spans="1:50" ht="16.5" x14ac:dyDescent="0.3">
      <c r="A71" s="2">
        <v>40065</v>
      </c>
      <c r="B71" s="2" t="s">
        <v>333</v>
      </c>
      <c r="C71" s="3" t="s">
        <v>113</v>
      </c>
      <c r="D71" s="2" t="s">
        <v>430</v>
      </c>
      <c r="E71" s="2"/>
      <c r="F71" s="2"/>
      <c r="G71" s="2">
        <v>5</v>
      </c>
      <c r="H71" s="2" t="s">
        <v>12</v>
      </c>
      <c r="I71" s="2">
        <v>800</v>
      </c>
      <c r="J71" s="2">
        <v>2400</v>
      </c>
      <c r="K71" s="2" t="s">
        <v>44</v>
      </c>
      <c r="L71" s="2" t="s">
        <v>241</v>
      </c>
      <c r="M71" s="2" t="s">
        <v>226</v>
      </c>
      <c r="N71" s="2">
        <v>500</v>
      </c>
      <c r="O71" s="2">
        <v>2</v>
      </c>
      <c r="P71" s="2" t="s">
        <v>233</v>
      </c>
      <c r="Q71" s="2" t="s">
        <v>226</v>
      </c>
      <c r="R71" s="2">
        <v>17</v>
      </c>
      <c r="S71" s="2">
        <v>4200</v>
      </c>
      <c r="T71" s="2">
        <v>5200</v>
      </c>
      <c r="U71" s="2" t="s">
        <v>234</v>
      </c>
      <c r="V71" s="2" t="s">
        <v>226</v>
      </c>
      <c r="W71" s="2">
        <v>17</v>
      </c>
      <c r="X71" s="2">
        <v>500</v>
      </c>
      <c r="Y71" s="2">
        <v>600</v>
      </c>
      <c r="Z71" s="2" t="s">
        <v>231</v>
      </c>
      <c r="AA71" s="2" t="s">
        <v>226</v>
      </c>
      <c r="AB71" s="2">
        <v>17</v>
      </c>
      <c r="AC71" s="2">
        <v>500</v>
      </c>
      <c r="AD71" s="2">
        <v>600</v>
      </c>
      <c r="AE71" s="2" t="s">
        <v>232</v>
      </c>
      <c r="AF71" s="2" t="s">
        <v>226</v>
      </c>
      <c r="AG71" s="2">
        <v>17</v>
      </c>
      <c r="AH71" s="2">
        <v>500</v>
      </c>
      <c r="AI71" s="2">
        <v>600</v>
      </c>
      <c r="AJ71" s="2" t="s">
        <v>228</v>
      </c>
      <c r="AK71" s="2" t="s">
        <v>226</v>
      </c>
      <c r="AL71" s="2">
        <v>12</v>
      </c>
      <c r="AM71" s="2">
        <v>190</v>
      </c>
      <c r="AN71" s="2">
        <v>240</v>
      </c>
      <c r="AO71" s="2" t="s">
        <v>229</v>
      </c>
      <c r="AP71" s="2" t="s">
        <v>226</v>
      </c>
      <c r="AQ71" s="2">
        <v>12</v>
      </c>
      <c r="AR71" s="2">
        <v>220.00000000000003</v>
      </c>
      <c r="AS71" s="2">
        <v>290</v>
      </c>
      <c r="AT71" s="2" t="s">
        <v>230</v>
      </c>
      <c r="AU71" s="2" t="s">
        <v>226</v>
      </c>
      <c r="AV71" s="2">
        <v>8</v>
      </c>
      <c r="AW71" s="2">
        <v>3000</v>
      </c>
      <c r="AX71" s="2">
        <v>6000</v>
      </c>
    </row>
    <row r="72" spans="1:50" ht="16.5" x14ac:dyDescent="0.3">
      <c r="A72" s="2">
        <v>40071</v>
      </c>
      <c r="B72" s="2" t="s">
        <v>334</v>
      </c>
      <c r="C72" s="3" t="s">
        <v>114</v>
      </c>
      <c r="D72" s="2" t="s">
        <v>430</v>
      </c>
      <c r="E72" s="2"/>
      <c r="F72" s="2"/>
      <c r="G72" s="2">
        <v>1</v>
      </c>
      <c r="H72" s="2" t="s">
        <v>12</v>
      </c>
      <c r="I72" s="2">
        <v>10</v>
      </c>
      <c r="J72" s="2">
        <v>15</v>
      </c>
      <c r="K72" s="2" t="s">
        <v>44</v>
      </c>
      <c r="L72" s="2" t="s">
        <v>242</v>
      </c>
      <c r="M72" s="2" t="s">
        <v>226</v>
      </c>
      <c r="N72" s="2">
        <v>10000</v>
      </c>
      <c r="O72" s="2">
        <v>2</v>
      </c>
      <c r="P72" s="2" t="s">
        <v>233</v>
      </c>
      <c r="Q72" s="2" t="s">
        <v>226</v>
      </c>
      <c r="R72" s="2">
        <v>17</v>
      </c>
      <c r="S72" s="2">
        <v>800</v>
      </c>
      <c r="T72" s="2">
        <v>1600</v>
      </c>
      <c r="U72" s="2" t="s">
        <v>234</v>
      </c>
      <c r="V72" s="2" t="s">
        <v>226</v>
      </c>
      <c r="W72" s="2">
        <v>17</v>
      </c>
      <c r="X72" s="2">
        <v>100</v>
      </c>
      <c r="Y72" s="2">
        <v>220.00000000000003</v>
      </c>
      <c r="Z72" s="2" t="s">
        <v>231</v>
      </c>
      <c r="AA72" s="2" t="s">
        <v>226</v>
      </c>
      <c r="AB72" s="2">
        <v>17</v>
      </c>
      <c r="AC72" s="2">
        <v>100</v>
      </c>
      <c r="AD72" s="2">
        <v>220.00000000000003</v>
      </c>
      <c r="AE72" s="2" t="s">
        <v>232</v>
      </c>
      <c r="AF72" s="2" t="s">
        <v>226</v>
      </c>
      <c r="AG72" s="2">
        <v>17</v>
      </c>
      <c r="AH72" s="2">
        <v>100</v>
      </c>
      <c r="AI72" s="2">
        <v>220.00000000000003</v>
      </c>
      <c r="AJ72" s="2" t="s">
        <v>228</v>
      </c>
      <c r="AK72" s="2" t="s">
        <v>226</v>
      </c>
      <c r="AL72" s="2">
        <v>12</v>
      </c>
      <c r="AM72" s="2">
        <v>50</v>
      </c>
      <c r="AN72" s="2">
        <v>110.00000000000001</v>
      </c>
      <c r="AO72" s="2" t="s">
        <v>229</v>
      </c>
      <c r="AP72" s="2" t="s">
        <v>226</v>
      </c>
      <c r="AQ72" s="2">
        <v>12</v>
      </c>
      <c r="AR72" s="2">
        <v>80</v>
      </c>
      <c r="AS72" s="2">
        <v>140</v>
      </c>
      <c r="AT72" s="2" t="s">
        <v>230</v>
      </c>
      <c r="AU72" s="2" t="s">
        <v>226</v>
      </c>
      <c r="AV72" s="2">
        <v>8</v>
      </c>
      <c r="AW72" s="2">
        <v>1000</v>
      </c>
      <c r="AX72" s="2">
        <v>3000</v>
      </c>
    </row>
    <row r="73" spans="1:50" ht="16.5" x14ac:dyDescent="0.3">
      <c r="A73" s="2">
        <v>40072</v>
      </c>
      <c r="B73" s="2" t="s">
        <v>335</v>
      </c>
      <c r="C73" s="3" t="s">
        <v>115</v>
      </c>
      <c r="D73" s="2" t="s">
        <v>430</v>
      </c>
      <c r="E73" s="2"/>
      <c r="F73" s="2"/>
      <c r="G73" s="2">
        <v>2</v>
      </c>
      <c r="H73" s="2" t="s">
        <v>12</v>
      </c>
      <c r="I73" s="2">
        <v>20</v>
      </c>
      <c r="J73" s="2">
        <v>38</v>
      </c>
      <c r="K73" s="2" t="s">
        <v>44</v>
      </c>
      <c r="L73" s="2" t="s">
        <v>242</v>
      </c>
      <c r="M73" s="2" t="s">
        <v>226</v>
      </c>
      <c r="N73" s="2">
        <v>20000</v>
      </c>
      <c r="O73" s="2">
        <v>2</v>
      </c>
      <c r="P73" s="2" t="s">
        <v>233</v>
      </c>
      <c r="Q73" s="2" t="s">
        <v>226</v>
      </c>
      <c r="R73" s="2">
        <v>17</v>
      </c>
      <c r="S73" s="2">
        <v>1400</v>
      </c>
      <c r="T73" s="2">
        <v>2600</v>
      </c>
      <c r="U73" s="2" t="s">
        <v>234</v>
      </c>
      <c r="V73" s="2" t="s">
        <v>226</v>
      </c>
      <c r="W73" s="2">
        <v>17</v>
      </c>
      <c r="X73" s="2">
        <v>200</v>
      </c>
      <c r="Y73" s="2">
        <v>320</v>
      </c>
      <c r="Z73" s="2" t="s">
        <v>231</v>
      </c>
      <c r="AA73" s="2" t="s">
        <v>226</v>
      </c>
      <c r="AB73" s="2">
        <v>17</v>
      </c>
      <c r="AC73" s="2">
        <v>200</v>
      </c>
      <c r="AD73" s="2">
        <v>320</v>
      </c>
      <c r="AE73" s="2" t="s">
        <v>232</v>
      </c>
      <c r="AF73" s="2" t="s">
        <v>226</v>
      </c>
      <c r="AG73" s="2">
        <v>17</v>
      </c>
      <c r="AH73" s="2">
        <v>200</v>
      </c>
      <c r="AI73" s="2">
        <v>320</v>
      </c>
      <c r="AJ73" s="2" t="s">
        <v>228</v>
      </c>
      <c r="AK73" s="2" t="s">
        <v>226</v>
      </c>
      <c r="AL73" s="2">
        <v>12</v>
      </c>
      <c r="AM73" s="2">
        <v>90</v>
      </c>
      <c r="AN73" s="2">
        <v>140</v>
      </c>
      <c r="AO73" s="2" t="s">
        <v>229</v>
      </c>
      <c r="AP73" s="2" t="s">
        <v>226</v>
      </c>
      <c r="AQ73" s="2">
        <v>12</v>
      </c>
      <c r="AR73" s="2">
        <v>130</v>
      </c>
      <c r="AS73" s="2">
        <v>170</v>
      </c>
      <c r="AT73" s="2" t="s">
        <v>230</v>
      </c>
      <c r="AU73" s="2" t="s">
        <v>226</v>
      </c>
      <c r="AV73" s="2">
        <v>8</v>
      </c>
      <c r="AW73" s="2">
        <v>1000</v>
      </c>
      <c r="AX73" s="2">
        <v>4000</v>
      </c>
    </row>
    <row r="74" spans="1:50" ht="16.5" x14ac:dyDescent="0.3">
      <c r="A74" s="2">
        <v>40073</v>
      </c>
      <c r="B74" s="2" t="s">
        <v>336</v>
      </c>
      <c r="C74" s="3" t="s">
        <v>116</v>
      </c>
      <c r="D74" s="2" t="s">
        <v>430</v>
      </c>
      <c r="E74" s="2"/>
      <c r="F74" s="2"/>
      <c r="G74" s="2">
        <v>3</v>
      </c>
      <c r="H74" s="2" t="s">
        <v>12</v>
      </c>
      <c r="I74" s="2">
        <v>80</v>
      </c>
      <c r="J74" s="2">
        <v>150</v>
      </c>
      <c r="K74" s="2" t="s">
        <v>44</v>
      </c>
      <c r="L74" s="2" t="s">
        <v>242</v>
      </c>
      <c r="M74" s="2" t="s">
        <v>226</v>
      </c>
      <c r="N74" s="2">
        <v>30000</v>
      </c>
      <c r="O74" s="2">
        <v>2</v>
      </c>
      <c r="P74" s="2" t="s">
        <v>233</v>
      </c>
      <c r="Q74" s="2" t="s">
        <v>226</v>
      </c>
      <c r="R74" s="2">
        <v>17</v>
      </c>
      <c r="S74" s="2">
        <v>2400</v>
      </c>
      <c r="T74" s="2">
        <v>3600</v>
      </c>
      <c r="U74" s="2" t="s">
        <v>234</v>
      </c>
      <c r="V74" s="2" t="s">
        <v>226</v>
      </c>
      <c r="W74" s="2">
        <v>17</v>
      </c>
      <c r="X74" s="2">
        <v>300</v>
      </c>
      <c r="Y74" s="2">
        <v>420</v>
      </c>
      <c r="Z74" s="2" t="s">
        <v>231</v>
      </c>
      <c r="AA74" s="2" t="s">
        <v>226</v>
      </c>
      <c r="AB74" s="2">
        <v>17</v>
      </c>
      <c r="AC74" s="2">
        <v>300</v>
      </c>
      <c r="AD74" s="2">
        <v>420</v>
      </c>
      <c r="AE74" s="2" t="s">
        <v>232</v>
      </c>
      <c r="AF74" s="2" t="s">
        <v>226</v>
      </c>
      <c r="AG74" s="2">
        <v>17</v>
      </c>
      <c r="AH74" s="2">
        <v>300</v>
      </c>
      <c r="AI74" s="2">
        <v>420</v>
      </c>
      <c r="AJ74" s="2" t="s">
        <v>228</v>
      </c>
      <c r="AK74" s="2" t="s">
        <v>226</v>
      </c>
      <c r="AL74" s="2">
        <v>12</v>
      </c>
      <c r="AM74" s="2">
        <v>120</v>
      </c>
      <c r="AN74" s="2">
        <v>170</v>
      </c>
      <c r="AO74" s="2" t="s">
        <v>229</v>
      </c>
      <c r="AP74" s="2" t="s">
        <v>226</v>
      </c>
      <c r="AQ74" s="2">
        <v>12</v>
      </c>
      <c r="AR74" s="2">
        <v>160</v>
      </c>
      <c r="AS74" s="2">
        <v>200</v>
      </c>
      <c r="AT74" s="2" t="s">
        <v>230</v>
      </c>
      <c r="AU74" s="2" t="s">
        <v>226</v>
      </c>
      <c r="AV74" s="2">
        <v>8</v>
      </c>
      <c r="AW74" s="2">
        <v>2000</v>
      </c>
      <c r="AX74" s="2">
        <v>4000</v>
      </c>
    </row>
    <row r="75" spans="1:50" ht="16.5" x14ac:dyDescent="0.3">
      <c r="A75" s="2">
        <v>40074</v>
      </c>
      <c r="B75" s="2" t="s">
        <v>337</v>
      </c>
      <c r="C75" s="3" t="s">
        <v>117</v>
      </c>
      <c r="D75" s="2" t="s">
        <v>430</v>
      </c>
      <c r="E75" s="2"/>
      <c r="F75" s="2"/>
      <c r="G75" s="2">
        <v>4</v>
      </c>
      <c r="H75" s="2" t="s">
        <v>12</v>
      </c>
      <c r="I75" s="2">
        <v>320</v>
      </c>
      <c r="J75" s="2">
        <v>600</v>
      </c>
      <c r="K75" s="2" t="s">
        <v>44</v>
      </c>
      <c r="L75" s="2" t="s">
        <v>242</v>
      </c>
      <c r="M75" s="2" t="s">
        <v>226</v>
      </c>
      <c r="N75" s="2">
        <v>40000</v>
      </c>
      <c r="O75" s="2">
        <v>2</v>
      </c>
      <c r="P75" s="2" t="s">
        <v>233</v>
      </c>
      <c r="Q75" s="2" t="s">
        <v>226</v>
      </c>
      <c r="R75" s="2">
        <v>17</v>
      </c>
      <c r="S75" s="2">
        <v>3400</v>
      </c>
      <c r="T75" s="2">
        <v>4400</v>
      </c>
      <c r="U75" s="2" t="s">
        <v>234</v>
      </c>
      <c r="V75" s="2" t="s">
        <v>226</v>
      </c>
      <c r="W75" s="2">
        <v>17</v>
      </c>
      <c r="X75" s="2">
        <v>400</v>
      </c>
      <c r="Y75" s="2">
        <v>520</v>
      </c>
      <c r="Z75" s="2" t="s">
        <v>231</v>
      </c>
      <c r="AA75" s="2" t="s">
        <v>226</v>
      </c>
      <c r="AB75" s="2">
        <v>17</v>
      </c>
      <c r="AC75" s="2">
        <v>400</v>
      </c>
      <c r="AD75" s="2">
        <v>520</v>
      </c>
      <c r="AE75" s="2" t="s">
        <v>232</v>
      </c>
      <c r="AF75" s="2" t="s">
        <v>226</v>
      </c>
      <c r="AG75" s="2">
        <v>17</v>
      </c>
      <c r="AH75" s="2">
        <v>400</v>
      </c>
      <c r="AI75" s="2">
        <v>520</v>
      </c>
      <c r="AJ75" s="2" t="s">
        <v>228</v>
      </c>
      <c r="AK75" s="2" t="s">
        <v>226</v>
      </c>
      <c r="AL75" s="2">
        <v>12</v>
      </c>
      <c r="AM75" s="2">
        <v>150</v>
      </c>
      <c r="AN75" s="2">
        <v>200</v>
      </c>
      <c r="AO75" s="2" t="s">
        <v>229</v>
      </c>
      <c r="AP75" s="2" t="s">
        <v>226</v>
      </c>
      <c r="AQ75" s="2">
        <v>12</v>
      </c>
      <c r="AR75" s="2">
        <v>190</v>
      </c>
      <c r="AS75" s="2">
        <v>229.99999999999997</v>
      </c>
      <c r="AT75" s="2" t="s">
        <v>230</v>
      </c>
      <c r="AU75" s="2" t="s">
        <v>226</v>
      </c>
      <c r="AV75" s="2">
        <v>8</v>
      </c>
      <c r="AW75" s="2">
        <v>2000</v>
      </c>
      <c r="AX75" s="2">
        <v>5000</v>
      </c>
    </row>
    <row r="76" spans="1:50" ht="16.5" x14ac:dyDescent="0.3">
      <c r="A76" s="2">
        <v>40075</v>
      </c>
      <c r="B76" s="2" t="s">
        <v>338</v>
      </c>
      <c r="C76" s="3" t="s">
        <v>118</v>
      </c>
      <c r="D76" s="2" t="s">
        <v>430</v>
      </c>
      <c r="E76" s="2"/>
      <c r="F76" s="2"/>
      <c r="G76" s="2">
        <v>5</v>
      </c>
      <c r="H76" s="2" t="s">
        <v>12</v>
      </c>
      <c r="I76" s="2">
        <v>800</v>
      </c>
      <c r="J76" s="2">
        <v>2400</v>
      </c>
      <c r="K76" s="2" t="s">
        <v>44</v>
      </c>
      <c r="L76" s="2" t="s">
        <v>242</v>
      </c>
      <c r="M76" s="2" t="s">
        <v>226</v>
      </c>
      <c r="N76" s="2">
        <v>50000</v>
      </c>
      <c r="O76" s="2">
        <v>2</v>
      </c>
      <c r="P76" s="2" t="s">
        <v>233</v>
      </c>
      <c r="Q76" s="2" t="s">
        <v>226</v>
      </c>
      <c r="R76" s="2">
        <v>17</v>
      </c>
      <c r="S76" s="2">
        <v>4200</v>
      </c>
      <c r="T76" s="2">
        <v>5200</v>
      </c>
      <c r="U76" s="2" t="s">
        <v>234</v>
      </c>
      <c r="V76" s="2" t="s">
        <v>226</v>
      </c>
      <c r="W76" s="2">
        <v>17</v>
      </c>
      <c r="X76" s="2">
        <v>500</v>
      </c>
      <c r="Y76" s="2">
        <v>600</v>
      </c>
      <c r="Z76" s="2" t="s">
        <v>231</v>
      </c>
      <c r="AA76" s="2" t="s">
        <v>226</v>
      </c>
      <c r="AB76" s="2">
        <v>17</v>
      </c>
      <c r="AC76" s="2">
        <v>500</v>
      </c>
      <c r="AD76" s="2">
        <v>600</v>
      </c>
      <c r="AE76" s="2" t="s">
        <v>232</v>
      </c>
      <c r="AF76" s="2" t="s">
        <v>226</v>
      </c>
      <c r="AG76" s="2">
        <v>17</v>
      </c>
      <c r="AH76" s="2">
        <v>500</v>
      </c>
      <c r="AI76" s="2">
        <v>600</v>
      </c>
      <c r="AJ76" s="2" t="s">
        <v>228</v>
      </c>
      <c r="AK76" s="2" t="s">
        <v>226</v>
      </c>
      <c r="AL76" s="2">
        <v>12</v>
      </c>
      <c r="AM76" s="2">
        <v>190</v>
      </c>
      <c r="AN76" s="2">
        <v>240</v>
      </c>
      <c r="AO76" s="2" t="s">
        <v>229</v>
      </c>
      <c r="AP76" s="2" t="s">
        <v>226</v>
      </c>
      <c r="AQ76" s="2">
        <v>12</v>
      </c>
      <c r="AR76" s="2">
        <v>220.00000000000003</v>
      </c>
      <c r="AS76" s="2">
        <v>290</v>
      </c>
      <c r="AT76" s="2" t="s">
        <v>230</v>
      </c>
      <c r="AU76" s="2" t="s">
        <v>226</v>
      </c>
      <c r="AV76" s="2">
        <v>8</v>
      </c>
      <c r="AW76" s="2">
        <v>3000</v>
      </c>
      <c r="AX76" s="2">
        <v>6000</v>
      </c>
    </row>
    <row r="77" spans="1:50" ht="16.5" x14ac:dyDescent="0.3">
      <c r="A77" s="2">
        <f>A72+10</f>
        <v>40081</v>
      </c>
      <c r="B77" s="2" t="s">
        <v>339</v>
      </c>
      <c r="C77" s="3" t="s">
        <v>119</v>
      </c>
      <c r="D77" s="2" t="s">
        <v>431</v>
      </c>
      <c r="E77" s="2"/>
      <c r="F77" s="2"/>
      <c r="G77" s="2">
        <v>1</v>
      </c>
      <c r="H77" s="2" t="s">
        <v>12</v>
      </c>
      <c r="I77" s="2">
        <v>10</v>
      </c>
      <c r="J77" s="2">
        <v>15</v>
      </c>
      <c r="K77" s="2" t="s">
        <v>44</v>
      </c>
      <c r="L77" s="2" t="s">
        <v>243</v>
      </c>
      <c r="M77" s="2" t="s">
        <v>226</v>
      </c>
      <c r="N77" s="2">
        <v>10000</v>
      </c>
      <c r="O77" s="2">
        <v>2</v>
      </c>
      <c r="P77" s="2" t="s">
        <v>233</v>
      </c>
      <c r="Q77" s="2" t="s">
        <v>226</v>
      </c>
      <c r="R77" s="2">
        <v>17</v>
      </c>
      <c r="S77" s="2">
        <v>800</v>
      </c>
      <c r="T77" s="2">
        <v>1600</v>
      </c>
      <c r="U77" s="2" t="s">
        <v>234</v>
      </c>
      <c r="V77" s="2" t="s">
        <v>226</v>
      </c>
      <c r="W77" s="2">
        <v>17</v>
      </c>
      <c r="X77" s="2">
        <v>100</v>
      </c>
      <c r="Y77" s="2">
        <v>220.00000000000003</v>
      </c>
      <c r="Z77" s="2" t="s">
        <v>231</v>
      </c>
      <c r="AA77" s="2" t="s">
        <v>226</v>
      </c>
      <c r="AB77" s="2">
        <v>17</v>
      </c>
      <c r="AC77" s="2">
        <v>100</v>
      </c>
      <c r="AD77" s="2">
        <v>220.00000000000003</v>
      </c>
      <c r="AE77" s="2" t="s">
        <v>232</v>
      </c>
      <c r="AF77" s="2" t="s">
        <v>226</v>
      </c>
      <c r="AG77" s="2">
        <v>17</v>
      </c>
      <c r="AH77" s="2">
        <v>100</v>
      </c>
      <c r="AI77" s="2">
        <v>220.00000000000003</v>
      </c>
      <c r="AJ77" s="2" t="s">
        <v>228</v>
      </c>
      <c r="AK77" s="2" t="s">
        <v>226</v>
      </c>
      <c r="AL77" s="2">
        <v>12</v>
      </c>
      <c r="AM77" s="2">
        <v>50</v>
      </c>
      <c r="AN77" s="2">
        <v>110.00000000000001</v>
      </c>
      <c r="AO77" s="2" t="s">
        <v>229</v>
      </c>
      <c r="AP77" s="2" t="s">
        <v>226</v>
      </c>
      <c r="AQ77" s="2">
        <v>12</v>
      </c>
      <c r="AR77" s="2">
        <v>80</v>
      </c>
      <c r="AS77" s="2">
        <v>140</v>
      </c>
      <c r="AT77" s="2" t="s">
        <v>230</v>
      </c>
      <c r="AU77" s="2" t="s">
        <v>226</v>
      </c>
      <c r="AV77" s="2">
        <v>8</v>
      </c>
      <c r="AW77" s="2">
        <v>1000</v>
      </c>
      <c r="AX77" s="2">
        <v>3000</v>
      </c>
    </row>
    <row r="78" spans="1:50" ht="16.5" x14ac:dyDescent="0.3">
      <c r="A78" s="2">
        <f t="shared" ref="A78:A81" si="0">A73+10</f>
        <v>40082</v>
      </c>
      <c r="B78" s="2" t="s">
        <v>340</v>
      </c>
      <c r="C78" s="3" t="s">
        <v>120</v>
      </c>
      <c r="D78" s="2" t="s">
        <v>431</v>
      </c>
      <c r="E78" s="2"/>
      <c r="F78" s="2"/>
      <c r="G78" s="2">
        <v>2</v>
      </c>
      <c r="H78" s="2" t="s">
        <v>12</v>
      </c>
      <c r="I78" s="2">
        <v>20</v>
      </c>
      <c r="J78" s="2">
        <v>38</v>
      </c>
      <c r="K78" s="2" t="s">
        <v>44</v>
      </c>
      <c r="L78" s="2" t="s">
        <v>243</v>
      </c>
      <c r="M78" s="2" t="s">
        <v>226</v>
      </c>
      <c r="N78" s="2">
        <v>20000</v>
      </c>
      <c r="O78" s="2">
        <v>2</v>
      </c>
      <c r="P78" s="2" t="s">
        <v>233</v>
      </c>
      <c r="Q78" s="2" t="s">
        <v>226</v>
      </c>
      <c r="R78" s="2">
        <v>17</v>
      </c>
      <c r="S78" s="2">
        <v>1400</v>
      </c>
      <c r="T78" s="2">
        <v>2600</v>
      </c>
      <c r="U78" s="2" t="s">
        <v>234</v>
      </c>
      <c r="V78" s="2" t="s">
        <v>226</v>
      </c>
      <c r="W78" s="2">
        <v>17</v>
      </c>
      <c r="X78" s="2">
        <v>200</v>
      </c>
      <c r="Y78" s="2">
        <v>320</v>
      </c>
      <c r="Z78" s="2" t="s">
        <v>231</v>
      </c>
      <c r="AA78" s="2" t="s">
        <v>226</v>
      </c>
      <c r="AB78" s="2">
        <v>17</v>
      </c>
      <c r="AC78" s="2">
        <v>200</v>
      </c>
      <c r="AD78" s="2">
        <v>320</v>
      </c>
      <c r="AE78" s="2" t="s">
        <v>232</v>
      </c>
      <c r="AF78" s="2" t="s">
        <v>226</v>
      </c>
      <c r="AG78" s="2">
        <v>17</v>
      </c>
      <c r="AH78" s="2">
        <v>200</v>
      </c>
      <c r="AI78" s="2">
        <v>320</v>
      </c>
      <c r="AJ78" s="2" t="s">
        <v>228</v>
      </c>
      <c r="AK78" s="2" t="s">
        <v>226</v>
      </c>
      <c r="AL78" s="2">
        <v>12</v>
      </c>
      <c r="AM78" s="2">
        <v>90</v>
      </c>
      <c r="AN78" s="2">
        <v>140</v>
      </c>
      <c r="AO78" s="2" t="s">
        <v>229</v>
      </c>
      <c r="AP78" s="2" t="s">
        <v>226</v>
      </c>
      <c r="AQ78" s="2">
        <v>12</v>
      </c>
      <c r="AR78" s="2">
        <v>130</v>
      </c>
      <c r="AS78" s="2">
        <v>170</v>
      </c>
      <c r="AT78" s="2" t="s">
        <v>230</v>
      </c>
      <c r="AU78" s="2" t="s">
        <v>226</v>
      </c>
      <c r="AV78" s="2">
        <v>8</v>
      </c>
      <c r="AW78" s="2">
        <v>1000</v>
      </c>
      <c r="AX78" s="2">
        <v>4000</v>
      </c>
    </row>
    <row r="79" spans="1:50" ht="16.5" x14ac:dyDescent="0.3">
      <c r="A79" s="2">
        <f t="shared" si="0"/>
        <v>40083</v>
      </c>
      <c r="B79" s="2" t="s">
        <v>341</v>
      </c>
      <c r="C79" s="3" t="s">
        <v>121</v>
      </c>
      <c r="D79" s="2" t="s">
        <v>431</v>
      </c>
      <c r="E79" s="2"/>
      <c r="F79" s="2"/>
      <c r="G79" s="2">
        <v>3</v>
      </c>
      <c r="H79" s="2" t="s">
        <v>12</v>
      </c>
      <c r="I79" s="2">
        <v>80</v>
      </c>
      <c r="J79" s="2">
        <v>150</v>
      </c>
      <c r="K79" s="2" t="s">
        <v>44</v>
      </c>
      <c r="L79" s="2" t="s">
        <v>243</v>
      </c>
      <c r="M79" s="2" t="s">
        <v>226</v>
      </c>
      <c r="N79" s="2">
        <v>30000</v>
      </c>
      <c r="O79" s="2">
        <v>2</v>
      </c>
      <c r="P79" s="2" t="s">
        <v>233</v>
      </c>
      <c r="Q79" s="2" t="s">
        <v>226</v>
      </c>
      <c r="R79" s="2">
        <v>17</v>
      </c>
      <c r="S79" s="2">
        <v>2400</v>
      </c>
      <c r="T79" s="2">
        <v>3600</v>
      </c>
      <c r="U79" s="2" t="s">
        <v>234</v>
      </c>
      <c r="V79" s="2" t="s">
        <v>226</v>
      </c>
      <c r="W79" s="2">
        <v>17</v>
      </c>
      <c r="X79" s="2">
        <v>300</v>
      </c>
      <c r="Y79" s="2">
        <v>420</v>
      </c>
      <c r="Z79" s="2" t="s">
        <v>231</v>
      </c>
      <c r="AA79" s="2" t="s">
        <v>226</v>
      </c>
      <c r="AB79" s="2">
        <v>17</v>
      </c>
      <c r="AC79" s="2">
        <v>300</v>
      </c>
      <c r="AD79" s="2">
        <v>420</v>
      </c>
      <c r="AE79" s="2" t="s">
        <v>232</v>
      </c>
      <c r="AF79" s="2" t="s">
        <v>226</v>
      </c>
      <c r="AG79" s="2">
        <v>17</v>
      </c>
      <c r="AH79" s="2">
        <v>300</v>
      </c>
      <c r="AI79" s="2">
        <v>420</v>
      </c>
      <c r="AJ79" s="2" t="s">
        <v>228</v>
      </c>
      <c r="AK79" s="2" t="s">
        <v>226</v>
      </c>
      <c r="AL79" s="2">
        <v>12</v>
      </c>
      <c r="AM79" s="2">
        <v>120</v>
      </c>
      <c r="AN79" s="2">
        <v>170</v>
      </c>
      <c r="AO79" s="2" t="s">
        <v>229</v>
      </c>
      <c r="AP79" s="2" t="s">
        <v>226</v>
      </c>
      <c r="AQ79" s="2">
        <v>12</v>
      </c>
      <c r="AR79" s="2">
        <v>160</v>
      </c>
      <c r="AS79" s="2">
        <v>200</v>
      </c>
      <c r="AT79" s="2" t="s">
        <v>230</v>
      </c>
      <c r="AU79" s="2" t="s">
        <v>226</v>
      </c>
      <c r="AV79" s="2">
        <v>8</v>
      </c>
      <c r="AW79" s="2">
        <v>2000</v>
      </c>
      <c r="AX79" s="2">
        <v>4000</v>
      </c>
    </row>
    <row r="80" spans="1:50" ht="16.5" x14ac:dyDescent="0.3">
      <c r="A80" s="2">
        <f t="shared" si="0"/>
        <v>40084</v>
      </c>
      <c r="B80" s="2" t="s">
        <v>342</v>
      </c>
      <c r="C80" s="3" t="s">
        <v>122</v>
      </c>
      <c r="D80" s="2" t="s">
        <v>431</v>
      </c>
      <c r="E80" s="2"/>
      <c r="F80" s="2"/>
      <c r="G80" s="2">
        <v>4</v>
      </c>
      <c r="H80" s="2" t="s">
        <v>12</v>
      </c>
      <c r="I80" s="2">
        <v>320</v>
      </c>
      <c r="J80" s="2">
        <v>600</v>
      </c>
      <c r="K80" s="2" t="s">
        <v>44</v>
      </c>
      <c r="L80" s="2" t="s">
        <v>243</v>
      </c>
      <c r="M80" s="2" t="s">
        <v>226</v>
      </c>
      <c r="N80" s="2">
        <v>40000</v>
      </c>
      <c r="O80" s="2">
        <v>2</v>
      </c>
      <c r="P80" s="2" t="s">
        <v>233</v>
      </c>
      <c r="Q80" s="2" t="s">
        <v>226</v>
      </c>
      <c r="R80" s="2">
        <v>17</v>
      </c>
      <c r="S80" s="2">
        <v>3400</v>
      </c>
      <c r="T80" s="2">
        <v>4400</v>
      </c>
      <c r="U80" s="2" t="s">
        <v>234</v>
      </c>
      <c r="V80" s="2" t="s">
        <v>226</v>
      </c>
      <c r="W80" s="2">
        <v>17</v>
      </c>
      <c r="X80" s="2">
        <v>400</v>
      </c>
      <c r="Y80" s="2">
        <v>520</v>
      </c>
      <c r="Z80" s="2" t="s">
        <v>231</v>
      </c>
      <c r="AA80" s="2" t="s">
        <v>226</v>
      </c>
      <c r="AB80" s="2">
        <v>17</v>
      </c>
      <c r="AC80" s="2">
        <v>400</v>
      </c>
      <c r="AD80" s="2">
        <v>520</v>
      </c>
      <c r="AE80" s="2" t="s">
        <v>232</v>
      </c>
      <c r="AF80" s="2" t="s">
        <v>226</v>
      </c>
      <c r="AG80" s="2">
        <v>17</v>
      </c>
      <c r="AH80" s="2">
        <v>400</v>
      </c>
      <c r="AI80" s="2">
        <v>520</v>
      </c>
      <c r="AJ80" s="2" t="s">
        <v>228</v>
      </c>
      <c r="AK80" s="2" t="s">
        <v>226</v>
      </c>
      <c r="AL80" s="2">
        <v>12</v>
      </c>
      <c r="AM80" s="2">
        <v>150</v>
      </c>
      <c r="AN80" s="2">
        <v>200</v>
      </c>
      <c r="AO80" s="2" t="s">
        <v>229</v>
      </c>
      <c r="AP80" s="2" t="s">
        <v>226</v>
      </c>
      <c r="AQ80" s="2">
        <v>12</v>
      </c>
      <c r="AR80" s="2">
        <v>190</v>
      </c>
      <c r="AS80" s="2">
        <v>229.99999999999997</v>
      </c>
      <c r="AT80" s="2" t="s">
        <v>230</v>
      </c>
      <c r="AU80" s="2" t="s">
        <v>226</v>
      </c>
      <c r="AV80" s="2">
        <v>8</v>
      </c>
      <c r="AW80" s="2">
        <v>2000</v>
      </c>
      <c r="AX80" s="2">
        <v>5000</v>
      </c>
    </row>
    <row r="81" spans="1:50" ht="16.5" x14ac:dyDescent="0.3">
      <c r="A81" s="2">
        <f t="shared" si="0"/>
        <v>40085</v>
      </c>
      <c r="B81" s="2" t="s">
        <v>343</v>
      </c>
      <c r="C81" s="3" t="s">
        <v>123</v>
      </c>
      <c r="D81" s="2" t="s">
        <v>431</v>
      </c>
      <c r="E81" s="2"/>
      <c r="F81" s="2"/>
      <c r="G81" s="2">
        <v>5</v>
      </c>
      <c r="H81" s="2" t="s">
        <v>12</v>
      </c>
      <c r="I81" s="2">
        <v>800</v>
      </c>
      <c r="J81" s="2">
        <v>2400</v>
      </c>
      <c r="K81" s="2" t="s">
        <v>44</v>
      </c>
      <c r="L81" s="2" t="s">
        <v>243</v>
      </c>
      <c r="M81" s="2" t="s">
        <v>226</v>
      </c>
      <c r="N81" s="2">
        <v>50000</v>
      </c>
      <c r="O81" s="2">
        <v>2</v>
      </c>
      <c r="P81" s="2" t="s">
        <v>233</v>
      </c>
      <c r="Q81" s="2" t="s">
        <v>226</v>
      </c>
      <c r="R81" s="2">
        <v>17</v>
      </c>
      <c r="S81" s="2">
        <v>4200</v>
      </c>
      <c r="T81" s="2">
        <v>5200</v>
      </c>
      <c r="U81" s="2" t="s">
        <v>234</v>
      </c>
      <c r="V81" s="2" t="s">
        <v>226</v>
      </c>
      <c r="W81" s="2">
        <v>17</v>
      </c>
      <c r="X81" s="2">
        <v>500</v>
      </c>
      <c r="Y81" s="2">
        <v>600</v>
      </c>
      <c r="Z81" s="2" t="s">
        <v>231</v>
      </c>
      <c r="AA81" s="2" t="s">
        <v>226</v>
      </c>
      <c r="AB81" s="2">
        <v>17</v>
      </c>
      <c r="AC81" s="2">
        <v>500</v>
      </c>
      <c r="AD81" s="2">
        <v>600</v>
      </c>
      <c r="AE81" s="2" t="s">
        <v>232</v>
      </c>
      <c r="AF81" s="2" t="s">
        <v>226</v>
      </c>
      <c r="AG81" s="2">
        <v>17</v>
      </c>
      <c r="AH81" s="2">
        <v>500</v>
      </c>
      <c r="AI81" s="2">
        <v>600</v>
      </c>
      <c r="AJ81" s="2" t="s">
        <v>228</v>
      </c>
      <c r="AK81" s="2" t="s">
        <v>226</v>
      </c>
      <c r="AL81" s="2">
        <v>12</v>
      </c>
      <c r="AM81" s="2">
        <v>190</v>
      </c>
      <c r="AN81" s="2">
        <v>240</v>
      </c>
      <c r="AO81" s="2" t="s">
        <v>229</v>
      </c>
      <c r="AP81" s="2" t="s">
        <v>226</v>
      </c>
      <c r="AQ81" s="2">
        <v>12</v>
      </c>
      <c r="AR81" s="2">
        <v>220.00000000000003</v>
      </c>
      <c r="AS81" s="2">
        <v>290</v>
      </c>
      <c r="AT81" s="2" t="s">
        <v>230</v>
      </c>
      <c r="AU81" s="2" t="s">
        <v>226</v>
      </c>
      <c r="AV81" s="2">
        <v>8</v>
      </c>
      <c r="AW81" s="2">
        <v>3000</v>
      </c>
      <c r="AX81" s="2">
        <v>6000</v>
      </c>
    </row>
    <row r="82" spans="1:50" ht="16.5" x14ac:dyDescent="0.3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ht="16.5" x14ac:dyDescent="0.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ht="16.5" x14ac:dyDescent="0.3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 ht="16.5" x14ac:dyDescent="0.3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ht="16.5" x14ac:dyDescent="0.3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ht="16.5" x14ac:dyDescent="0.3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ht="16.5" x14ac:dyDescent="0.3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 ht="16.5" x14ac:dyDescent="0.3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ht="16.5" x14ac:dyDescent="0.3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ht="16.5" x14ac:dyDescent="0.3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ht="16.5" x14ac:dyDescent="0.3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 ht="16.5" x14ac:dyDescent="0.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ht="16.5" x14ac:dyDescent="0.3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 ht="16.5" x14ac:dyDescent="0.3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ht="16.5" x14ac:dyDescent="0.3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 ht="16.5" x14ac:dyDescent="0.3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ht="16.5" x14ac:dyDescent="0.3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 ht="16.5" x14ac:dyDescent="0.3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ht="16.5" x14ac:dyDescent="0.3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 ht="16.5" x14ac:dyDescent="0.3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ht="16.5" x14ac:dyDescent="0.3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ht="16.5" x14ac:dyDescent="0.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ht="16.5" x14ac:dyDescent="0.3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ht="16.5" x14ac:dyDescent="0.3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ht="16.5" x14ac:dyDescent="0.3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ht="16.5" x14ac:dyDescent="0.3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ht="16.5" x14ac:dyDescent="0.3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ht="16.5" x14ac:dyDescent="0.3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ht="16.5" x14ac:dyDescent="0.3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 ht="16.5" x14ac:dyDescent="0.3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 ht="16.5" x14ac:dyDescent="0.3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 ht="16.5" x14ac:dyDescent="0.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 ht="16.5" x14ac:dyDescent="0.3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 ht="16.5" x14ac:dyDescent="0.3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ht="16.5" x14ac:dyDescent="0.3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 ht="16.5" x14ac:dyDescent="0.3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 ht="16.5" x14ac:dyDescent="0.3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 ht="16.5" x14ac:dyDescent="0.3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ht="16.5" x14ac:dyDescent="0.3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 ht="16.5" x14ac:dyDescent="0.3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ht="16.5" x14ac:dyDescent="0.3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 ht="16.5" x14ac:dyDescent="0.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 ht="16.5" x14ac:dyDescent="0.3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 ht="16.5" x14ac:dyDescent="0.3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 ht="16.5" x14ac:dyDescent="0.3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 ht="16.5" x14ac:dyDescent="0.3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 ht="16.5" x14ac:dyDescent="0.3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 ht="16.5" x14ac:dyDescent="0.3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 ht="16.5" x14ac:dyDescent="0.3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 ht="16.5" x14ac:dyDescent="0.3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ht="16.5" x14ac:dyDescent="0.3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 ht="16.5" x14ac:dyDescent="0.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ht="16.5" x14ac:dyDescent="0.3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 ht="16.5" x14ac:dyDescent="0.3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ht="16.5" x14ac:dyDescent="0.3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 ht="16.5" x14ac:dyDescent="0.3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ht="16.5" x14ac:dyDescent="0.3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 ht="16.5" x14ac:dyDescent="0.3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ht="16.5" x14ac:dyDescent="0.3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 ht="16.5" x14ac:dyDescent="0.3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85" spans="2:6" x14ac:dyDescent="0.15">
      <c r="B185" s="5"/>
      <c r="D185" s="5"/>
      <c r="E185" s="5"/>
      <c r="F185" s="5"/>
    </row>
    <row r="186" spans="2:6" x14ac:dyDescent="0.15">
      <c r="B186" s="5"/>
      <c r="D186" s="5"/>
      <c r="E186" s="5"/>
      <c r="F186" s="5"/>
    </row>
    <row r="187" spans="2:6" x14ac:dyDescent="0.15">
      <c r="B187" s="5"/>
      <c r="D187" s="5"/>
      <c r="E187" s="5"/>
      <c r="F187" s="5"/>
    </row>
    <row r="188" spans="2:6" x14ac:dyDescent="0.15">
      <c r="B188" s="5"/>
      <c r="D188" s="5"/>
      <c r="E188" s="5"/>
      <c r="F188" s="5"/>
    </row>
    <row r="189" spans="2:6" x14ac:dyDescent="0.15">
      <c r="B189" s="5"/>
      <c r="D189" s="5"/>
      <c r="E189" s="5"/>
      <c r="F189" s="5"/>
    </row>
  </sheetData>
  <phoneticPr fontId="2" type="noConversion"/>
  <pageMargins left="0.69930555555555596" right="0.69930555555555596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D3" sqref="D3"/>
    </sheetView>
  </sheetViews>
  <sheetFormatPr defaultColWidth="9" defaultRowHeight="16.5" x14ac:dyDescent="0.3"/>
  <cols>
    <col min="1" max="2" width="9" style="1"/>
    <col min="3" max="3" width="9" style="1" customWidth="1"/>
    <col min="4" max="4" width="14.5" style="1" bestFit="1" customWidth="1"/>
    <col min="5" max="7" width="14.125" style="1" customWidth="1"/>
    <col min="8" max="16384" width="9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>
        <v>2</v>
      </c>
      <c r="E2" s="1">
        <v>40</v>
      </c>
    </row>
    <row r="3" spans="1:7" x14ac:dyDescent="0.3">
      <c r="A3" s="1">
        <v>2</v>
      </c>
      <c r="B3" s="1" t="s">
        <v>7</v>
      </c>
      <c r="C3" s="1">
        <v>11</v>
      </c>
      <c r="D3" s="1" t="s">
        <v>8</v>
      </c>
      <c r="E3" s="1">
        <v>140</v>
      </c>
    </row>
    <row r="4" spans="1:7" x14ac:dyDescent="0.3">
      <c r="A4" s="1">
        <v>3</v>
      </c>
      <c r="B4" s="1" t="s">
        <v>7</v>
      </c>
      <c r="C4" s="1">
        <v>21</v>
      </c>
      <c r="D4" s="1" t="s">
        <v>8</v>
      </c>
      <c r="E4" s="1">
        <v>320</v>
      </c>
    </row>
    <row r="5" spans="1:7" x14ac:dyDescent="0.3">
      <c r="A5" s="1">
        <v>4</v>
      </c>
      <c r="B5" s="1" t="s">
        <v>9</v>
      </c>
      <c r="C5" s="1">
        <v>3</v>
      </c>
      <c r="D5" s="1" t="s">
        <v>8</v>
      </c>
      <c r="E5" s="1">
        <v>60</v>
      </c>
    </row>
    <row r="6" spans="1:7" x14ac:dyDescent="0.3">
      <c r="A6" s="1">
        <v>5</v>
      </c>
      <c r="B6" s="1" t="s">
        <v>9</v>
      </c>
      <c r="C6" s="1">
        <v>13</v>
      </c>
      <c r="D6" s="1" t="s">
        <v>8</v>
      </c>
      <c r="E6" s="1">
        <v>180</v>
      </c>
    </row>
    <row r="7" spans="1:7" x14ac:dyDescent="0.3">
      <c r="A7" s="1">
        <v>6</v>
      </c>
      <c r="B7" s="1" t="s">
        <v>9</v>
      </c>
      <c r="C7" s="1">
        <v>23</v>
      </c>
      <c r="D7" s="1" t="s">
        <v>8</v>
      </c>
      <c r="E7" s="1">
        <v>400</v>
      </c>
    </row>
    <row r="8" spans="1:7" x14ac:dyDescent="0.3">
      <c r="A8" s="1">
        <v>7</v>
      </c>
      <c r="B8" s="1" t="s">
        <v>10</v>
      </c>
      <c r="C8" s="1">
        <v>5</v>
      </c>
      <c r="D8" s="1" t="s">
        <v>8</v>
      </c>
      <c r="E8" s="1">
        <v>80</v>
      </c>
    </row>
    <row r="9" spans="1:7" x14ac:dyDescent="0.3">
      <c r="A9" s="1">
        <v>8</v>
      </c>
      <c r="B9" s="1" t="s">
        <v>10</v>
      </c>
      <c r="C9" s="1">
        <v>15</v>
      </c>
      <c r="D9" s="1" t="s">
        <v>8</v>
      </c>
      <c r="E9" s="1">
        <v>220</v>
      </c>
    </row>
    <row r="10" spans="1:7" x14ac:dyDescent="0.3">
      <c r="A10" s="1">
        <v>9</v>
      </c>
      <c r="B10" s="1" t="s">
        <v>10</v>
      </c>
      <c r="C10" s="1">
        <v>25</v>
      </c>
      <c r="D10" s="1" t="s">
        <v>8</v>
      </c>
      <c r="E10" s="1">
        <v>480</v>
      </c>
    </row>
    <row r="11" spans="1:7" x14ac:dyDescent="0.3">
      <c r="A11" s="1">
        <v>10</v>
      </c>
      <c r="B11" s="1" t="s">
        <v>11</v>
      </c>
      <c r="C11" s="1">
        <v>8</v>
      </c>
      <c r="D11" s="1" t="s">
        <v>8</v>
      </c>
      <c r="E11" s="1">
        <v>100</v>
      </c>
    </row>
    <row r="12" spans="1:7" x14ac:dyDescent="0.3">
      <c r="A12" s="1">
        <v>11</v>
      </c>
      <c r="B12" s="1" t="s">
        <v>11</v>
      </c>
      <c r="C12" s="1">
        <v>17</v>
      </c>
      <c r="D12" s="1" t="s">
        <v>8</v>
      </c>
      <c r="E12" s="1">
        <v>260</v>
      </c>
    </row>
    <row r="13" spans="1:7" x14ac:dyDescent="0.3">
      <c r="A13" s="1">
        <v>12</v>
      </c>
      <c r="B13" s="1" t="s">
        <v>11</v>
      </c>
      <c r="C13" s="1">
        <v>27</v>
      </c>
      <c r="D13" s="1" t="s">
        <v>8</v>
      </c>
      <c r="E13" s="1">
        <v>560</v>
      </c>
    </row>
    <row r="14" spans="1:7" x14ac:dyDescent="0.3">
      <c r="A14" s="1">
        <v>13</v>
      </c>
      <c r="B14" s="1" t="s">
        <v>12</v>
      </c>
      <c r="C14" s="1">
        <v>9</v>
      </c>
      <c r="D14" s="1" t="s">
        <v>8</v>
      </c>
      <c r="E14" s="1">
        <v>100</v>
      </c>
    </row>
    <row r="15" spans="1:7" x14ac:dyDescent="0.3">
      <c r="A15" s="1">
        <v>14</v>
      </c>
      <c r="B15" s="1" t="s">
        <v>12</v>
      </c>
      <c r="C15" s="1">
        <v>19</v>
      </c>
      <c r="D15" s="1" t="s">
        <v>8</v>
      </c>
      <c r="E15" s="1">
        <v>300</v>
      </c>
    </row>
    <row r="16" spans="1:7" x14ac:dyDescent="0.3">
      <c r="A16" s="1">
        <v>15</v>
      </c>
      <c r="B16" s="1" t="s">
        <v>12</v>
      </c>
      <c r="C16" s="1">
        <v>29</v>
      </c>
      <c r="D16" s="1" t="s">
        <v>8</v>
      </c>
      <c r="E16" s="1">
        <v>600</v>
      </c>
    </row>
  </sheetData>
  <phoneticPr fontId="2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1"/>
  <sheetViews>
    <sheetView workbookViewId="0">
      <pane xSplit="2" ySplit="1" topLeftCell="F61" activePane="bottomRight" state="frozen"/>
      <selection pane="topRight"/>
      <selection pane="bottomLeft"/>
      <selection pane="bottomRight" activeCell="H63" sqref="H63"/>
    </sheetView>
  </sheetViews>
  <sheetFormatPr defaultColWidth="9" defaultRowHeight="16.5" x14ac:dyDescent="0.3"/>
  <cols>
    <col min="1" max="1" width="9" style="1"/>
    <col min="2" max="2" width="13.25" style="1" bestFit="1" customWidth="1"/>
    <col min="3" max="4" width="13.25" style="1" customWidth="1"/>
    <col min="5" max="5" width="15.75" style="1" customWidth="1"/>
    <col min="6" max="8" width="38.875" style="1" customWidth="1"/>
    <col min="9" max="10" width="9" style="1"/>
    <col min="11" max="12" width="9.25" style="1" customWidth="1"/>
    <col min="13" max="13" width="13.25" style="1" customWidth="1"/>
    <col min="14" max="14" width="22.625" style="1" bestFit="1" customWidth="1"/>
    <col min="15" max="15" width="13.25" style="1" bestFit="1" customWidth="1"/>
    <col min="16" max="16" width="10.375" style="1" bestFit="1" customWidth="1"/>
    <col min="17" max="17" width="13.25" style="1" customWidth="1"/>
    <col min="18" max="18" width="18.75" style="1" bestFit="1" customWidth="1"/>
    <col min="19" max="22" width="9" style="1"/>
    <col min="23" max="23" width="18.75" style="1" bestFit="1" customWidth="1"/>
    <col min="24" max="27" width="9" style="1"/>
    <col min="28" max="28" width="18.75" style="1" bestFit="1" customWidth="1"/>
    <col min="29" max="29" width="12.625" style="1" customWidth="1"/>
    <col min="30" max="32" width="9" style="1"/>
    <col min="33" max="33" width="18.75" style="1" bestFit="1" customWidth="1"/>
    <col min="34" max="37" width="9" style="1"/>
    <col min="38" max="38" width="18.75" style="1" bestFit="1" customWidth="1"/>
    <col min="39" max="16384" width="9" style="1"/>
  </cols>
  <sheetData>
    <row r="1" spans="1:52" s="4" customFormat="1" x14ac:dyDescent="0.3">
      <c r="A1" s="2" t="s">
        <v>13</v>
      </c>
      <c r="B1" s="2" t="s">
        <v>438</v>
      </c>
      <c r="C1" s="2" t="s">
        <v>436</v>
      </c>
      <c r="D1" s="2" t="s">
        <v>437</v>
      </c>
      <c r="E1" s="2" t="s">
        <v>15</v>
      </c>
      <c r="F1" s="2" t="s">
        <v>439</v>
      </c>
      <c r="G1" s="2" t="s">
        <v>440</v>
      </c>
      <c r="H1" s="2" t="s">
        <v>441</v>
      </c>
      <c r="I1" s="2" t="s">
        <v>16</v>
      </c>
      <c r="J1" s="2" t="s">
        <v>1</v>
      </c>
      <c r="K1" s="2" t="s">
        <v>17</v>
      </c>
      <c r="L1" s="2" t="s">
        <v>18</v>
      </c>
      <c r="M1" s="2" t="s">
        <v>19</v>
      </c>
      <c r="N1" s="2" t="s">
        <v>215</v>
      </c>
      <c r="O1" s="2" t="s">
        <v>216</v>
      </c>
      <c r="P1" s="2" t="s">
        <v>20</v>
      </c>
      <c r="Q1" s="2" t="s">
        <v>21</v>
      </c>
      <c r="R1" s="2" t="s">
        <v>244</v>
      </c>
      <c r="S1" s="2" t="s">
        <v>217</v>
      </c>
      <c r="T1" s="2" t="s">
        <v>22</v>
      </c>
      <c r="U1" s="2" t="s">
        <v>23</v>
      </c>
      <c r="V1" s="2" t="s">
        <v>24</v>
      </c>
      <c r="W1" s="2" t="s">
        <v>245</v>
      </c>
      <c r="X1" s="2" t="s">
        <v>220</v>
      </c>
      <c r="Y1" s="2" t="s">
        <v>25</v>
      </c>
      <c r="Z1" s="2" t="s">
        <v>26</v>
      </c>
      <c r="AA1" s="2" t="s">
        <v>27</v>
      </c>
      <c r="AB1" s="2" t="s">
        <v>246</v>
      </c>
      <c r="AC1" s="2" t="s">
        <v>221</v>
      </c>
      <c r="AD1" s="2" t="s">
        <v>28</v>
      </c>
      <c r="AE1" s="2" t="s">
        <v>29</v>
      </c>
      <c r="AF1" s="2" t="s">
        <v>30</v>
      </c>
      <c r="AG1" s="2" t="s">
        <v>247</v>
      </c>
      <c r="AH1" s="2" t="s">
        <v>222</v>
      </c>
      <c r="AI1" s="2" t="s">
        <v>31</v>
      </c>
      <c r="AJ1" s="2" t="s">
        <v>32</v>
      </c>
      <c r="AK1" s="2" t="s">
        <v>33</v>
      </c>
      <c r="AL1" s="2" t="s">
        <v>248</v>
      </c>
      <c r="AM1" s="2" t="s">
        <v>223</v>
      </c>
      <c r="AN1" s="2" t="s">
        <v>34</v>
      </c>
      <c r="AO1" s="2" t="s">
        <v>35</v>
      </c>
      <c r="AP1" s="2" t="s">
        <v>36</v>
      </c>
      <c r="AQ1" s="2" t="s">
        <v>218</v>
      </c>
      <c r="AR1" s="2" t="s">
        <v>224</v>
      </c>
      <c r="AS1" s="2" t="s">
        <v>37</v>
      </c>
      <c r="AT1" s="2" t="s">
        <v>38</v>
      </c>
      <c r="AU1" s="2" t="s">
        <v>39</v>
      </c>
      <c r="AV1" s="2" t="s">
        <v>219</v>
      </c>
      <c r="AW1" s="2" t="s">
        <v>225</v>
      </c>
      <c r="AX1" s="2" t="s">
        <v>40</v>
      </c>
      <c r="AY1" s="2" t="s">
        <v>41</v>
      </c>
      <c r="AZ1" s="2" t="s">
        <v>42</v>
      </c>
    </row>
    <row r="2" spans="1:52" s="2" customFormat="1" x14ac:dyDescent="0.3">
      <c r="A2" s="2">
        <v>10001</v>
      </c>
      <c r="B2" s="2" t="s">
        <v>264</v>
      </c>
      <c r="E2" s="3" t="s">
        <v>125</v>
      </c>
      <c r="F2" s="2" t="s">
        <v>432</v>
      </c>
      <c r="I2" s="2">
        <v>1</v>
      </c>
      <c r="J2" s="2" t="s">
        <v>7</v>
      </c>
      <c r="K2" s="2">
        <v>10</v>
      </c>
      <c r="L2" s="2">
        <v>10</v>
      </c>
      <c r="M2" s="2" t="s">
        <v>44</v>
      </c>
      <c r="N2" s="2" t="s">
        <v>228</v>
      </c>
      <c r="O2" s="2" t="s">
        <v>227</v>
      </c>
      <c r="P2" s="2">
        <v>4000</v>
      </c>
      <c r="Q2" s="2">
        <v>1</v>
      </c>
      <c r="R2" s="2" t="s">
        <v>233</v>
      </c>
      <c r="S2" s="2" t="s">
        <v>227</v>
      </c>
      <c r="T2" s="2">
        <v>35</v>
      </c>
      <c r="U2" s="2">
        <v>1000</v>
      </c>
      <c r="V2" s="2">
        <v>4000</v>
      </c>
      <c r="W2" s="2" t="s">
        <v>234</v>
      </c>
      <c r="X2" s="2" t="s">
        <v>227</v>
      </c>
      <c r="Y2" s="2">
        <v>35</v>
      </c>
      <c r="Z2" s="2">
        <v>1000</v>
      </c>
      <c r="AA2" s="2">
        <v>4000</v>
      </c>
      <c r="AB2" s="2" t="s">
        <v>228</v>
      </c>
      <c r="AC2" s="2" t="s">
        <v>227</v>
      </c>
      <c r="AD2" s="2">
        <v>30</v>
      </c>
      <c r="AE2" s="2">
        <v>1000</v>
      </c>
      <c r="AF2" s="2">
        <v>4000</v>
      </c>
    </row>
    <row r="3" spans="1:52" s="2" customFormat="1" x14ac:dyDescent="0.3">
      <c r="A3" s="2">
        <v>10002</v>
      </c>
      <c r="B3" s="2" t="s">
        <v>265</v>
      </c>
      <c r="E3" s="3" t="s">
        <v>126</v>
      </c>
      <c r="F3" s="2" t="s">
        <v>432</v>
      </c>
      <c r="I3" s="2">
        <v>2</v>
      </c>
      <c r="J3" s="2" t="s">
        <v>7</v>
      </c>
      <c r="K3" s="2">
        <v>20</v>
      </c>
      <c r="L3" s="2">
        <v>25</v>
      </c>
      <c r="M3" s="2" t="s">
        <v>44</v>
      </c>
      <c r="N3" s="2" t="s">
        <v>228</v>
      </c>
      <c r="O3" s="2" t="s">
        <v>227</v>
      </c>
      <c r="P3" s="2">
        <v>7000</v>
      </c>
      <c r="Q3" s="2">
        <v>1</v>
      </c>
      <c r="R3" s="2" t="s">
        <v>233</v>
      </c>
      <c r="S3" s="2" t="s">
        <v>227</v>
      </c>
      <c r="T3" s="2">
        <v>35</v>
      </c>
      <c r="U3" s="2">
        <v>3000</v>
      </c>
      <c r="V3" s="2">
        <v>6000</v>
      </c>
      <c r="W3" s="2" t="s">
        <v>234</v>
      </c>
      <c r="X3" s="2" t="s">
        <v>227</v>
      </c>
      <c r="Y3" s="2">
        <v>35</v>
      </c>
      <c r="Z3" s="2">
        <v>3000</v>
      </c>
      <c r="AA3" s="2">
        <v>6000</v>
      </c>
      <c r="AB3" s="2" t="s">
        <v>228</v>
      </c>
      <c r="AC3" s="2" t="s">
        <v>227</v>
      </c>
      <c r="AD3" s="2">
        <v>30</v>
      </c>
      <c r="AE3" s="2">
        <v>3000</v>
      </c>
      <c r="AF3" s="2">
        <v>6000</v>
      </c>
    </row>
    <row r="4" spans="1:52" s="2" customFormat="1" x14ac:dyDescent="0.3">
      <c r="A4" s="2">
        <v>10003</v>
      </c>
      <c r="B4" s="2" t="s">
        <v>266</v>
      </c>
      <c r="E4" s="3" t="s">
        <v>127</v>
      </c>
      <c r="F4" s="2" t="s">
        <v>432</v>
      </c>
      <c r="I4" s="2">
        <v>3</v>
      </c>
      <c r="J4" s="2" t="s">
        <v>7</v>
      </c>
      <c r="K4" s="2">
        <v>80</v>
      </c>
      <c r="L4" s="2">
        <v>100</v>
      </c>
      <c r="M4" s="2" t="s">
        <v>44</v>
      </c>
      <c r="N4" s="2" t="s">
        <v>228</v>
      </c>
      <c r="O4" s="2" t="s">
        <v>227</v>
      </c>
      <c r="P4" s="2">
        <v>10000</v>
      </c>
      <c r="Q4" s="2">
        <v>1</v>
      </c>
      <c r="R4" s="2" t="s">
        <v>233</v>
      </c>
      <c r="S4" s="2" t="s">
        <v>227</v>
      </c>
      <c r="T4" s="2">
        <v>35</v>
      </c>
      <c r="U4" s="2">
        <v>5000</v>
      </c>
      <c r="V4" s="2">
        <v>7000</v>
      </c>
      <c r="W4" s="2" t="s">
        <v>234</v>
      </c>
      <c r="X4" s="2" t="s">
        <v>227</v>
      </c>
      <c r="Y4" s="2">
        <v>35</v>
      </c>
      <c r="Z4" s="2">
        <v>5000</v>
      </c>
      <c r="AA4" s="2">
        <v>7000</v>
      </c>
      <c r="AB4" s="2" t="s">
        <v>228</v>
      </c>
      <c r="AC4" s="2" t="s">
        <v>227</v>
      </c>
      <c r="AD4" s="2">
        <v>30</v>
      </c>
      <c r="AE4" s="2">
        <v>5000</v>
      </c>
      <c r="AF4" s="2">
        <v>7000</v>
      </c>
    </row>
    <row r="5" spans="1:52" s="2" customFormat="1" x14ac:dyDescent="0.3">
      <c r="A5" s="2">
        <v>10004</v>
      </c>
      <c r="B5" s="2" t="s">
        <v>267</v>
      </c>
      <c r="E5" s="3" t="s">
        <v>128</v>
      </c>
      <c r="F5" s="2" t="s">
        <v>432</v>
      </c>
      <c r="I5" s="2">
        <v>4</v>
      </c>
      <c r="J5" s="2" t="s">
        <v>7</v>
      </c>
      <c r="K5" s="2">
        <v>320</v>
      </c>
      <c r="L5" s="2">
        <v>400</v>
      </c>
      <c r="M5" s="2" t="s">
        <v>44</v>
      </c>
      <c r="N5" s="2" t="s">
        <v>228</v>
      </c>
      <c r="O5" s="2" t="s">
        <v>227</v>
      </c>
      <c r="P5" s="2">
        <v>13000</v>
      </c>
      <c r="Q5" s="2">
        <v>1</v>
      </c>
      <c r="R5" s="2" t="s">
        <v>233</v>
      </c>
      <c r="S5" s="2" t="s">
        <v>227</v>
      </c>
      <c r="T5" s="2">
        <v>35</v>
      </c>
      <c r="U5" s="2">
        <v>6000</v>
      </c>
      <c r="V5" s="2">
        <v>8000</v>
      </c>
      <c r="W5" s="2" t="s">
        <v>234</v>
      </c>
      <c r="X5" s="2" t="s">
        <v>227</v>
      </c>
      <c r="Y5" s="2">
        <v>35</v>
      </c>
      <c r="Z5" s="2">
        <v>6000</v>
      </c>
      <c r="AA5" s="2">
        <v>8000</v>
      </c>
      <c r="AB5" s="2" t="s">
        <v>228</v>
      </c>
      <c r="AC5" s="2" t="s">
        <v>227</v>
      </c>
      <c r="AD5" s="2">
        <v>30</v>
      </c>
      <c r="AE5" s="2">
        <v>6000</v>
      </c>
      <c r="AF5" s="2">
        <v>8000</v>
      </c>
    </row>
    <row r="6" spans="1:52" x14ac:dyDescent="0.3">
      <c r="A6" s="2">
        <v>10005</v>
      </c>
      <c r="B6" s="2" t="s">
        <v>268</v>
      </c>
      <c r="C6" s="2"/>
      <c r="D6" s="2"/>
      <c r="E6" s="3" t="s">
        <v>129</v>
      </c>
      <c r="F6" s="2" t="s">
        <v>432</v>
      </c>
      <c r="G6" s="2"/>
      <c r="H6" s="2"/>
      <c r="I6" s="2">
        <v>5</v>
      </c>
      <c r="J6" s="2" t="s">
        <v>7</v>
      </c>
      <c r="K6" s="2">
        <v>800</v>
      </c>
      <c r="L6" s="2">
        <v>1600</v>
      </c>
      <c r="M6" s="2" t="s">
        <v>44</v>
      </c>
      <c r="N6" s="2" t="s">
        <v>228</v>
      </c>
      <c r="O6" s="2" t="s">
        <v>227</v>
      </c>
      <c r="P6" s="2">
        <v>16000</v>
      </c>
      <c r="Q6" s="2">
        <v>1</v>
      </c>
      <c r="R6" s="2" t="s">
        <v>233</v>
      </c>
      <c r="S6" s="2" t="s">
        <v>227</v>
      </c>
      <c r="T6" s="2">
        <v>35</v>
      </c>
      <c r="U6" s="2">
        <v>7000</v>
      </c>
      <c r="V6" s="2">
        <v>10000</v>
      </c>
      <c r="W6" s="2" t="s">
        <v>234</v>
      </c>
      <c r="X6" s="2" t="s">
        <v>227</v>
      </c>
      <c r="Y6" s="2">
        <v>35</v>
      </c>
      <c r="Z6" s="2">
        <v>7000</v>
      </c>
      <c r="AA6" s="2">
        <v>10000</v>
      </c>
      <c r="AB6" s="2" t="s">
        <v>228</v>
      </c>
      <c r="AC6" s="2" t="s">
        <v>227</v>
      </c>
      <c r="AD6" s="2">
        <v>30</v>
      </c>
      <c r="AE6" s="2">
        <v>7000</v>
      </c>
      <c r="AF6" s="2">
        <v>10000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3">
      <c r="A7" s="2">
        <v>20001</v>
      </c>
      <c r="B7" s="2" t="s">
        <v>279</v>
      </c>
      <c r="C7" s="2"/>
      <c r="D7" s="2"/>
      <c r="E7" s="3" t="s">
        <v>130</v>
      </c>
      <c r="F7" s="2" t="s">
        <v>433</v>
      </c>
      <c r="G7" s="2"/>
      <c r="H7" s="2"/>
      <c r="I7" s="2">
        <v>1</v>
      </c>
      <c r="J7" s="2" t="s">
        <v>9</v>
      </c>
      <c r="K7" s="2">
        <v>10</v>
      </c>
      <c r="L7" s="2">
        <v>10</v>
      </c>
      <c r="M7" s="2" t="s">
        <v>44</v>
      </c>
      <c r="N7" s="2" t="s">
        <v>231</v>
      </c>
      <c r="O7" s="2" t="s">
        <v>263</v>
      </c>
      <c r="P7" s="2">
        <v>160</v>
      </c>
      <c r="Q7" s="2">
        <v>1</v>
      </c>
      <c r="R7" s="2" t="s">
        <v>231</v>
      </c>
      <c r="S7" s="2" t="s">
        <v>263</v>
      </c>
      <c r="T7" s="2">
        <v>70</v>
      </c>
      <c r="U7" s="2">
        <v>100</v>
      </c>
      <c r="V7" s="2">
        <v>200</v>
      </c>
      <c r="W7" s="2" t="s">
        <v>228</v>
      </c>
      <c r="X7" s="2" t="s">
        <v>227</v>
      </c>
      <c r="Y7" s="2">
        <v>30</v>
      </c>
      <c r="Z7" s="2">
        <v>1000</v>
      </c>
      <c r="AA7" s="2">
        <v>4000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52" x14ac:dyDescent="0.3">
      <c r="A8" s="2">
        <v>20002</v>
      </c>
      <c r="B8" s="2" t="s">
        <v>280</v>
      </c>
      <c r="C8" s="2"/>
      <c r="D8" s="2"/>
      <c r="E8" s="3" t="s">
        <v>131</v>
      </c>
      <c r="F8" s="2" t="s">
        <v>433</v>
      </c>
      <c r="G8" s="2"/>
      <c r="H8" s="2"/>
      <c r="I8" s="2">
        <v>2</v>
      </c>
      <c r="J8" s="2" t="s">
        <v>9</v>
      </c>
      <c r="K8" s="2">
        <v>20</v>
      </c>
      <c r="L8" s="2">
        <v>25</v>
      </c>
      <c r="M8" s="2" t="s">
        <v>44</v>
      </c>
      <c r="N8" s="2" t="s">
        <v>231</v>
      </c>
      <c r="O8" s="2" t="s">
        <v>263</v>
      </c>
      <c r="P8" s="2">
        <v>320</v>
      </c>
      <c r="Q8" s="2">
        <v>1</v>
      </c>
      <c r="R8" s="2" t="s">
        <v>231</v>
      </c>
      <c r="S8" s="2" t="s">
        <v>263</v>
      </c>
      <c r="T8" s="2">
        <v>70</v>
      </c>
      <c r="U8" s="2">
        <v>150</v>
      </c>
      <c r="V8" s="2">
        <v>250</v>
      </c>
      <c r="W8" s="2" t="s">
        <v>228</v>
      </c>
      <c r="X8" s="2" t="s">
        <v>227</v>
      </c>
      <c r="Y8" s="2">
        <v>30</v>
      </c>
      <c r="Z8" s="2">
        <v>3000</v>
      </c>
      <c r="AA8" s="2">
        <v>6000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52" x14ac:dyDescent="0.3">
      <c r="A9" s="2">
        <v>20003</v>
      </c>
      <c r="B9" s="2" t="s">
        <v>281</v>
      </c>
      <c r="C9" s="2"/>
      <c r="D9" s="2"/>
      <c r="E9" s="3" t="s">
        <v>132</v>
      </c>
      <c r="F9" s="2" t="s">
        <v>433</v>
      </c>
      <c r="G9" s="2"/>
      <c r="H9" s="2"/>
      <c r="I9" s="2">
        <v>3</v>
      </c>
      <c r="J9" s="2" t="s">
        <v>9</v>
      </c>
      <c r="K9" s="2">
        <v>80</v>
      </c>
      <c r="L9" s="2">
        <v>100</v>
      </c>
      <c r="M9" s="2" t="s">
        <v>44</v>
      </c>
      <c r="N9" s="2" t="s">
        <v>231</v>
      </c>
      <c r="O9" s="2" t="s">
        <v>263</v>
      </c>
      <c r="P9" s="2">
        <v>480</v>
      </c>
      <c r="Q9" s="2">
        <v>1</v>
      </c>
      <c r="R9" s="2" t="s">
        <v>231</v>
      </c>
      <c r="S9" s="2" t="s">
        <v>263</v>
      </c>
      <c r="T9" s="2">
        <v>70</v>
      </c>
      <c r="U9" s="2">
        <v>200</v>
      </c>
      <c r="V9" s="2">
        <v>300</v>
      </c>
      <c r="W9" s="2" t="s">
        <v>228</v>
      </c>
      <c r="X9" s="2" t="s">
        <v>227</v>
      </c>
      <c r="Y9" s="2">
        <v>30</v>
      </c>
      <c r="Z9" s="2">
        <v>5000</v>
      </c>
      <c r="AA9" s="2">
        <v>7000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52" x14ac:dyDescent="0.3">
      <c r="A10" s="2">
        <v>20004</v>
      </c>
      <c r="B10" s="2" t="s">
        <v>282</v>
      </c>
      <c r="C10" s="2"/>
      <c r="D10" s="2"/>
      <c r="E10" s="3" t="s">
        <v>133</v>
      </c>
      <c r="F10" s="2" t="s">
        <v>433</v>
      </c>
      <c r="G10" s="2"/>
      <c r="H10" s="2"/>
      <c r="I10" s="2">
        <v>4</v>
      </c>
      <c r="J10" s="2" t="s">
        <v>9</v>
      </c>
      <c r="K10" s="2">
        <v>320</v>
      </c>
      <c r="L10" s="2">
        <v>400</v>
      </c>
      <c r="M10" s="2" t="s">
        <v>44</v>
      </c>
      <c r="N10" s="2" t="s">
        <v>231</v>
      </c>
      <c r="O10" s="2" t="s">
        <v>263</v>
      </c>
      <c r="P10" s="2">
        <v>640</v>
      </c>
      <c r="Q10" s="2">
        <v>1</v>
      </c>
      <c r="R10" s="2" t="s">
        <v>231</v>
      </c>
      <c r="S10" s="2" t="s">
        <v>263</v>
      </c>
      <c r="T10" s="2">
        <v>70</v>
      </c>
      <c r="U10" s="2">
        <v>250</v>
      </c>
      <c r="V10" s="2">
        <v>350</v>
      </c>
      <c r="W10" s="2" t="s">
        <v>228</v>
      </c>
      <c r="X10" s="2" t="s">
        <v>227</v>
      </c>
      <c r="Y10" s="2">
        <v>30</v>
      </c>
      <c r="Z10" s="2">
        <v>6000</v>
      </c>
      <c r="AA10" s="2">
        <v>8000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52" x14ac:dyDescent="0.3">
      <c r="A11" s="2">
        <v>20005</v>
      </c>
      <c r="B11" s="2" t="s">
        <v>283</v>
      </c>
      <c r="C11" s="2"/>
      <c r="D11" s="2"/>
      <c r="E11" s="3" t="s">
        <v>134</v>
      </c>
      <c r="F11" s="2" t="s">
        <v>433</v>
      </c>
      <c r="G11" s="2"/>
      <c r="H11" s="2"/>
      <c r="I11" s="2">
        <v>5</v>
      </c>
      <c r="J11" s="2" t="s">
        <v>9</v>
      </c>
      <c r="K11" s="2">
        <v>800</v>
      </c>
      <c r="L11" s="2">
        <v>1600</v>
      </c>
      <c r="M11" s="2" t="s">
        <v>44</v>
      </c>
      <c r="N11" s="2" t="s">
        <v>231</v>
      </c>
      <c r="O11" s="2" t="s">
        <v>263</v>
      </c>
      <c r="P11" s="2">
        <v>800</v>
      </c>
      <c r="Q11" s="2">
        <v>1</v>
      </c>
      <c r="R11" s="2" t="s">
        <v>231</v>
      </c>
      <c r="S11" s="2" t="s">
        <v>263</v>
      </c>
      <c r="T11" s="2">
        <v>70</v>
      </c>
      <c r="U11" s="2">
        <v>300</v>
      </c>
      <c r="V11" s="2">
        <v>400</v>
      </c>
      <c r="W11" s="2" t="s">
        <v>228</v>
      </c>
      <c r="X11" s="2" t="s">
        <v>227</v>
      </c>
      <c r="Y11" s="2">
        <v>30</v>
      </c>
      <c r="Z11" s="2">
        <v>7000</v>
      </c>
      <c r="AA11" s="2">
        <v>10000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52" x14ac:dyDescent="0.3">
      <c r="A12" s="2">
        <v>30001</v>
      </c>
      <c r="B12" s="2" t="s">
        <v>289</v>
      </c>
      <c r="C12" s="2"/>
      <c r="D12" s="2"/>
      <c r="E12" s="3" t="s">
        <v>135</v>
      </c>
      <c r="F12" s="2" t="s">
        <v>434</v>
      </c>
      <c r="G12" s="2"/>
      <c r="H12" s="2"/>
      <c r="I12" s="2">
        <v>1</v>
      </c>
      <c r="J12" s="2" t="s">
        <v>10</v>
      </c>
      <c r="K12" s="2">
        <v>10</v>
      </c>
      <c r="L12" s="2">
        <v>10</v>
      </c>
      <c r="M12" s="2" t="s">
        <v>44</v>
      </c>
      <c r="N12" s="2" t="s">
        <v>233</v>
      </c>
      <c r="O12" s="2" t="s">
        <v>227</v>
      </c>
      <c r="P12" s="2">
        <v>4000</v>
      </c>
      <c r="Q12" s="2">
        <v>1</v>
      </c>
      <c r="R12" s="2" t="s">
        <v>233</v>
      </c>
      <c r="S12" s="2" t="s">
        <v>227</v>
      </c>
      <c r="T12" s="2">
        <v>33</v>
      </c>
      <c r="U12" s="2">
        <v>1000</v>
      </c>
      <c r="V12" s="2">
        <v>4000</v>
      </c>
      <c r="W12" s="2" t="s">
        <v>234</v>
      </c>
      <c r="X12" s="2" t="s">
        <v>227</v>
      </c>
      <c r="Y12" s="2">
        <v>33</v>
      </c>
      <c r="Z12" s="2">
        <v>1000</v>
      </c>
      <c r="AA12" s="2">
        <v>4000</v>
      </c>
      <c r="AB12" s="2" t="s">
        <v>231</v>
      </c>
      <c r="AC12" s="2" t="s">
        <v>263</v>
      </c>
      <c r="AD12" s="2">
        <v>34</v>
      </c>
      <c r="AE12" s="2">
        <v>100</v>
      </c>
      <c r="AF12" s="2">
        <v>200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3">
      <c r="A13" s="2">
        <v>30002</v>
      </c>
      <c r="B13" s="2" t="s">
        <v>290</v>
      </c>
      <c r="C13" s="2"/>
      <c r="D13" s="2"/>
      <c r="E13" s="3" t="s">
        <v>136</v>
      </c>
      <c r="F13" s="2" t="s">
        <v>434</v>
      </c>
      <c r="G13" s="2"/>
      <c r="H13" s="2"/>
      <c r="I13" s="2">
        <v>2</v>
      </c>
      <c r="J13" s="2" t="s">
        <v>10</v>
      </c>
      <c r="K13" s="2">
        <v>20</v>
      </c>
      <c r="L13" s="2">
        <v>25</v>
      </c>
      <c r="M13" s="2" t="s">
        <v>44</v>
      </c>
      <c r="N13" s="2" t="s">
        <v>233</v>
      </c>
      <c r="O13" s="2" t="s">
        <v>227</v>
      </c>
      <c r="P13" s="2">
        <v>7000</v>
      </c>
      <c r="Q13" s="2">
        <v>1</v>
      </c>
      <c r="R13" s="2" t="s">
        <v>233</v>
      </c>
      <c r="S13" s="2" t="s">
        <v>227</v>
      </c>
      <c r="T13" s="2">
        <v>33</v>
      </c>
      <c r="U13" s="2">
        <v>3000</v>
      </c>
      <c r="V13" s="2">
        <v>6000</v>
      </c>
      <c r="W13" s="2" t="s">
        <v>234</v>
      </c>
      <c r="X13" s="2" t="s">
        <v>227</v>
      </c>
      <c r="Y13" s="2">
        <v>33</v>
      </c>
      <c r="Z13" s="2">
        <v>3000</v>
      </c>
      <c r="AA13" s="2">
        <v>6000</v>
      </c>
      <c r="AB13" s="2" t="s">
        <v>231</v>
      </c>
      <c r="AC13" s="2" t="s">
        <v>263</v>
      </c>
      <c r="AD13" s="2">
        <v>34</v>
      </c>
      <c r="AE13" s="2">
        <v>150</v>
      </c>
      <c r="AF13" s="2">
        <v>250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3">
      <c r="A14" s="2">
        <v>30003</v>
      </c>
      <c r="B14" s="2" t="s">
        <v>291</v>
      </c>
      <c r="C14" s="2"/>
      <c r="D14" s="2"/>
      <c r="E14" s="3" t="s">
        <v>137</v>
      </c>
      <c r="F14" s="2" t="s">
        <v>434</v>
      </c>
      <c r="G14" s="2"/>
      <c r="H14" s="2"/>
      <c r="I14" s="2">
        <v>3</v>
      </c>
      <c r="J14" s="2" t="s">
        <v>10</v>
      </c>
      <c r="K14" s="2">
        <v>80</v>
      </c>
      <c r="L14" s="2">
        <v>100</v>
      </c>
      <c r="M14" s="2" t="s">
        <v>44</v>
      </c>
      <c r="N14" s="2" t="s">
        <v>233</v>
      </c>
      <c r="O14" s="2" t="s">
        <v>227</v>
      </c>
      <c r="P14" s="2">
        <v>10000</v>
      </c>
      <c r="Q14" s="2">
        <v>1</v>
      </c>
      <c r="R14" s="2" t="s">
        <v>233</v>
      </c>
      <c r="S14" s="2" t="s">
        <v>227</v>
      </c>
      <c r="T14" s="2">
        <v>33</v>
      </c>
      <c r="U14" s="2">
        <v>5000</v>
      </c>
      <c r="V14" s="2">
        <v>7000</v>
      </c>
      <c r="W14" s="2" t="s">
        <v>234</v>
      </c>
      <c r="X14" s="2" t="s">
        <v>227</v>
      </c>
      <c r="Y14" s="2">
        <v>33</v>
      </c>
      <c r="Z14" s="2">
        <v>5000</v>
      </c>
      <c r="AA14" s="2">
        <v>7000</v>
      </c>
      <c r="AB14" s="2" t="s">
        <v>231</v>
      </c>
      <c r="AC14" s="2" t="s">
        <v>263</v>
      </c>
      <c r="AD14" s="2">
        <v>34</v>
      </c>
      <c r="AE14" s="2">
        <v>200</v>
      </c>
      <c r="AF14" s="2">
        <v>300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3">
      <c r="A15" s="2">
        <v>30004</v>
      </c>
      <c r="B15" s="2" t="s">
        <v>292</v>
      </c>
      <c r="C15" s="2"/>
      <c r="D15" s="2"/>
      <c r="E15" s="3" t="s">
        <v>138</v>
      </c>
      <c r="F15" s="2" t="s">
        <v>434</v>
      </c>
      <c r="G15" s="2"/>
      <c r="H15" s="2"/>
      <c r="I15" s="2">
        <v>4</v>
      </c>
      <c r="J15" s="2" t="s">
        <v>10</v>
      </c>
      <c r="K15" s="2">
        <v>320</v>
      </c>
      <c r="L15" s="2">
        <v>400</v>
      </c>
      <c r="M15" s="2" t="s">
        <v>44</v>
      </c>
      <c r="N15" s="2" t="s">
        <v>233</v>
      </c>
      <c r="O15" s="2" t="s">
        <v>227</v>
      </c>
      <c r="P15" s="2">
        <v>13000</v>
      </c>
      <c r="Q15" s="2">
        <v>1</v>
      </c>
      <c r="R15" s="2" t="s">
        <v>233</v>
      </c>
      <c r="S15" s="2" t="s">
        <v>227</v>
      </c>
      <c r="T15" s="2">
        <v>33</v>
      </c>
      <c r="U15" s="2">
        <v>6000</v>
      </c>
      <c r="V15" s="2">
        <v>8000</v>
      </c>
      <c r="W15" s="2" t="s">
        <v>234</v>
      </c>
      <c r="X15" s="2" t="s">
        <v>227</v>
      </c>
      <c r="Y15" s="2">
        <v>33</v>
      </c>
      <c r="Z15" s="2">
        <v>6000</v>
      </c>
      <c r="AA15" s="2">
        <v>8000</v>
      </c>
      <c r="AB15" s="2" t="s">
        <v>231</v>
      </c>
      <c r="AC15" s="2" t="s">
        <v>263</v>
      </c>
      <c r="AD15" s="2">
        <v>34</v>
      </c>
      <c r="AE15" s="2">
        <v>250</v>
      </c>
      <c r="AF15" s="2">
        <v>350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3">
      <c r="A16" s="2">
        <v>30005</v>
      </c>
      <c r="B16" s="2" t="s">
        <v>293</v>
      </c>
      <c r="C16" s="2"/>
      <c r="D16" s="2"/>
      <c r="E16" s="3" t="s">
        <v>139</v>
      </c>
      <c r="F16" s="2" t="s">
        <v>434</v>
      </c>
      <c r="G16" s="2"/>
      <c r="H16" s="2"/>
      <c r="I16" s="2">
        <v>5</v>
      </c>
      <c r="J16" s="2" t="s">
        <v>10</v>
      </c>
      <c r="K16" s="2">
        <v>800</v>
      </c>
      <c r="L16" s="2">
        <v>1600</v>
      </c>
      <c r="M16" s="2" t="s">
        <v>44</v>
      </c>
      <c r="N16" s="2" t="s">
        <v>233</v>
      </c>
      <c r="O16" s="2" t="s">
        <v>227</v>
      </c>
      <c r="P16" s="2">
        <v>16000</v>
      </c>
      <c r="Q16" s="2">
        <v>1</v>
      </c>
      <c r="R16" s="2" t="s">
        <v>233</v>
      </c>
      <c r="S16" s="2" t="s">
        <v>227</v>
      </c>
      <c r="T16" s="2">
        <v>33</v>
      </c>
      <c r="U16" s="2">
        <v>7000</v>
      </c>
      <c r="V16" s="2">
        <v>10000</v>
      </c>
      <c r="W16" s="2" t="s">
        <v>234</v>
      </c>
      <c r="X16" s="2" t="s">
        <v>227</v>
      </c>
      <c r="Y16" s="2">
        <v>33</v>
      </c>
      <c r="Z16" s="2">
        <v>7000</v>
      </c>
      <c r="AA16" s="2">
        <v>10000</v>
      </c>
      <c r="AB16" s="2" t="s">
        <v>231</v>
      </c>
      <c r="AC16" s="2" t="s">
        <v>263</v>
      </c>
      <c r="AD16" s="2">
        <v>34</v>
      </c>
      <c r="AE16" s="2">
        <v>300</v>
      </c>
      <c r="AF16" s="2">
        <v>400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3">
      <c r="A17" s="2">
        <v>30011</v>
      </c>
      <c r="B17" s="2" t="s">
        <v>294</v>
      </c>
      <c r="C17" s="2"/>
      <c r="D17" s="2"/>
      <c r="E17" s="3" t="s">
        <v>140</v>
      </c>
      <c r="F17" s="2" t="s">
        <v>434</v>
      </c>
      <c r="G17" s="2"/>
      <c r="H17" s="2"/>
      <c r="I17" s="2">
        <v>1</v>
      </c>
      <c r="J17" s="2" t="s">
        <v>10</v>
      </c>
      <c r="K17" s="2">
        <v>10</v>
      </c>
      <c r="L17" s="2">
        <v>10</v>
      </c>
      <c r="M17" s="2" t="s">
        <v>44</v>
      </c>
      <c r="N17" s="2" t="s">
        <v>234</v>
      </c>
      <c r="O17" s="2" t="s">
        <v>227</v>
      </c>
      <c r="P17" s="2">
        <v>4000</v>
      </c>
      <c r="Q17" s="2">
        <v>1</v>
      </c>
      <c r="R17" s="2" t="s">
        <v>233</v>
      </c>
      <c r="S17" s="2" t="s">
        <v>227</v>
      </c>
      <c r="T17" s="2">
        <v>33</v>
      </c>
      <c r="U17" s="2">
        <v>1000</v>
      </c>
      <c r="V17" s="2">
        <v>4000</v>
      </c>
      <c r="W17" s="2" t="s">
        <v>234</v>
      </c>
      <c r="X17" s="2" t="s">
        <v>227</v>
      </c>
      <c r="Y17" s="2">
        <v>33</v>
      </c>
      <c r="Z17" s="2">
        <v>1000</v>
      </c>
      <c r="AA17" s="2">
        <v>4000</v>
      </c>
      <c r="AB17" s="2" t="s">
        <v>231</v>
      </c>
      <c r="AC17" s="2" t="s">
        <v>263</v>
      </c>
      <c r="AD17" s="2">
        <v>34</v>
      </c>
      <c r="AE17" s="2">
        <v>100</v>
      </c>
      <c r="AF17" s="2">
        <v>200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3">
      <c r="A18" s="2">
        <v>30012</v>
      </c>
      <c r="B18" s="2" t="s">
        <v>295</v>
      </c>
      <c r="C18" s="2"/>
      <c r="D18" s="2"/>
      <c r="E18" s="3" t="s">
        <v>141</v>
      </c>
      <c r="F18" s="2" t="s">
        <v>434</v>
      </c>
      <c r="G18" s="2"/>
      <c r="H18" s="2"/>
      <c r="I18" s="2">
        <v>2</v>
      </c>
      <c r="J18" s="2" t="s">
        <v>10</v>
      </c>
      <c r="K18" s="2">
        <v>20</v>
      </c>
      <c r="L18" s="2">
        <v>25</v>
      </c>
      <c r="M18" s="2" t="s">
        <v>44</v>
      </c>
      <c r="N18" s="2" t="s">
        <v>234</v>
      </c>
      <c r="O18" s="2" t="s">
        <v>227</v>
      </c>
      <c r="P18" s="2">
        <v>7000</v>
      </c>
      <c r="Q18" s="2">
        <v>1</v>
      </c>
      <c r="R18" s="2" t="s">
        <v>233</v>
      </c>
      <c r="S18" s="2" t="s">
        <v>227</v>
      </c>
      <c r="T18" s="2">
        <v>33</v>
      </c>
      <c r="U18" s="2">
        <v>3000</v>
      </c>
      <c r="V18" s="2">
        <v>6000</v>
      </c>
      <c r="W18" s="2" t="s">
        <v>234</v>
      </c>
      <c r="X18" s="2" t="s">
        <v>227</v>
      </c>
      <c r="Y18" s="2">
        <v>33</v>
      </c>
      <c r="Z18" s="2">
        <v>3000</v>
      </c>
      <c r="AA18" s="2">
        <v>6000</v>
      </c>
      <c r="AB18" s="2" t="s">
        <v>231</v>
      </c>
      <c r="AC18" s="2" t="s">
        <v>263</v>
      </c>
      <c r="AD18" s="2">
        <v>34</v>
      </c>
      <c r="AE18" s="2">
        <v>150</v>
      </c>
      <c r="AF18" s="2">
        <v>250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3">
      <c r="A19" s="2">
        <v>30013</v>
      </c>
      <c r="B19" s="2" t="s">
        <v>296</v>
      </c>
      <c r="C19" s="2"/>
      <c r="D19" s="2"/>
      <c r="E19" s="3" t="s">
        <v>142</v>
      </c>
      <c r="F19" s="2" t="s">
        <v>434</v>
      </c>
      <c r="G19" s="2"/>
      <c r="H19" s="2"/>
      <c r="I19" s="2">
        <v>3</v>
      </c>
      <c r="J19" s="2" t="s">
        <v>10</v>
      </c>
      <c r="K19" s="2">
        <v>80</v>
      </c>
      <c r="L19" s="2">
        <v>100</v>
      </c>
      <c r="M19" s="2" t="s">
        <v>44</v>
      </c>
      <c r="N19" s="2" t="s">
        <v>234</v>
      </c>
      <c r="O19" s="2" t="s">
        <v>227</v>
      </c>
      <c r="P19" s="2">
        <v>10000</v>
      </c>
      <c r="Q19" s="2">
        <v>1</v>
      </c>
      <c r="R19" s="2" t="s">
        <v>233</v>
      </c>
      <c r="S19" s="2" t="s">
        <v>227</v>
      </c>
      <c r="T19" s="2">
        <v>33</v>
      </c>
      <c r="U19" s="2">
        <v>5000</v>
      </c>
      <c r="V19" s="2">
        <v>7000</v>
      </c>
      <c r="W19" s="2" t="s">
        <v>234</v>
      </c>
      <c r="X19" s="2" t="s">
        <v>227</v>
      </c>
      <c r="Y19" s="2">
        <v>33</v>
      </c>
      <c r="Z19" s="2">
        <v>5000</v>
      </c>
      <c r="AA19" s="2">
        <v>7000</v>
      </c>
      <c r="AB19" s="2" t="s">
        <v>231</v>
      </c>
      <c r="AC19" s="2" t="s">
        <v>263</v>
      </c>
      <c r="AD19" s="2">
        <v>34</v>
      </c>
      <c r="AE19" s="2">
        <v>200</v>
      </c>
      <c r="AF19" s="2">
        <v>300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3">
      <c r="A20" s="2">
        <v>30014</v>
      </c>
      <c r="B20" s="2" t="s">
        <v>297</v>
      </c>
      <c r="C20" s="2"/>
      <c r="D20" s="2"/>
      <c r="E20" s="3" t="s">
        <v>143</v>
      </c>
      <c r="F20" s="2" t="s">
        <v>434</v>
      </c>
      <c r="G20" s="2"/>
      <c r="H20" s="2"/>
      <c r="I20" s="2">
        <v>4</v>
      </c>
      <c r="J20" s="2" t="s">
        <v>10</v>
      </c>
      <c r="K20" s="2">
        <v>320</v>
      </c>
      <c r="L20" s="2">
        <v>400</v>
      </c>
      <c r="M20" s="2" t="s">
        <v>44</v>
      </c>
      <c r="N20" s="2" t="s">
        <v>234</v>
      </c>
      <c r="O20" s="2" t="s">
        <v>227</v>
      </c>
      <c r="P20" s="2">
        <v>13000</v>
      </c>
      <c r="Q20" s="2">
        <v>1</v>
      </c>
      <c r="R20" s="2" t="s">
        <v>233</v>
      </c>
      <c r="S20" s="2" t="s">
        <v>227</v>
      </c>
      <c r="T20" s="2">
        <v>33</v>
      </c>
      <c r="U20" s="2">
        <v>6000</v>
      </c>
      <c r="V20" s="2">
        <v>8000</v>
      </c>
      <c r="W20" s="2" t="s">
        <v>234</v>
      </c>
      <c r="X20" s="2" t="s">
        <v>227</v>
      </c>
      <c r="Y20" s="2">
        <v>33</v>
      </c>
      <c r="Z20" s="2">
        <v>6000</v>
      </c>
      <c r="AA20" s="2">
        <v>8000</v>
      </c>
      <c r="AB20" s="2" t="s">
        <v>231</v>
      </c>
      <c r="AC20" s="2" t="s">
        <v>263</v>
      </c>
      <c r="AD20" s="2">
        <v>34</v>
      </c>
      <c r="AE20" s="2">
        <v>250</v>
      </c>
      <c r="AF20" s="2">
        <v>350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3">
      <c r="A21" s="2">
        <v>30015</v>
      </c>
      <c r="B21" s="2" t="s">
        <v>298</v>
      </c>
      <c r="C21" s="2"/>
      <c r="D21" s="2"/>
      <c r="E21" s="3" t="s">
        <v>212</v>
      </c>
      <c r="F21" s="2" t="s">
        <v>434</v>
      </c>
      <c r="G21" s="2"/>
      <c r="H21" s="2"/>
      <c r="I21" s="2">
        <v>5</v>
      </c>
      <c r="J21" s="2" t="s">
        <v>10</v>
      </c>
      <c r="K21" s="2">
        <v>800</v>
      </c>
      <c r="L21" s="2">
        <v>1600</v>
      </c>
      <c r="M21" s="2" t="s">
        <v>44</v>
      </c>
      <c r="N21" s="2" t="s">
        <v>234</v>
      </c>
      <c r="O21" s="2" t="s">
        <v>227</v>
      </c>
      <c r="P21" s="2">
        <v>16000</v>
      </c>
      <c r="Q21" s="2">
        <v>1</v>
      </c>
      <c r="R21" s="2" t="s">
        <v>233</v>
      </c>
      <c r="S21" s="2" t="s">
        <v>227</v>
      </c>
      <c r="T21" s="2">
        <v>33</v>
      </c>
      <c r="U21" s="2">
        <v>7000</v>
      </c>
      <c r="V21" s="2">
        <v>10000</v>
      </c>
      <c r="W21" s="2" t="s">
        <v>234</v>
      </c>
      <c r="X21" s="2" t="s">
        <v>227</v>
      </c>
      <c r="Y21" s="2">
        <v>33</v>
      </c>
      <c r="Z21" s="2">
        <v>7000</v>
      </c>
      <c r="AA21" s="2">
        <v>10000</v>
      </c>
      <c r="AB21" s="2" t="s">
        <v>231</v>
      </c>
      <c r="AC21" s="2" t="s">
        <v>263</v>
      </c>
      <c r="AD21" s="2">
        <v>34</v>
      </c>
      <c r="AE21" s="2">
        <v>300</v>
      </c>
      <c r="AF21" s="2">
        <v>400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3">
      <c r="A22" s="2">
        <v>40001</v>
      </c>
      <c r="B22" s="2" t="s">
        <v>299</v>
      </c>
      <c r="C22" s="2"/>
      <c r="D22" s="2"/>
      <c r="E22" s="3" t="s">
        <v>144</v>
      </c>
      <c r="F22" s="2" t="s">
        <v>435</v>
      </c>
      <c r="G22" s="2"/>
      <c r="H22" s="2"/>
      <c r="I22" s="2">
        <v>1</v>
      </c>
      <c r="J22" s="2" t="s">
        <v>12</v>
      </c>
      <c r="K22" s="2">
        <v>10</v>
      </c>
      <c r="L22" s="2">
        <v>15</v>
      </c>
      <c r="M22" s="2" t="s">
        <v>44</v>
      </c>
      <c r="N22" s="2" t="s">
        <v>235</v>
      </c>
      <c r="O22" s="2" t="s">
        <v>227</v>
      </c>
      <c r="P22" s="2">
        <v>6000</v>
      </c>
      <c r="Q22" s="2">
        <v>2</v>
      </c>
      <c r="R22" s="2" t="s">
        <v>233</v>
      </c>
      <c r="S22" s="2" t="s">
        <v>227</v>
      </c>
      <c r="T22" s="2">
        <v>30</v>
      </c>
      <c r="U22" s="2">
        <v>1000</v>
      </c>
      <c r="V22" s="2">
        <v>4000</v>
      </c>
      <c r="W22" s="2" t="s">
        <v>234</v>
      </c>
      <c r="X22" s="2" t="s">
        <v>227</v>
      </c>
      <c r="Y22" s="2">
        <v>30</v>
      </c>
      <c r="Z22" s="2">
        <v>1000</v>
      </c>
      <c r="AA22" s="2">
        <v>4000</v>
      </c>
      <c r="AB22" s="2" t="s">
        <v>231</v>
      </c>
      <c r="AC22" s="2" t="s">
        <v>263</v>
      </c>
      <c r="AD22" s="2">
        <v>30</v>
      </c>
      <c r="AE22" s="2">
        <v>100</v>
      </c>
      <c r="AF22" s="2">
        <v>200</v>
      </c>
      <c r="AG22" s="2" t="s">
        <v>228</v>
      </c>
      <c r="AH22" s="2" t="s">
        <v>227</v>
      </c>
      <c r="AI22" s="2">
        <v>10</v>
      </c>
      <c r="AJ22" s="2">
        <v>1000</v>
      </c>
      <c r="AK22" s="2">
        <v>4000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52" x14ac:dyDescent="0.3">
      <c r="A23" s="2">
        <v>40002</v>
      </c>
      <c r="B23" s="2" t="s">
        <v>300</v>
      </c>
      <c r="C23" s="2"/>
      <c r="D23" s="2"/>
      <c r="E23" s="3" t="s">
        <v>145</v>
      </c>
      <c r="F23" s="2" t="s">
        <v>435</v>
      </c>
      <c r="G23" s="2"/>
      <c r="H23" s="2"/>
      <c r="I23" s="2">
        <v>2</v>
      </c>
      <c r="J23" s="2" t="s">
        <v>12</v>
      </c>
      <c r="K23" s="2">
        <v>20</v>
      </c>
      <c r="L23" s="2">
        <v>38</v>
      </c>
      <c r="M23" s="2" t="s">
        <v>44</v>
      </c>
      <c r="N23" s="2" t="s">
        <v>235</v>
      </c>
      <c r="O23" s="2" t="s">
        <v>227</v>
      </c>
      <c r="P23" s="2">
        <v>12000</v>
      </c>
      <c r="Q23" s="2">
        <v>2</v>
      </c>
      <c r="R23" s="2" t="s">
        <v>233</v>
      </c>
      <c r="S23" s="2" t="s">
        <v>227</v>
      </c>
      <c r="T23" s="2">
        <v>30</v>
      </c>
      <c r="U23" s="2">
        <v>3000</v>
      </c>
      <c r="V23" s="2">
        <v>6000</v>
      </c>
      <c r="W23" s="2" t="s">
        <v>234</v>
      </c>
      <c r="X23" s="2" t="s">
        <v>227</v>
      </c>
      <c r="Y23" s="2">
        <v>30</v>
      </c>
      <c r="Z23" s="2">
        <v>3000</v>
      </c>
      <c r="AA23" s="2">
        <v>6000</v>
      </c>
      <c r="AB23" s="2" t="s">
        <v>231</v>
      </c>
      <c r="AC23" s="2" t="s">
        <v>263</v>
      </c>
      <c r="AD23" s="2">
        <v>30</v>
      </c>
      <c r="AE23" s="2">
        <v>150</v>
      </c>
      <c r="AF23" s="2">
        <v>250</v>
      </c>
      <c r="AG23" s="2" t="s">
        <v>228</v>
      </c>
      <c r="AH23" s="2" t="s">
        <v>227</v>
      </c>
      <c r="AI23" s="2">
        <v>10</v>
      </c>
      <c r="AJ23" s="2">
        <v>3000</v>
      </c>
      <c r="AK23" s="2">
        <v>6000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52" x14ac:dyDescent="0.3">
      <c r="A24" s="2">
        <v>40003</v>
      </c>
      <c r="B24" s="2" t="s">
        <v>301</v>
      </c>
      <c r="C24" s="2"/>
      <c r="D24" s="2"/>
      <c r="E24" s="3" t="s">
        <v>146</v>
      </c>
      <c r="F24" s="2" t="s">
        <v>435</v>
      </c>
      <c r="G24" s="2"/>
      <c r="H24" s="2"/>
      <c r="I24" s="2">
        <v>3</v>
      </c>
      <c r="J24" s="2" t="s">
        <v>12</v>
      </c>
      <c r="K24" s="2">
        <v>80</v>
      </c>
      <c r="L24" s="2">
        <v>150</v>
      </c>
      <c r="M24" s="2" t="s">
        <v>44</v>
      </c>
      <c r="N24" s="2" t="s">
        <v>235</v>
      </c>
      <c r="O24" s="2" t="s">
        <v>227</v>
      </c>
      <c r="P24" s="2">
        <v>18000</v>
      </c>
      <c r="Q24" s="2">
        <v>2</v>
      </c>
      <c r="R24" s="2" t="s">
        <v>233</v>
      </c>
      <c r="S24" s="2" t="s">
        <v>227</v>
      </c>
      <c r="T24" s="2">
        <v>30</v>
      </c>
      <c r="U24" s="2">
        <v>5000</v>
      </c>
      <c r="V24" s="2">
        <v>7000</v>
      </c>
      <c r="W24" s="2" t="s">
        <v>234</v>
      </c>
      <c r="X24" s="2" t="s">
        <v>227</v>
      </c>
      <c r="Y24" s="2">
        <v>30</v>
      </c>
      <c r="Z24" s="2">
        <v>5000</v>
      </c>
      <c r="AA24" s="2">
        <v>7000</v>
      </c>
      <c r="AB24" s="2" t="s">
        <v>231</v>
      </c>
      <c r="AC24" s="2" t="s">
        <v>263</v>
      </c>
      <c r="AD24" s="2">
        <v>30</v>
      </c>
      <c r="AE24" s="2">
        <v>200</v>
      </c>
      <c r="AF24" s="2">
        <v>300</v>
      </c>
      <c r="AG24" s="2" t="s">
        <v>228</v>
      </c>
      <c r="AH24" s="2" t="s">
        <v>227</v>
      </c>
      <c r="AI24" s="2">
        <v>10</v>
      </c>
      <c r="AJ24" s="2">
        <v>5000</v>
      </c>
      <c r="AK24" s="2">
        <v>7000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52" x14ac:dyDescent="0.3">
      <c r="A25" s="2">
        <v>40004</v>
      </c>
      <c r="B25" s="2" t="s">
        <v>302</v>
      </c>
      <c r="C25" s="2"/>
      <c r="D25" s="2"/>
      <c r="E25" s="3" t="s">
        <v>147</v>
      </c>
      <c r="F25" s="2" t="s">
        <v>435</v>
      </c>
      <c r="G25" s="2"/>
      <c r="H25" s="2"/>
      <c r="I25" s="2">
        <v>4</v>
      </c>
      <c r="J25" s="2" t="s">
        <v>12</v>
      </c>
      <c r="K25" s="2">
        <v>320</v>
      </c>
      <c r="L25" s="2">
        <v>600</v>
      </c>
      <c r="M25" s="2" t="s">
        <v>44</v>
      </c>
      <c r="N25" s="2" t="s">
        <v>235</v>
      </c>
      <c r="O25" s="2" t="s">
        <v>227</v>
      </c>
      <c r="P25" s="2">
        <v>24000</v>
      </c>
      <c r="Q25" s="2">
        <v>2</v>
      </c>
      <c r="R25" s="2" t="s">
        <v>233</v>
      </c>
      <c r="S25" s="2" t="s">
        <v>227</v>
      </c>
      <c r="T25" s="2">
        <v>30</v>
      </c>
      <c r="U25" s="2">
        <v>6000</v>
      </c>
      <c r="V25" s="2">
        <v>8000</v>
      </c>
      <c r="W25" s="2" t="s">
        <v>234</v>
      </c>
      <c r="X25" s="2" t="s">
        <v>227</v>
      </c>
      <c r="Y25" s="2">
        <v>30</v>
      </c>
      <c r="Z25" s="2">
        <v>6000</v>
      </c>
      <c r="AA25" s="2">
        <v>8000</v>
      </c>
      <c r="AB25" s="2" t="s">
        <v>231</v>
      </c>
      <c r="AC25" s="2" t="s">
        <v>263</v>
      </c>
      <c r="AD25" s="2">
        <v>30</v>
      </c>
      <c r="AE25" s="2">
        <v>250</v>
      </c>
      <c r="AF25" s="2">
        <v>350</v>
      </c>
      <c r="AG25" s="2" t="s">
        <v>228</v>
      </c>
      <c r="AH25" s="2" t="s">
        <v>227</v>
      </c>
      <c r="AI25" s="2">
        <v>10</v>
      </c>
      <c r="AJ25" s="2">
        <v>6000</v>
      </c>
      <c r="AK25" s="2">
        <v>8000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52" x14ac:dyDescent="0.3">
      <c r="A26" s="2">
        <v>40005</v>
      </c>
      <c r="B26" s="2" t="s">
        <v>303</v>
      </c>
      <c r="C26" s="2"/>
      <c r="D26" s="2"/>
      <c r="E26" s="3" t="s">
        <v>148</v>
      </c>
      <c r="F26" s="2" t="s">
        <v>435</v>
      </c>
      <c r="G26" s="2"/>
      <c r="H26" s="2"/>
      <c r="I26" s="2">
        <v>5</v>
      </c>
      <c r="J26" s="2" t="s">
        <v>12</v>
      </c>
      <c r="K26" s="2">
        <v>800</v>
      </c>
      <c r="L26" s="2">
        <v>2400</v>
      </c>
      <c r="M26" s="2" t="s">
        <v>44</v>
      </c>
      <c r="N26" s="2" t="s">
        <v>235</v>
      </c>
      <c r="O26" s="2" t="s">
        <v>227</v>
      </c>
      <c r="P26" s="2">
        <v>30000</v>
      </c>
      <c r="Q26" s="2">
        <v>2</v>
      </c>
      <c r="R26" s="2" t="s">
        <v>233</v>
      </c>
      <c r="S26" s="2" t="s">
        <v>227</v>
      </c>
      <c r="T26" s="2">
        <v>30</v>
      </c>
      <c r="U26" s="2">
        <v>7000</v>
      </c>
      <c r="V26" s="2">
        <v>10000</v>
      </c>
      <c r="W26" s="2" t="s">
        <v>234</v>
      </c>
      <c r="X26" s="2" t="s">
        <v>227</v>
      </c>
      <c r="Y26" s="2">
        <v>30</v>
      </c>
      <c r="Z26" s="2">
        <v>7000</v>
      </c>
      <c r="AA26" s="2">
        <v>10000</v>
      </c>
      <c r="AB26" s="2" t="s">
        <v>231</v>
      </c>
      <c r="AC26" s="2" t="s">
        <v>263</v>
      </c>
      <c r="AD26" s="2">
        <v>30</v>
      </c>
      <c r="AE26" s="2">
        <v>300</v>
      </c>
      <c r="AF26" s="2">
        <v>400</v>
      </c>
      <c r="AG26" s="2" t="s">
        <v>228</v>
      </c>
      <c r="AH26" s="2" t="s">
        <v>227</v>
      </c>
      <c r="AI26" s="2">
        <v>10</v>
      </c>
      <c r="AJ26" s="2">
        <v>7000</v>
      </c>
      <c r="AK26" s="2">
        <v>10000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52" x14ac:dyDescent="0.3">
      <c r="A27" s="2">
        <f>A22+10</f>
        <v>40011</v>
      </c>
      <c r="B27" s="2" t="s">
        <v>309</v>
      </c>
      <c r="C27" s="2"/>
      <c r="D27" s="2"/>
      <c r="E27" s="3" t="s">
        <v>149</v>
      </c>
      <c r="F27" s="2" t="s">
        <v>435</v>
      </c>
      <c r="G27" s="2"/>
      <c r="H27" s="2"/>
      <c r="I27" s="2">
        <v>1</v>
      </c>
      <c r="J27" s="2" t="s">
        <v>12</v>
      </c>
      <c r="K27" s="2">
        <v>10</v>
      </c>
      <c r="L27" s="2">
        <v>15</v>
      </c>
      <c r="M27" s="2" t="s">
        <v>44</v>
      </c>
      <c r="N27" s="2" t="s">
        <v>237</v>
      </c>
      <c r="O27" s="2" t="s">
        <v>226</v>
      </c>
      <c r="P27" s="2">
        <v>6000</v>
      </c>
      <c r="Q27" s="2">
        <v>2</v>
      </c>
      <c r="R27" s="2" t="s">
        <v>233</v>
      </c>
      <c r="S27" s="2" t="s">
        <v>227</v>
      </c>
      <c r="T27" s="2">
        <v>30</v>
      </c>
      <c r="U27" s="2">
        <v>1000</v>
      </c>
      <c r="V27" s="2">
        <v>4000</v>
      </c>
      <c r="W27" s="2" t="s">
        <v>234</v>
      </c>
      <c r="X27" s="2" t="s">
        <v>227</v>
      </c>
      <c r="Y27" s="2">
        <v>30</v>
      </c>
      <c r="Z27" s="2">
        <v>1000</v>
      </c>
      <c r="AA27" s="2">
        <v>4000</v>
      </c>
      <c r="AB27" s="2" t="s">
        <v>231</v>
      </c>
      <c r="AC27" s="2" t="s">
        <v>263</v>
      </c>
      <c r="AD27" s="2">
        <v>30</v>
      </c>
      <c r="AE27" s="2">
        <v>100</v>
      </c>
      <c r="AF27" s="2">
        <v>200</v>
      </c>
      <c r="AG27" s="2" t="s">
        <v>228</v>
      </c>
      <c r="AH27" s="2" t="s">
        <v>227</v>
      </c>
      <c r="AI27" s="2">
        <v>10</v>
      </c>
      <c r="AJ27" s="2">
        <v>1000</v>
      </c>
      <c r="AK27" s="2">
        <v>4000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52" x14ac:dyDescent="0.3">
      <c r="A28" s="2">
        <f t="shared" ref="A28:A91" si="0">A23+10</f>
        <v>40012</v>
      </c>
      <c r="B28" s="2" t="s">
        <v>310</v>
      </c>
      <c r="C28" s="2"/>
      <c r="D28" s="2"/>
      <c r="E28" s="3" t="s">
        <v>150</v>
      </c>
      <c r="F28" s="2" t="s">
        <v>435</v>
      </c>
      <c r="G28" s="2"/>
      <c r="H28" s="2"/>
      <c r="I28" s="2">
        <v>2</v>
      </c>
      <c r="J28" s="2" t="s">
        <v>12</v>
      </c>
      <c r="K28" s="2">
        <v>20</v>
      </c>
      <c r="L28" s="2">
        <v>38</v>
      </c>
      <c r="M28" s="2" t="s">
        <v>44</v>
      </c>
      <c r="N28" s="2" t="s">
        <v>237</v>
      </c>
      <c r="O28" s="2" t="s">
        <v>226</v>
      </c>
      <c r="P28" s="2">
        <v>12000</v>
      </c>
      <c r="Q28" s="2">
        <v>2</v>
      </c>
      <c r="R28" s="2" t="s">
        <v>233</v>
      </c>
      <c r="S28" s="2" t="s">
        <v>227</v>
      </c>
      <c r="T28" s="2">
        <v>30</v>
      </c>
      <c r="U28" s="2">
        <v>3000</v>
      </c>
      <c r="V28" s="2">
        <v>6000</v>
      </c>
      <c r="W28" s="2" t="s">
        <v>234</v>
      </c>
      <c r="X28" s="2" t="s">
        <v>227</v>
      </c>
      <c r="Y28" s="2">
        <v>30</v>
      </c>
      <c r="Z28" s="2">
        <v>3000</v>
      </c>
      <c r="AA28" s="2">
        <v>6000</v>
      </c>
      <c r="AB28" s="2" t="s">
        <v>231</v>
      </c>
      <c r="AC28" s="2" t="s">
        <v>263</v>
      </c>
      <c r="AD28" s="2">
        <v>30</v>
      </c>
      <c r="AE28" s="2">
        <v>150</v>
      </c>
      <c r="AF28" s="2">
        <v>250</v>
      </c>
      <c r="AG28" s="2" t="s">
        <v>228</v>
      </c>
      <c r="AH28" s="2" t="s">
        <v>227</v>
      </c>
      <c r="AI28" s="2">
        <v>10</v>
      </c>
      <c r="AJ28" s="2">
        <v>3000</v>
      </c>
      <c r="AK28" s="2">
        <v>6000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52" x14ac:dyDescent="0.3">
      <c r="A29" s="2">
        <f t="shared" si="0"/>
        <v>40013</v>
      </c>
      <c r="B29" s="2" t="s">
        <v>311</v>
      </c>
      <c r="C29" s="2"/>
      <c r="D29" s="2"/>
      <c r="E29" s="3" t="s">
        <v>151</v>
      </c>
      <c r="F29" s="2" t="s">
        <v>435</v>
      </c>
      <c r="G29" s="2"/>
      <c r="H29" s="2"/>
      <c r="I29" s="2">
        <v>3</v>
      </c>
      <c r="J29" s="2" t="s">
        <v>12</v>
      </c>
      <c r="K29" s="2">
        <v>80</v>
      </c>
      <c r="L29" s="2">
        <v>150</v>
      </c>
      <c r="M29" s="2" t="s">
        <v>44</v>
      </c>
      <c r="N29" s="2" t="s">
        <v>237</v>
      </c>
      <c r="O29" s="2" t="s">
        <v>226</v>
      </c>
      <c r="P29" s="2">
        <v>18000</v>
      </c>
      <c r="Q29" s="2">
        <v>2</v>
      </c>
      <c r="R29" s="2" t="s">
        <v>233</v>
      </c>
      <c r="S29" s="2" t="s">
        <v>227</v>
      </c>
      <c r="T29" s="2">
        <v>30</v>
      </c>
      <c r="U29" s="2">
        <v>5000</v>
      </c>
      <c r="V29" s="2">
        <v>7000</v>
      </c>
      <c r="W29" s="2" t="s">
        <v>234</v>
      </c>
      <c r="X29" s="2" t="s">
        <v>227</v>
      </c>
      <c r="Y29" s="2">
        <v>30</v>
      </c>
      <c r="Z29" s="2">
        <v>5000</v>
      </c>
      <c r="AA29" s="2">
        <v>7000</v>
      </c>
      <c r="AB29" s="2" t="s">
        <v>231</v>
      </c>
      <c r="AC29" s="2" t="s">
        <v>263</v>
      </c>
      <c r="AD29" s="2">
        <v>30</v>
      </c>
      <c r="AE29" s="2">
        <v>200</v>
      </c>
      <c r="AF29" s="2">
        <v>300</v>
      </c>
      <c r="AG29" s="2" t="s">
        <v>228</v>
      </c>
      <c r="AH29" s="2" t="s">
        <v>227</v>
      </c>
      <c r="AI29" s="2">
        <v>10</v>
      </c>
      <c r="AJ29" s="2">
        <v>5000</v>
      </c>
      <c r="AK29" s="2">
        <v>7000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52" x14ac:dyDescent="0.3">
      <c r="A30" s="2">
        <f t="shared" si="0"/>
        <v>40014</v>
      </c>
      <c r="B30" s="2" t="s">
        <v>312</v>
      </c>
      <c r="C30" s="2"/>
      <c r="D30" s="2"/>
      <c r="E30" s="3" t="s">
        <v>152</v>
      </c>
      <c r="F30" s="2" t="s">
        <v>435</v>
      </c>
      <c r="G30" s="2"/>
      <c r="H30" s="2"/>
      <c r="I30" s="2">
        <v>4</v>
      </c>
      <c r="J30" s="2" t="s">
        <v>12</v>
      </c>
      <c r="K30" s="2">
        <v>320</v>
      </c>
      <c r="L30" s="2">
        <v>600</v>
      </c>
      <c r="M30" s="2" t="s">
        <v>44</v>
      </c>
      <c r="N30" s="2" t="s">
        <v>237</v>
      </c>
      <c r="O30" s="2" t="s">
        <v>226</v>
      </c>
      <c r="P30" s="2">
        <v>24000</v>
      </c>
      <c r="Q30" s="2">
        <v>2</v>
      </c>
      <c r="R30" s="2" t="s">
        <v>233</v>
      </c>
      <c r="S30" s="2" t="s">
        <v>227</v>
      </c>
      <c r="T30" s="2">
        <v>30</v>
      </c>
      <c r="U30" s="2">
        <v>6000</v>
      </c>
      <c r="V30" s="2">
        <v>8000</v>
      </c>
      <c r="W30" s="2" t="s">
        <v>234</v>
      </c>
      <c r="X30" s="2" t="s">
        <v>227</v>
      </c>
      <c r="Y30" s="2">
        <v>30</v>
      </c>
      <c r="Z30" s="2">
        <v>6000</v>
      </c>
      <c r="AA30" s="2">
        <v>8000</v>
      </c>
      <c r="AB30" s="2" t="s">
        <v>231</v>
      </c>
      <c r="AC30" s="2" t="s">
        <v>263</v>
      </c>
      <c r="AD30" s="2">
        <v>30</v>
      </c>
      <c r="AE30" s="2">
        <v>250</v>
      </c>
      <c r="AF30" s="2">
        <v>350</v>
      </c>
      <c r="AG30" s="2" t="s">
        <v>228</v>
      </c>
      <c r="AH30" s="2" t="s">
        <v>227</v>
      </c>
      <c r="AI30" s="2">
        <v>10</v>
      </c>
      <c r="AJ30" s="2">
        <v>6000</v>
      </c>
      <c r="AK30" s="2">
        <v>8000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52" x14ac:dyDescent="0.3">
      <c r="A31" s="2">
        <f t="shared" si="0"/>
        <v>40015</v>
      </c>
      <c r="B31" s="2" t="s">
        <v>313</v>
      </c>
      <c r="C31" s="2"/>
      <c r="D31" s="2"/>
      <c r="E31" s="3" t="s">
        <v>153</v>
      </c>
      <c r="F31" s="2" t="s">
        <v>435</v>
      </c>
      <c r="G31" s="2"/>
      <c r="H31" s="2"/>
      <c r="I31" s="2">
        <v>5</v>
      </c>
      <c r="J31" s="2" t="s">
        <v>12</v>
      </c>
      <c r="K31" s="2">
        <v>800</v>
      </c>
      <c r="L31" s="2">
        <v>2400</v>
      </c>
      <c r="M31" s="2" t="s">
        <v>44</v>
      </c>
      <c r="N31" s="2" t="s">
        <v>237</v>
      </c>
      <c r="O31" s="2" t="s">
        <v>226</v>
      </c>
      <c r="P31" s="2">
        <v>30000</v>
      </c>
      <c r="Q31" s="2">
        <v>2</v>
      </c>
      <c r="R31" s="2" t="s">
        <v>233</v>
      </c>
      <c r="S31" s="2" t="s">
        <v>227</v>
      </c>
      <c r="T31" s="2">
        <v>30</v>
      </c>
      <c r="U31" s="2">
        <v>7000</v>
      </c>
      <c r="V31" s="2">
        <v>10000</v>
      </c>
      <c r="W31" s="2" t="s">
        <v>234</v>
      </c>
      <c r="X31" s="2" t="s">
        <v>227</v>
      </c>
      <c r="Y31" s="2">
        <v>30</v>
      </c>
      <c r="Z31" s="2">
        <v>7000</v>
      </c>
      <c r="AA31" s="2">
        <v>10000</v>
      </c>
      <c r="AB31" s="2" t="s">
        <v>231</v>
      </c>
      <c r="AC31" s="2" t="s">
        <v>263</v>
      </c>
      <c r="AD31" s="2">
        <v>30</v>
      </c>
      <c r="AE31" s="2">
        <v>300</v>
      </c>
      <c r="AF31" s="2">
        <v>400</v>
      </c>
      <c r="AG31" s="2" t="s">
        <v>228</v>
      </c>
      <c r="AH31" s="2" t="s">
        <v>227</v>
      </c>
      <c r="AI31" s="2">
        <v>10</v>
      </c>
      <c r="AJ31" s="2">
        <v>7000</v>
      </c>
      <c r="AK31" s="2">
        <v>10000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52" x14ac:dyDescent="0.3">
      <c r="A32" s="2">
        <f t="shared" si="0"/>
        <v>40021</v>
      </c>
      <c r="B32" s="2" t="s">
        <v>314</v>
      </c>
      <c r="C32" s="2"/>
      <c r="D32" s="2"/>
      <c r="E32" s="3" t="s">
        <v>154</v>
      </c>
      <c r="F32" s="2" t="s">
        <v>435</v>
      </c>
      <c r="G32" s="2"/>
      <c r="H32" s="2"/>
      <c r="I32" s="2">
        <v>1</v>
      </c>
      <c r="J32" s="2" t="s">
        <v>12</v>
      </c>
      <c r="K32" s="2">
        <v>10</v>
      </c>
      <c r="L32" s="2">
        <v>15</v>
      </c>
      <c r="M32" s="2" t="s">
        <v>44</v>
      </c>
      <c r="N32" s="2" t="s">
        <v>238</v>
      </c>
      <c r="O32" s="2" t="s">
        <v>227</v>
      </c>
      <c r="P32" s="2">
        <v>6000</v>
      </c>
      <c r="Q32" s="2">
        <v>2</v>
      </c>
      <c r="R32" s="2" t="s">
        <v>233</v>
      </c>
      <c r="S32" s="2" t="s">
        <v>227</v>
      </c>
      <c r="T32" s="2">
        <v>30</v>
      </c>
      <c r="U32" s="2">
        <v>1000</v>
      </c>
      <c r="V32" s="2">
        <v>4000</v>
      </c>
      <c r="W32" s="2" t="s">
        <v>234</v>
      </c>
      <c r="X32" s="2" t="s">
        <v>227</v>
      </c>
      <c r="Y32" s="2">
        <v>30</v>
      </c>
      <c r="Z32" s="2">
        <v>1000</v>
      </c>
      <c r="AA32" s="2">
        <v>4000</v>
      </c>
      <c r="AB32" s="2" t="s">
        <v>231</v>
      </c>
      <c r="AC32" s="2" t="s">
        <v>263</v>
      </c>
      <c r="AD32" s="2">
        <v>30</v>
      </c>
      <c r="AE32" s="2">
        <v>100</v>
      </c>
      <c r="AF32" s="2">
        <v>200</v>
      </c>
      <c r="AG32" s="2" t="s">
        <v>228</v>
      </c>
      <c r="AH32" s="2" t="s">
        <v>227</v>
      </c>
      <c r="AI32" s="2">
        <v>10</v>
      </c>
      <c r="AJ32" s="2">
        <v>1000</v>
      </c>
      <c r="AK32" s="2">
        <v>4000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52" x14ac:dyDescent="0.3">
      <c r="A33" s="2">
        <f t="shared" si="0"/>
        <v>40022</v>
      </c>
      <c r="B33" s="2" t="s">
        <v>315</v>
      </c>
      <c r="C33" s="2"/>
      <c r="D33" s="2"/>
      <c r="E33" s="3" t="s">
        <v>155</v>
      </c>
      <c r="F33" s="2" t="s">
        <v>435</v>
      </c>
      <c r="G33" s="2"/>
      <c r="H33" s="2"/>
      <c r="I33" s="2">
        <v>2</v>
      </c>
      <c r="J33" s="2" t="s">
        <v>12</v>
      </c>
      <c r="K33" s="2">
        <v>20</v>
      </c>
      <c r="L33" s="2">
        <v>38</v>
      </c>
      <c r="M33" s="2" t="s">
        <v>44</v>
      </c>
      <c r="N33" s="2" t="s">
        <v>238</v>
      </c>
      <c r="O33" s="2" t="s">
        <v>227</v>
      </c>
      <c r="P33" s="2">
        <v>12000</v>
      </c>
      <c r="Q33" s="2">
        <v>2</v>
      </c>
      <c r="R33" s="2" t="s">
        <v>233</v>
      </c>
      <c r="S33" s="2" t="s">
        <v>227</v>
      </c>
      <c r="T33" s="2">
        <v>30</v>
      </c>
      <c r="U33" s="2">
        <v>3000</v>
      </c>
      <c r="V33" s="2">
        <v>6000</v>
      </c>
      <c r="W33" s="2" t="s">
        <v>234</v>
      </c>
      <c r="X33" s="2" t="s">
        <v>227</v>
      </c>
      <c r="Y33" s="2">
        <v>30</v>
      </c>
      <c r="Z33" s="2">
        <v>3000</v>
      </c>
      <c r="AA33" s="2">
        <v>6000</v>
      </c>
      <c r="AB33" s="2" t="s">
        <v>231</v>
      </c>
      <c r="AC33" s="2" t="s">
        <v>263</v>
      </c>
      <c r="AD33" s="2">
        <v>30</v>
      </c>
      <c r="AE33" s="2">
        <v>150</v>
      </c>
      <c r="AF33" s="2">
        <v>250</v>
      </c>
      <c r="AG33" s="2" t="s">
        <v>228</v>
      </c>
      <c r="AH33" s="2" t="s">
        <v>227</v>
      </c>
      <c r="AI33" s="2">
        <v>10</v>
      </c>
      <c r="AJ33" s="2">
        <v>3000</v>
      </c>
      <c r="AK33" s="2">
        <v>6000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52" x14ac:dyDescent="0.3">
      <c r="A34" s="2">
        <f t="shared" si="0"/>
        <v>40023</v>
      </c>
      <c r="B34" s="2" t="s">
        <v>316</v>
      </c>
      <c r="C34" s="2"/>
      <c r="D34" s="2"/>
      <c r="E34" s="3" t="s">
        <v>156</v>
      </c>
      <c r="F34" s="2" t="s">
        <v>435</v>
      </c>
      <c r="G34" s="2"/>
      <c r="H34" s="2"/>
      <c r="I34" s="2">
        <v>3</v>
      </c>
      <c r="J34" s="2" t="s">
        <v>12</v>
      </c>
      <c r="K34" s="2">
        <v>80</v>
      </c>
      <c r="L34" s="2">
        <v>150</v>
      </c>
      <c r="M34" s="2" t="s">
        <v>44</v>
      </c>
      <c r="N34" s="2" t="s">
        <v>238</v>
      </c>
      <c r="O34" s="2" t="s">
        <v>227</v>
      </c>
      <c r="P34" s="2">
        <v>18000</v>
      </c>
      <c r="Q34" s="2">
        <v>2</v>
      </c>
      <c r="R34" s="2" t="s">
        <v>233</v>
      </c>
      <c r="S34" s="2" t="s">
        <v>227</v>
      </c>
      <c r="T34" s="2">
        <v>30</v>
      </c>
      <c r="U34" s="2">
        <v>5000</v>
      </c>
      <c r="V34" s="2">
        <v>7000</v>
      </c>
      <c r="W34" s="2" t="s">
        <v>234</v>
      </c>
      <c r="X34" s="2" t="s">
        <v>227</v>
      </c>
      <c r="Y34" s="2">
        <v>30</v>
      </c>
      <c r="Z34" s="2">
        <v>5000</v>
      </c>
      <c r="AA34" s="2">
        <v>7000</v>
      </c>
      <c r="AB34" s="2" t="s">
        <v>231</v>
      </c>
      <c r="AC34" s="2" t="s">
        <v>263</v>
      </c>
      <c r="AD34" s="2">
        <v>30</v>
      </c>
      <c r="AE34" s="2">
        <v>200</v>
      </c>
      <c r="AF34" s="2">
        <v>300</v>
      </c>
      <c r="AG34" s="2" t="s">
        <v>228</v>
      </c>
      <c r="AH34" s="2" t="s">
        <v>227</v>
      </c>
      <c r="AI34" s="2">
        <v>10</v>
      </c>
      <c r="AJ34" s="2">
        <v>5000</v>
      </c>
      <c r="AK34" s="2">
        <v>7000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52" x14ac:dyDescent="0.3">
      <c r="A35" s="2">
        <f t="shared" si="0"/>
        <v>40024</v>
      </c>
      <c r="B35" s="2" t="s">
        <v>317</v>
      </c>
      <c r="C35" s="2"/>
      <c r="D35" s="2"/>
      <c r="E35" s="3" t="s">
        <v>157</v>
      </c>
      <c r="F35" s="2" t="s">
        <v>435</v>
      </c>
      <c r="G35" s="2"/>
      <c r="H35" s="2"/>
      <c r="I35" s="2">
        <v>4</v>
      </c>
      <c r="J35" s="2" t="s">
        <v>12</v>
      </c>
      <c r="K35" s="2">
        <v>320</v>
      </c>
      <c r="L35" s="2">
        <v>600</v>
      </c>
      <c r="M35" s="2" t="s">
        <v>44</v>
      </c>
      <c r="N35" s="2" t="s">
        <v>238</v>
      </c>
      <c r="O35" s="2" t="s">
        <v>227</v>
      </c>
      <c r="P35" s="2">
        <v>24000</v>
      </c>
      <c r="Q35" s="2">
        <v>2</v>
      </c>
      <c r="R35" s="2" t="s">
        <v>233</v>
      </c>
      <c r="S35" s="2" t="s">
        <v>227</v>
      </c>
      <c r="T35" s="2">
        <v>30</v>
      </c>
      <c r="U35" s="2">
        <v>6000</v>
      </c>
      <c r="V35" s="2">
        <v>8000</v>
      </c>
      <c r="W35" s="2" t="s">
        <v>234</v>
      </c>
      <c r="X35" s="2" t="s">
        <v>227</v>
      </c>
      <c r="Y35" s="2">
        <v>30</v>
      </c>
      <c r="Z35" s="2">
        <v>6000</v>
      </c>
      <c r="AA35" s="2">
        <v>8000</v>
      </c>
      <c r="AB35" s="2" t="s">
        <v>231</v>
      </c>
      <c r="AC35" s="2" t="s">
        <v>263</v>
      </c>
      <c r="AD35" s="2">
        <v>30</v>
      </c>
      <c r="AE35" s="2">
        <v>250</v>
      </c>
      <c r="AF35" s="2">
        <v>350</v>
      </c>
      <c r="AG35" s="2" t="s">
        <v>228</v>
      </c>
      <c r="AH35" s="2" t="s">
        <v>227</v>
      </c>
      <c r="AI35" s="2">
        <v>10</v>
      </c>
      <c r="AJ35" s="2">
        <v>6000</v>
      </c>
      <c r="AK35" s="2">
        <v>8000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52" x14ac:dyDescent="0.3">
      <c r="A36" s="2">
        <f t="shared" si="0"/>
        <v>40025</v>
      </c>
      <c r="B36" s="2" t="s">
        <v>318</v>
      </c>
      <c r="C36" s="2"/>
      <c r="D36" s="2"/>
      <c r="E36" s="3" t="s">
        <v>158</v>
      </c>
      <c r="F36" s="2" t="s">
        <v>435</v>
      </c>
      <c r="G36" s="2"/>
      <c r="H36" s="2"/>
      <c r="I36" s="2">
        <v>5</v>
      </c>
      <c r="J36" s="2" t="s">
        <v>12</v>
      </c>
      <c r="K36" s="2">
        <v>800</v>
      </c>
      <c r="L36" s="2">
        <v>2400</v>
      </c>
      <c r="M36" s="2" t="s">
        <v>44</v>
      </c>
      <c r="N36" s="2" t="s">
        <v>238</v>
      </c>
      <c r="O36" s="2" t="s">
        <v>227</v>
      </c>
      <c r="P36" s="2">
        <v>30000</v>
      </c>
      <c r="Q36" s="2">
        <v>2</v>
      </c>
      <c r="R36" s="2" t="s">
        <v>233</v>
      </c>
      <c r="S36" s="2" t="s">
        <v>227</v>
      </c>
      <c r="T36" s="2">
        <v>30</v>
      </c>
      <c r="U36" s="2">
        <v>7000</v>
      </c>
      <c r="V36" s="2">
        <v>10000</v>
      </c>
      <c r="W36" s="2" t="s">
        <v>234</v>
      </c>
      <c r="X36" s="2" t="s">
        <v>227</v>
      </c>
      <c r="Y36" s="2">
        <v>30</v>
      </c>
      <c r="Z36" s="2">
        <v>7000</v>
      </c>
      <c r="AA36" s="2">
        <v>10000</v>
      </c>
      <c r="AB36" s="2" t="s">
        <v>231</v>
      </c>
      <c r="AC36" s="2" t="s">
        <v>263</v>
      </c>
      <c r="AD36" s="2">
        <v>30</v>
      </c>
      <c r="AE36" s="2">
        <v>300</v>
      </c>
      <c r="AF36" s="2">
        <v>400</v>
      </c>
      <c r="AG36" s="2" t="s">
        <v>228</v>
      </c>
      <c r="AH36" s="2" t="s">
        <v>227</v>
      </c>
      <c r="AI36" s="2">
        <v>10</v>
      </c>
      <c r="AJ36" s="2">
        <v>7000</v>
      </c>
      <c r="AK36" s="2">
        <v>10000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52" x14ac:dyDescent="0.3">
      <c r="A37" s="2">
        <f t="shared" si="0"/>
        <v>40031</v>
      </c>
      <c r="B37" s="2" t="s">
        <v>339</v>
      </c>
      <c r="C37" s="2"/>
      <c r="D37" s="2"/>
      <c r="E37" s="3" t="s">
        <v>159</v>
      </c>
      <c r="F37" s="2" t="s">
        <v>435</v>
      </c>
      <c r="G37" s="2"/>
      <c r="H37" s="2"/>
      <c r="I37" s="2">
        <v>1</v>
      </c>
      <c r="J37" s="2" t="s">
        <v>12</v>
      </c>
      <c r="K37" s="2">
        <v>10</v>
      </c>
      <c r="L37" s="2">
        <v>15</v>
      </c>
      <c r="M37" s="2" t="s">
        <v>44</v>
      </c>
      <c r="N37" s="2" t="s">
        <v>243</v>
      </c>
      <c r="O37" s="2" t="s">
        <v>226</v>
      </c>
      <c r="P37" s="2">
        <v>6000</v>
      </c>
      <c r="Q37" s="2">
        <v>2</v>
      </c>
      <c r="R37" s="2" t="s">
        <v>233</v>
      </c>
      <c r="S37" s="2" t="s">
        <v>227</v>
      </c>
      <c r="T37" s="2">
        <v>30</v>
      </c>
      <c r="U37" s="2">
        <v>1000</v>
      </c>
      <c r="V37" s="2">
        <v>4000</v>
      </c>
      <c r="W37" s="2" t="s">
        <v>234</v>
      </c>
      <c r="X37" s="2" t="s">
        <v>227</v>
      </c>
      <c r="Y37" s="2">
        <v>30</v>
      </c>
      <c r="Z37" s="2">
        <v>1000</v>
      </c>
      <c r="AA37" s="2">
        <v>4000</v>
      </c>
      <c r="AB37" s="2" t="s">
        <v>231</v>
      </c>
      <c r="AC37" s="2" t="s">
        <v>263</v>
      </c>
      <c r="AD37" s="2">
        <v>30</v>
      </c>
      <c r="AE37" s="2">
        <v>100</v>
      </c>
      <c r="AF37" s="2">
        <v>200</v>
      </c>
      <c r="AG37" s="2" t="s">
        <v>228</v>
      </c>
      <c r="AH37" s="2" t="s">
        <v>227</v>
      </c>
      <c r="AI37" s="2">
        <v>10</v>
      </c>
      <c r="AJ37" s="2">
        <v>1000</v>
      </c>
      <c r="AK37" s="2">
        <v>4000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52" x14ac:dyDescent="0.3">
      <c r="A38" s="2">
        <f t="shared" si="0"/>
        <v>40032</v>
      </c>
      <c r="B38" s="2" t="s">
        <v>340</v>
      </c>
      <c r="C38" s="2"/>
      <c r="D38" s="2"/>
      <c r="E38" s="3" t="s">
        <v>160</v>
      </c>
      <c r="F38" s="2" t="s">
        <v>435</v>
      </c>
      <c r="G38" s="2"/>
      <c r="H38" s="2"/>
      <c r="I38" s="2">
        <v>2</v>
      </c>
      <c r="J38" s="2" t="s">
        <v>12</v>
      </c>
      <c r="K38" s="2">
        <v>20</v>
      </c>
      <c r="L38" s="2">
        <v>38</v>
      </c>
      <c r="M38" s="2" t="s">
        <v>44</v>
      </c>
      <c r="N38" s="2" t="s">
        <v>243</v>
      </c>
      <c r="O38" s="2" t="s">
        <v>226</v>
      </c>
      <c r="P38" s="2">
        <v>12000</v>
      </c>
      <c r="Q38" s="2">
        <v>2</v>
      </c>
      <c r="R38" s="2" t="s">
        <v>233</v>
      </c>
      <c r="S38" s="2" t="s">
        <v>227</v>
      </c>
      <c r="T38" s="2">
        <v>30</v>
      </c>
      <c r="U38" s="2">
        <v>3000</v>
      </c>
      <c r="V38" s="2">
        <v>6000</v>
      </c>
      <c r="W38" s="2" t="s">
        <v>234</v>
      </c>
      <c r="X38" s="2" t="s">
        <v>227</v>
      </c>
      <c r="Y38" s="2">
        <v>30</v>
      </c>
      <c r="Z38" s="2">
        <v>3000</v>
      </c>
      <c r="AA38" s="2">
        <v>6000</v>
      </c>
      <c r="AB38" s="2" t="s">
        <v>231</v>
      </c>
      <c r="AC38" s="2" t="s">
        <v>263</v>
      </c>
      <c r="AD38" s="2">
        <v>30</v>
      </c>
      <c r="AE38" s="2">
        <v>150</v>
      </c>
      <c r="AF38" s="2">
        <v>250</v>
      </c>
      <c r="AG38" s="2" t="s">
        <v>228</v>
      </c>
      <c r="AH38" s="2" t="s">
        <v>227</v>
      </c>
      <c r="AI38" s="2">
        <v>10</v>
      </c>
      <c r="AJ38" s="2">
        <v>3000</v>
      </c>
      <c r="AK38" s="2">
        <v>6000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52" x14ac:dyDescent="0.3">
      <c r="A39" s="2">
        <f t="shared" si="0"/>
        <v>40033</v>
      </c>
      <c r="B39" s="2" t="s">
        <v>341</v>
      </c>
      <c r="C39" s="2"/>
      <c r="D39" s="2"/>
      <c r="E39" s="3" t="s">
        <v>161</v>
      </c>
      <c r="F39" s="2" t="s">
        <v>435</v>
      </c>
      <c r="G39" s="2"/>
      <c r="H39" s="2"/>
      <c r="I39" s="2">
        <v>3</v>
      </c>
      <c r="J39" s="2" t="s">
        <v>12</v>
      </c>
      <c r="K39" s="2">
        <v>80</v>
      </c>
      <c r="L39" s="2">
        <v>150</v>
      </c>
      <c r="M39" s="2" t="s">
        <v>44</v>
      </c>
      <c r="N39" s="2" t="s">
        <v>243</v>
      </c>
      <c r="O39" s="2" t="s">
        <v>226</v>
      </c>
      <c r="P39" s="2">
        <v>18000</v>
      </c>
      <c r="Q39" s="2">
        <v>2</v>
      </c>
      <c r="R39" s="2" t="s">
        <v>233</v>
      </c>
      <c r="S39" s="2" t="s">
        <v>227</v>
      </c>
      <c r="T39" s="2">
        <v>30</v>
      </c>
      <c r="U39" s="2">
        <v>5000</v>
      </c>
      <c r="V39" s="2">
        <v>7000</v>
      </c>
      <c r="W39" s="2" t="s">
        <v>234</v>
      </c>
      <c r="X39" s="2" t="s">
        <v>227</v>
      </c>
      <c r="Y39" s="2">
        <v>30</v>
      </c>
      <c r="Z39" s="2">
        <v>5000</v>
      </c>
      <c r="AA39" s="2">
        <v>7000</v>
      </c>
      <c r="AB39" s="2" t="s">
        <v>231</v>
      </c>
      <c r="AC39" s="2" t="s">
        <v>263</v>
      </c>
      <c r="AD39" s="2">
        <v>30</v>
      </c>
      <c r="AE39" s="2">
        <v>200</v>
      </c>
      <c r="AF39" s="2">
        <v>300</v>
      </c>
      <c r="AG39" s="2" t="s">
        <v>228</v>
      </c>
      <c r="AH39" s="2" t="s">
        <v>227</v>
      </c>
      <c r="AI39" s="2">
        <v>10</v>
      </c>
      <c r="AJ39" s="2">
        <v>5000</v>
      </c>
      <c r="AK39" s="2">
        <v>7000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52" x14ac:dyDescent="0.3">
      <c r="A40" s="2">
        <f t="shared" si="0"/>
        <v>40034</v>
      </c>
      <c r="B40" s="2" t="s">
        <v>342</v>
      </c>
      <c r="C40" s="2"/>
      <c r="D40" s="2"/>
      <c r="E40" s="3" t="s">
        <v>162</v>
      </c>
      <c r="F40" s="2" t="s">
        <v>435</v>
      </c>
      <c r="G40" s="2"/>
      <c r="H40" s="2"/>
      <c r="I40" s="2">
        <v>4</v>
      </c>
      <c r="J40" s="2" t="s">
        <v>12</v>
      </c>
      <c r="K40" s="2">
        <v>320</v>
      </c>
      <c r="L40" s="2">
        <v>600</v>
      </c>
      <c r="M40" s="2" t="s">
        <v>44</v>
      </c>
      <c r="N40" s="2" t="s">
        <v>243</v>
      </c>
      <c r="O40" s="2" t="s">
        <v>226</v>
      </c>
      <c r="P40" s="2">
        <v>24000</v>
      </c>
      <c r="Q40" s="2">
        <v>2</v>
      </c>
      <c r="R40" s="2" t="s">
        <v>233</v>
      </c>
      <c r="S40" s="2" t="s">
        <v>227</v>
      </c>
      <c r="T40" s="2">
        <v>30</v>
      </c>
      <c r="U40" s="2">
        <v>6000</v>
      </c>
      <c r="V40" s="2">
        <v>8000</v>
      </c>
      <c r="W40" s="2" t="s">
        <v>234</v>
      </c>
      <c r="X40" s="2" t="s">
        <v>227</v>
      </c>
      <c r="Y40" s="2">
        <v>30</v>
      </c>
      <c r="Z40" s="2">
        <v>6000</v>
      </c>
      <c r="AA40" s="2">
        <v>8000</v>
      </c>
      <c r="AB40" s="2" t="s">
        <v>231</v>
      </c>
      <c r="AC40" s="2" t="s">
        <v>263</v>
      </c>
      <c r="AD40" s="2">
        <v>30</v>
      </c>
      <c r="AE40" s="2">
        <v>250</v>
      </c>
      <c r="AF40" s="2">
        <v>350</v>
      </c>
      <c r="AG40" s="2" t="s">
        <v>228</v>
      </c>
      <c r="AH40" s="2" t="s">
        <v>227</v>
      </c>
      <c r="AI40" s="2">
        <v>10</v>
      </c>
      <c r="AJ40" s="2">
        <v>6000</v>
      </c>
      <c r="AK40" s="2">
        <v>8000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52" x14ac:dyDescent="0.3">
      <c r="A41" s="2">
        <f t="shared" si="0"/>
        <v>40035</v>
      </c>
      <c r="B41" s="2" t="s">
        <v>343</v>
      </c>
      <c r="C41" s="2"/>
      <c r="D41" s="2"/>
      <c r="E41" s="3" t="s">
        <v>163</v>
      </c>
      <c r="F41" s="2" t="s">
        <v>435</v>
      </c>
      <c r="G41" s="2"/>
      <c r="H41" s="2"/>
      <c r="I41" s="2">
        <v>5</v>
      </c>
      <c r="J41" s="2" t="s">
        <v>12</v>
      </c>
      <c r="K41" s="2">
        <v>800</v>
      </c>
      <c r="L41" s="2">
        <v>2400</v>
      </c>
      <c r="M41" s="2" t="s">
        <v>44</v>
      </c>
      <c r="N41" s="2" t="s">
        <v>243</v>
      </c>
      <c r="O41" s="2" t="s">
        <v>226</v>
      </c>
      <c r="P41" s="2">
        <v>30000</v>
      </c>
      <c r="Q41" s="2">
        <v>2</v>
      </c>
      <c r="R41" s="2" t="s">
        <v>233</v>
      </c>
      <c r="S41" s="2" t="s">
        <v>227</v>
      </c>
      <c r="T41" s="2">
        <v>30</v>
      </c>
      <c r="U41" s="2">
        <v>7000</v>
      </c>
      <c r="V41" s="2">
        <v>10000</v>
      </c>
      <c r="W41" s="2" t="s">
        <v>234</v>
      </c>
      <c r="X41" s="2" t="s">
        <v>227</v>
      </c>
      <c r="Y41" s="2">
        <v>30</v>
      </c>
      <c r="Z41" s="2">
        <v>7000</v>
      </c>
      <c r="AA41" s="2">
        <v>10000</v>
      </c>
      <c r="AB41" s="2" t="s">
        <v>231</v>
      </c>
      <c r="AC41" s="2" t="s">
        <v>263</v>
      </c>
      <c r="AD41" s="2">
        <v>30</v>
      </c>
      <c r="AE41" s="2">
        <v>300</v>
      </c>
      <c r="AF41" s="2">
        <v>400</v>
      </c>
      <c r="AG41" s="2" t="s">
        <v>228</v>
      </c>
      <c r="AH41" s="2" t="s">
        <v>227</v>
      </c>
      <c r="AI41" s="2">
        <v>10</v>
      </c>
      <c r="AJ41" s="2">
        <v>7000</v>
      </c>
      <c r="AK41" s="2">
        <v>10000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52" x14ac:dyDescent="0.3">
      <c r="A42" s="2">
        <f t="shared" si="0"/>
        <v>40041</v>
      </c>
      <c r="B42" s="2" t="s">
        <v>344</v>
      </c>
      <c r="C42" s="2"/>
      <c r="D42" s="2"/>
      <c r="E42" s="3" t="s">
        <v>164</v>
      </c>
      <c r="F42" s="2" t="s">
        <v>404</v>
      </c>
      <c r="G42" s="2"/>
      <c r="H42" s="2"/>
      <c r="I42" s="2">
        <v>1</v>
      </c>
      <c r="J42" s="2" t="s">
        <v>12</v>
      </c>
      <c r="K42" s="2">
        <v>10</v>
      </c>
      <c r="L42" s="2">
        <v>15</v>
      </c>
      <c r="M42" s="2" t="s">
        <v>124</v>
      </c>
      <c r="N42" s="2" t="s">
        <v>251</v>
      </c>
      <c r="O42" s="2" t="s">
        <v>227</v>
      </c>
      <c r="P42" s="2">
        <v>80000</v>
      </c>
      <c r="Q42" s="2"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3">
      <c r="A43" s="2">
        <f t="shared" si="0"/>
        <v>40042</v>
      </c>
      <c r="B43" s="2" t="s">
        <v>345</v>
      </c>
      <c r="C43" s="2"/>
      <c r="D43" s="2"/>
      <c r="E43" s="3" t="s">
        <v>165</v>
      </c>
      <c r="F43" s="2" t="s">
        <v>404</v>
      </c>
      <c r="G43" s="2"/>
      <c r="H43" s="2"/>
      <c r="I43" s="2">
        <v>2</v>
      </c>
      <c r="J43" s="2" t="s">
        <v>12</v>
      </c>
      <c r="K43" s="2">
        <v>20</v>
      </c>
      <c r="L43" s="2">
        <v>38</v>
      </c>
      <c r="M43" s="2" t="s">
        <v>124</v>
      </c>
      <c r="N43" s="2" t="s">
        <v>251</v>
      </c>
      <c r="O43" s="2" t="s">
        <v>227</v>
      </c>
      <c r="P43" s="2">
        <v>160000</v>
      </c>
      <c r="Q43" s="2"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3">
      <c r="A44" s="2">
        <f t="shared" si="0"/>
        <v>40043</v>
      </c>
      <c r="B44" s="2" t="s">
        <v>346</v>
      </c>
      <c r="C44" s="2"/>
      <c r="D44" s="2"/>
      <c r="E44" s="3" t="s">
        <v>166</v>
      </c>
      <c r="F44" s="2" t="s">
        <v>404</v>
      </c>
      <c r="G44" s="2"/>
      <c r="H44" s="2"/>
      <c r="I44" s="2">
        <v>3</v>
      </c>
      <c r="J44" s="2" t="s">
        <v>12</v>
      </c>
      <c r="K44" s="2">
        <v>80</v>
      </c>
      <c r="L44" s="2">
        <v>150</v>
      </c>
      <c r="M44" s="2" t="s">
        <v>124</v>
      </c>
      <c r="N44" s="2" t="s">
        <v>251</v>
      </c>
      <c r="O44" s="2" t="s">
        <v>227</v>
      </c>
      <c r="P44" s="2">
        <v>240000</v>
      </c>
      <c r="Q44" s="2"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3">
      <c r="A45" s="2">
        <f t="shared" si="0"/>
        <v>40044</v>
      </c>
      <c r="B45" s="2" t="s">
        <v>347</v>
      </c>
      <c r="C45" s="2"/>
      <c r="D45" s="2"/>
      <c r="E45" s="3" t="s">
        <v>167</v>
      </c>
      <c r="F45" s="2" t="s">
        <v>404</v>
      </c>
      <c r="G45" s="2"/>
      <c r="H45" s="2"/>
      <c r="I45" s="2">
        <v>4</v>
      </c>
      <c r="J45" s="2" t="s">
        <v>12</v>
      </c>
      <c r="K45" s="2">
        <v>320</v>
      </c>
      <c r="L45" s="2">
        <v>600</v>
      </c>
      <c r="M45" s="2" t="s">
        <v>124</v>
      </c>
      <c r="N45" s="2" t="s">
        <v>251</v>
      </c>
      <c r="O45" s="2" t="s">
        <v>227</v>
      </c>
      <c r="P45" s="2">
        <v>320000</v>
      </c>
      <c r="Q45" s="2"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3">
      <c r="A46" s="2">
        <f t="shared" si="0"/>
        <v>40045</v>
      </c>
      <c r="B46" s="2" t="s">
        <v>348</v>
      </c>
      <c r="C46" s="2"/>
      <c r="D46" s="2"/>
      <c r="E46" s="3" t="s">
        <v>168</v>
      </c>
      <c r="F46" s="2" t="s">
        <v>404</v>
      </c>
      <c r="G46" s="2"/>
      <c r="H46" s="2"/>
      <c r="I46" s="2">
        <v>5</v>
      </c>
      <c r="J46" s="2" t="s">
        <v>12</v>
      </c>
      <c r="K46" s="2">
        <v>800</v>
      </c>
      <c r="L46" s="2">
        <v>2400</v>
      </c>
      <c r="M46" s="2" t="s">
        <v>124</v>
      </c>
      <c r="N46" s="2" t="s">
        <v>251</v>
      </c>
      <c r="O46" s="2" t="s">
        <v>227</v>
      </c>
      <c r="P46" s="2">
        <v>400000</v>
      </c>
      <c r="Q46" s="2"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3">
      <c r="A47" s="2">
        <f t="shared" si="0"/>
        <v>40051</v>
      </c>
      <c r="B47" s="2" t="s">
        <v>349</v>
      </c>
      <c r="C47" s="2"/>
      <c r="D47" s="2"/>
      <c r="E47" s="3" t="s">
        <v>164</v>
      </c>
      <c r="F47" s="2" t="s">
        <v>405</v>
      </c>
      <c r="G47" s="2"/>
      <c r="H47" s="2"/>
      <c r="I47" s="2">
        <v>1</v>
      </c>
      <c r="J47" s="2" t="s">
        <v>12</v>
      </c>
      <c r="K47" s="2">
        <v>10</v>
      </c>
      <c r="L47" s="2">
        <v>15</v>
      </c>
      <c r="M47" s="2" t="s">
        <v>124</v>
      </c>
      <c r="N47" s="2" t="s">
        <v>252</v>
      </c>
      <c r="O47" s="2" t="s">
        <v>227</v>
      </c>
      <c r="P47" s="2">
        <v>14000</v>
      </c>
      <c r="Q47" s="2"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3">
      <c r="A48" s="2">
        <f t="shared" si="0"/>
        <v>40052</v>
      </c>
      <c r="B48" s="2" t="s">
        <v>350</v>
      </c>
      <c r="C48" s="2"/>
      <c r="D48" s="2"/>
      <c r="E48" s="3" t="s">
        <v>165</v>
      </c>
      <c r="F48" s="2" t="s">
        <v>405</v>
      </c>
      <c r="G48" s="2"/>
      <c r="H48" s="2"/>
      <c r="I48" s="2">
        <v>2</v>
      </c>
      <c r="J48" s="2" t="s">
        <v>12</v>
      </c>
      <c r="K48" s="2">
        <v>20</v>
      </c>
      <c r="L48" s="2">
        <v>38</v>
      </c>
      <c r="M48" s="2" t="s">
        <v>124</v>
      </c>
      <c r="N48" s="2" t="s">
        <v>252</v>
      </c>
      <c r="O48" s="2" t="s">
        <v>227</v>
      </c>
      <c r="P48" s="2">
        <v>28000</v>
      </c>
      <c r="Q48" s="2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3">
      <c r="A49" s="2">
        <f t="shared" si="0"/>
        <v>40053</v>
      </c>
      <c r="B49" s="2" t="s">
        <v>351</v>
      </c>
      <c r="C49" s="2"/>
      <c r="D49" s="2"/>
      <c r="E49" s="3" t="s">
        <v>166</v>
      </c>
      <c r="F49" s="2" t="s">
        <v>405</v>
      </c>
      <c r="G49" s="2"/>
      <c r="H49" s="2"/>
      <c r="I49" s="2">
        <v>3</v>
      </c>
      <c r="J49" s="2" t="s">
        <v>12</v>
      </c>
      <c r="K49" s="2">
        <v>80</v>
      </c>
      <c r="L49" s="2">
        <v>150</v>
      </c>
      <c r="M49" s="2" t="s">
        <v>124</v>
      </c>
      <c r="N49" s="2" t="s">
        <v>252</v>
      </c>
      <c r="O49" s="2" t="s">
        <v>227</v>
      </c>
      <c r="P49" s="2">
        <v>42000</v>
      </c>
      <c r="Q49" s="2"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3">
      <c r="A50" s="2">
        <f t="shared" si="0"/>
        <v>40054</v>
      </c>
      <c r="B50" s="2" t="s">
        <v>352</v>
      </c>
      <c r="C50" s="2"/>
      <c r="D50" s="2"/>
      <c r="E50" s="3" t="s">
        <v>167</v>
      </c>
      <c r="F50" s="2" t="s">
        <v>405</v>
      </c>
      <c r="G50" s="2"/>
      <c r="H50" s="2"/>
      <c r="I50" s="2">
        <v>4</v>
      </c>
      <c r="J50" s="2" t="s">
        <v>12</v>
      </c>
      <c r="K50" s="2">
        <v>320</v>
      </c>
      <c r="L50" s="2">
        <v>600</v>
      </c>
      <c r="M50" s="2" t="s">
        <v>124</v>
      </c>
      <c r="N50" s="2" t="s">
        <v>252</v>
      </c>
      <c r="O50" s="2" t="s">
        <v>227</v>
      </c>
      <c r="P50" s="2">
        <v>56000</v>
      </c>
      <c r="Q50" s="2"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3">
      <c r="A51" s="2">
        <f t="shared" si="0"/>
        <v>40055</v>
      </c>
      <c r="B51" s="2" t="s">
        <v>353</v>
      </c>
      <c r="C51" s="2"/>
      <c r="D51" s="2"/>
      <c r="E51" s="3" t="s">
        <v>168</v>
      </c>
      <c r="F51" s="2" t="s">
        <v>405</v>
      </c>
      <c r="G51" s="2"/>
      <c r="H51" s="2"/>
      <c r="I51" s="2">
        <v>5</v>
      </c>
      <c r="J51" s="2" t="s">
        <v>12</v>
      </c>
      <c r="K51" s="2">
        <v>800</v>
      </c>
      <c r="L51" s="2">
        <v>2400</v>
      </c>
      <c r="M51" s="2" t="s">
        <v>124</v>
      </c>
      <c r="N51" s="2" t="s">
        <v>252</v>
      </c>
      <c r="O51" s="2" t="s">
        <v>227</v>
      </c>
      <c r="P51" s="2">
        <v>70000</v>
      </c>
      <c r="Q51" s="2"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3">
      <c r="A52" s="2">
        <f t="shared" si="0"/>
        <v>40061</v>
      </c>
      <c r="B52" s="2" t="s">
        <v>354</v>
      </c>
      <c r="C52" s="2"/>
      <c r="D52" s="2"/>
      <c r="E52" s="3" t="s">
        <v>164</v>
      </c>
      <c r="F52" s="2" t="s">
        <v>406</v>
      </c>
      <c r="G52" s="2"/>
      <c r="H52" s="2"/>
      <c r="I52" s="2">
        <v>1</v>
      </c>
      <c r="J52" s="2" t="s">
        <v>12</v>
      </c>
      <c r="K52" s="2">
        <v>10</v>
      </c>
      <c r="L52" s="2">
        <v>15</v>
      </c>
      <c r="M52" s="2" t="s">
        <v>124</v>
      </c>
      <c r="N52" s="2" t="s">
        <v>253</v>
      </c>
      <c r="O52" s="2" t="s">
        <v>227</v>
      </c>
      <c r="P52" s="2">
        <v>14000</v>
      </c>
      <c r="Q52" s="2"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3">
      <c r="A53" s="2">
        <f t="shared" si="0"/>
        <v>40062</v>
      </c>
      <c r="B53" s="2" t="s">
        <v>355</v>
      </c>
      <c r="C53" s="2"/>
      <c r="D53" s="2"/>
      <c r="E53" s="3" t="s">
        <v>165</v>
      </c>
      <c r="F53" s="2" t="s">
        <v>406</v>
      </c>
      <c r="G53" s="2"/>
      <c r="H53" s="2"/>
      <c r="I53" s="2">
        <v>2</v>
      </c>
      <c r="J53" s="2" t="s">
        <v>12</v>
      </c>
      <c r="K53" s="2">
        <v>20</v>
      </c>
      <c r="L53" s="2">
        <v>38</v>
      </c>
      <c r="M53" s="2" t="s">
        <v>124</v>
      </c>
      <c r="N53" s="2" t="s">
        <v>253</v>
      </c>
      <c r="O53" s="2" t="s">
        <v>227</v>
      </c>
      <c r="P53" s="2">
        <v>28000</v>
      </c>
      <c r="Q53" s="2"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3">
      <c r="A54" s="2">
        <f t="shared" si="0"/>
        <v>40063</v>
      </c>
      <c r="B54" s="2" t="s">
        <v>356</v>
      </c>
      <c r="C54" s="2"/>
      <c r="D54" s="2"/>
      <c r="E54" s="3" t="s">
        <v>166</v>
      </c>
      <c r="F54" s="2" t="s">
        <v>406</v>
      </c>
      <c r="G54" s="2"/>
      <c r="H54" s="2"/>
      <c r="I54" s="2">
        <v>3</v>
      </c>
      <c r="J54" s="2" t="s">
        <v>12</v>
      </c>
      <c r="K54" s="2">
        <v>80</v>
      </c>
      <c r="L54" s="2">
        <v>150</v>
      </c>
      <c r="M54" s="2" t="s">
        <v>124</v>
      </c>
      <c r="N54" s="2" t="s">
        <v>253</v>
      </c>
      <c r="O54" s="2" t="s">
        <v>227</v>
      </c>
      <c r="P54" s="2">
        <v>42000</v>
      </c>
      <c r="Q54" s="2"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3">
      <c r="A55" s="2">
        <f t="shared" si="0"/>
        <v>40064</v>
      </c>
      <c r="B55" s="2" t="s">
        <v>357</v>
      </c>
      <c r="C55" s="2"/>
      <c r="D55" s="2"/>
      <c r="E55" s="3" t="s">
        <v>167</v>
      </c>
      <c r="F55" s="2" t="s">
        <v>406</v>
      </c>
      <c r="G55" s="2"/>
      <c r="H55" s="2"/>
      <c r="I55" s="2">
        <v>4</v>
      </c>
      <c r="J55" s="2" t="s">
        <v>12</v>
      </c>
      <c r="K55" s="2">
        <v>320</v>
      </c>
      <c r="L55" s="2">
        <v>600</v>
      </c>
      <c r="M55" s="2" t="s">
        <v>124</v>
      </c>
      <c r="N55" s="2" t="s">
        <v>253</v>
      </c>
      <c r="O55" s="2" t="s">
        <v>227</v>
      </c>
      <c r="P55" s="2">
        <v>56000</v>
      </c>
      <c r="Q55" s="2"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3">
      <c r="A56" s="2">
        <f t="shared" si="0"/>
        <v>40065</v>
      </c>
      <c r="B56" s="2" t="s">
        <v>358</v>
      </c>
      <c r="C56" s="2"/>
      <c r="D56" s="2"/>
      <c r="E56" s="3" t="s">
        <v>168</v>
      </c>
      <c r="F56" s="2" t="s">
        <v>406</v>
      </c>
      <c r="G56" s="2"/>
      <c r="H56" s="2"/>
      <c r="I56" s="2">
        <v>5</v>
      </c>
      <c r="J56" s="2" t="s">
        <v>12</v>
      </c>
      <c r="K56" s="2">
        <v>800</v>
      </c>
      <c r="L56" s="2">
        <v>2400</v>
      </c>
      <c r="M56" s="2" t="s">
        <v>124</v>
      </c>
      <c r="N56" s="2" t="s">
        <v>253</v>
      </c>
      <c r="O56" s="2" t="s">
        <v>227</v>
      </c>
      <c r="P56" s="2">
        <v>70000</v>
      </c>
      <c r="Q56" s="2"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3">
      <c r="A57" s="2">
        <f t="shared" si="0"/>
        <v>40071</v>
      </c>
      <c r="B57" s="2" t="s">
        <v>359</v>
      </c>
      <c r="C57" s="2"/>
      <c r="D57" s="2"/>
      <c r="E57" s="3" t="s">
        <v>164</v>
      </c>
      <c r="F57" s="2" t="s">
        <v>407</v>
      </c>
      <c r="G57" s="2"/>
      <c r="H57" s="2"/>
      <c r="I57" s="2">
        <v>1</v>
      </c>
      <c r="J57" s="2" t="s">
        <v>12</v>
      </c>
      <c r="K57" s="2">
        <v>10</v>
      </c>
      <c r="L57" s="2">
        <v>15</v>
      </c>
      <c r="M57" s="2" t="s">
        <v>124</v>
      </c>
      <c r="N57" s="2" t="s">
        <v>254</v>
      </c>
      <c r="O57" s="2" t="s">
        <v>226</v>
      </c>
      <c r="P57" s="2">
        <v>-260000</v>
      </c>
      <c r="Q57" s="2">
        <v>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3">
      <c r="A58" s="2">
        <f t="shared" si="0"/>
        <v>40072</v>
      </c>
      <c r="B58" s="2" t="s">
        <v>360</v>
      </c>
      <c r="C58" s="2"/>
      <c r="D58" s="2"/>
      <c r="E58" s="3" t="s">
        <v>165</v>
      </c>
      <c r="F58" s="2" t="s">
        <v>407</v>
      </c>
      <c r="G58" s="2"/>
      <c r="H58" s="2"/>
      <c r="I58" s="2">
        <v>2</v>
      </c>
      <c r="J58" s="2" t="s">
        <v>12</v>
      </c>
      <c r="K58" s="2">
        <v>20</v>
      </c>
      <c r="L58" s="2">
        <v>38</v>
      </c>
      <c r="M58" s="2" t="s">
        <v>124</v>
      </c>
      <c r="N58" s="2" t="s">
        <v>254</v>
      </c>
      <c r="O58" s="2" t="s">
        <v>226</v>
      </c>
      <c r="P58" s="2">
        <v>-520000</v>
      </c>
      <c r="Q58" s="2">
        <v>0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3">
      <c r="A59" s="2">
        <f t="shared" si="0"/>
        <v>40073</v>
      </c>
      <c r="B59" s="2" t="s">
        <v>361</v>
      </c>
      <c r="C59" s="2"/>
      <c r="D59" s="2"/>
      <c r="E59" s="3" t="s">
        <v>166</v>
      </c>
      <c r="F59" s="2" t="s">
        <v>407</v>
      </c>
      <c r="G59" s="2"/>
      <c r="H59" s="2"/>
      <c r="I59" s="2">
        <v>3</v>
      </c>
      <c r="J59" s="2" t="s">
        <v>12</v>
      </c>
      <c r="K59" s="2">
        <v>80</v>
      </c>
      <c r="L59" s="2">
        <v>150</v>
      </c>
      <c r="M59" s="2" t="s">
        <v>124</v>
      </c>
      <c r="N59" s="2" t="s">
        <v>254</v>
      </c>
      <c r="O59" s="2" t="s">
        <v>226</v>
      </c>
      <c r="P59" s="2">
        <v>-780000</v>
      </c>
      <c r="Q59" s="2"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3">
      <c r="A60" s="2">
        <f t="shared" si="0"/>
        <v>40074</v>
      </c>
      <c r="B60" s="2" t="s">
        <v>362</v>
      </c>
      <c r="C60" s="2"/>
      <c r="D60" s="2"/>
      <c r="E60" s="3" t="s">
        <v>167</v>
      </c>
      <c r="F60" s="2" t="s">
        <v>407</v>
      </c>
      <c r="G60" s="2"/>
      <c r="H60" s="2"/>
      <c r="I60" s="2">
        <v>4</v>
      </c>
      <c r="J60" s="2" t="s">
        <v>12</v>
      </c>
      <c r="K60" s="2">
        <v>320</v>
      </c>
      <c r="L60" s="2">
        <v>600</v>
      </c>
      <c r="M60" s="2" t="s">
        <v>124</v>
      </c>
      <c r="N60" s="2" t="s">
        <v>254</v>
      </c>
      <c r="O60" s="2" t="s">
        <v>226</v>
      </c>
      <c r="P60" s="2">
        <v>-1040000</v>
      </c>
      <c r="Q60" s="2">
        <v>0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3">
      <c r="A61" s="2">
        <f t="shared" si="0"/>
        <v>40075</v>
      </c>
      <c r="B61" s="2" t="s">
        <v>363</v>
      </c>
      <c r="C61" s="2"/>
      <c r="D61" s="2"/>
      <c r="E61" s="3" t="s">
        <v>168</v>
      </c>
      <c r="F61" s="2" t="s">
        <v>407</v>
      </c>
      <c r="G61" s="2"/>
      <c r="H61" s="2"/>
      <c r="I61" s="2">
        <v>5</v>
      </c>
      <c r="J61" s="2" t="s">
        <v>12</v>
      </c>
      <c r="K61" s="2">
        <v>800</v>
      </c>
      <c r="L61" s="2">
        <v>2400</v>
      </c>
      <c r="M61" s="2" t="s">
        <v>124</v>
      </c>
      <c r="N61" s="2" t="s">
        <v>254</v>
      </c>
      <c r="O61" s="2" t="s">
        <v>226</v>
      </c>
      <c r="P61" s="2">
        <v>-1300000</v>
      </c>
      <c r="Q61" s="2">
        <v>0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3">
      <c r="A62" s="2">
        <f t="shared" si="0"/>
        <v>40081</v>
      </c>
      <c r="B62" s="2" t="s">
        <v>364</v>
      </c>
      <c r="C62" s="2"/>
      <c r="D62" s="2"/>
      <c r="E62" s="3" t="s">
        <v>164</v>
      </c>
      <c r="F62" s="2" t="s">
        <v>408</v>
      </c>
      <c r="G62" s="2"/>
      <c r="H62" s="2"/>
      <c r="I62" s="2">
        <v>1</v>
      </c>
      <c r="J62" s="2" t="s">
        <v>12</v>
      </c>
      <c r="K62" s="2">
        <v>10</v>
      </c>
      <c r="L62" s="2">
        <v>15</v>
      </c>
      <c r="M62" s="2" t="s">
        <v>124</v>
      </c>
      <c r="N62" s="2" t="s">
        <v>255</v>
      </c>
      <c r="O62" s="2" t="s">
        <v>226</v>
      </c>
      <c r="P62" s="2">
        <v>-120000</v>
      </c>
      <c r="Q62" s="2">
        <v>0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3">
      <c r="A63" s="2">
        <f t="shared" si="0"/>
        <v>40082</v>
      </c>
      <c r="B63" s="2" t="s">
        <v>365</v>
      </c>
      <c r="C63" s="2"/>
      <c r="D63" s="2"/>
      <c r="E63" s="3" t="s">
        <v>165</v>
      </c>
      <c r="F63" s="2" t="s">
        <v>408</v>
      </c>
      <c r="G63" s="2"/>
      <c r="H63" s="2"/>
      <c r="I63" s="2">
        <v>2</v>
      </c>
      <c r="J63" s="2" t="s">
        <v>12</v>
      </c>
      <c r="K63" s="2">
        <v>20</v>
      </c>
      <c r="L63" s="2">
        <v>38</v>
      </c>
      <c r="M63" s="2" t="s">
        <v>124</v>
      </c>
      <c r="N63" s="2" t="s">
        <v>255</v>
      </c>
      <c r="O63" s="2" t="s">
        <v>226</v>
      </c>
      <c r="P63" s="2">
        <v>-240000</v>
      </c>
      <c r="Q63" s="2">
        <v>0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3">
      <c r="A64" s="2">
        <f t="shared" si="0"/>
        <v>40083</v>
      </c>
      <c r="B64" s="2" t="s">
        <v>366</v>
      </c>
      <c r="C64" s="2"/>
      <c r="D64" s="2"/>
      <c r="E64" s="3" t="s">
        <v>166</v>
      </c>
      <c r="F64" s="2" t="s">
        <v>408</v>
      </c>
      <c r="G64" s="2"/>
      <c r="H64" s="2"/>
      <c r="I64" s="2">
        <v>3</v>
      </c>
      <c r="J64" s="2" t="s">
        <v>12</v>
      </c>
      <c r="K64" s="2">
        <v>80</v>
      </c>
      <c r="L64" s="2">
        <v>150</v>
      </c>
      <c r="M64" s="2" t="s">
        <v>124</v>
      </c>
      <c r="N64" s="2" t="s">
        <v>255</v>
      </c>
      <c r="O64" s="2" t="s">
        <v>226</v>
      </c>
      <c r="P64" s="2">
        <v>-360000</v>
      </c>
      <c r="Q64" s="2"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3">
      <c r="A65" s="2">
        <f t="shared" si="0"/>
        <v>40084</v>
      </c>
      <c r="B65" s="2" t="s">
        <v>367</v>
      </c>
      <c r="C65" s="2"/>
      <c r="D65" s="2"/>
      <c r="E65" s="3" t="s">
        <v>167</v>
      </c>
      <c r="F65" s="2" t="s">
        <v>408</v>
      </c>
      <c r="G65" s="2"/>
      <c r="H65" s="2"/>
      <c r="I65" s="2">
        <v>4</v>
      </c>
      <c r="J65" s="2" t="s">
        <v>12</v>
      </c>
      <c r="K65" s="2">
        <v>320</v>
      </c>
      <c r="L65" s="2">
        <v>600</v>
      </c>
      <c r="M65" s="2" t="s">
        <v>124</v>
      </c>
      <c r="N65" s="2" t="s">
        <v>255</v>
      </c>
      <c r="O65" s="2" t="s">
        <v>226</v>
      </c>
      <c r="P65" s="2">
        <v>-480000</v>
      </c>
      <c r="Q65" s="2"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3">
      <c r="A66" s="2">
        <f t="shared" si="0"/>
        <v>40085</v>
      </c>
      <c r="B66" s="2" t="s">
        <v>368</v>
      </c>
      <c r="C66" s="2"/>
      <c r="D66" s="2"/>
      <c r="E66" s="3" t="s">
        <v>168</v>
      </c>
      <c r="F66" s="2" t="s">
        <v>408</v>
      </c>
      <c r="G66" s="2"/>
      <c r="H66" s="2"/>
      <c r="I66" s="2">
        <v>5</v>
      </c>
      <c r="J66" s="2" t="s">
        <v>12</v>
      </c>
      <c r="K66" s="2">
        <v>800</v>
      </c>
      <c r="L66" s="2">
        <v>2400</v>
      </c>
      <c r="M66" s="2" t="s">
        <v>124</v>
      </c>
      <c r="N66" s="2" t="s">
        <v>255</v>
      </c>
      <c r="O66" s="2" t="s">
        <v>226</v>
      </c>
      <c r="P66" s="2">
        <v>-600000</v>
      </c>
      <c r="Q66" s="2"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3">
      <c r="A67" s="2">
        <f t="shared" si="0"/>
        <v>40091</v>
      </c>
      <c r="B67" s="2" t="s">
        <v>369</v>
      </c>
      <c r="C67" s="2"/>
      <c r="D67" s="2"/>
      <c r="E67" s="3" t="s">
        <v>164</v>
      </c>
      <c r="F67" s="2" t="s">
        <v>409</v>
      </c>
      <c r="G67" s="2"/>
      <c r="H67" s="2"/>
      <c r="I67" s="2">
        <v>1</v>
      </c>
      <c r="J67" s="2" t="s">
        <v>12</v>
      </c>
      <c r="K67" s="2">
        <v>10</v>
      </c>
      <c r="L67" s="2">
        <v>15</v>
      </c>
      <c r="M67" s="2" t="s">
        <v>124</v>
      </c>
      <c r="N67" s="2" t="s">
        <v>256</v>
      </c>
      <c r="O67" s="2" t="s">
        <v>227</v>
      </c>
      <c r="P67" s="2">
        <v>-20000</v>
      </c>
      <c r="Q67" s="2"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3">
      <c r="A68" s="2">
        <f t="shared" si="0"/>
        <v>40092</v>
      </c>
      <c r="B68" s="2" t="s">
        <v>370</v>
      </c>
      <c r="C68" s="2"/>
      <c r="D68" s="2"/>
      <c r="E68" s="3" t="s">
        <v>165</v>
      </c>
      <c r="F68" s="2" t="s">
        <v>409</v>
      </c>
      <c r="G68" s="2"/>
      <c r="H68" s="2"/>
      <c r="I68" s="2">
        <v>2</v>
      </c>
      <c r="J68" s="2" t="s">
        <v>12</v>
      </c>
      <c r="K68" s="2">
        <v>20</v>
      </c>
      <c r="L68" s="2">
        <v>38</v>
      </c>
      <c r="M68" s="2" t="s">
        <v>124</v>
      </c>
      <c r="N68" s="2" t="s">
        <v>256</v>
      </c>
      <c r="O68" s="2" t="s">
        <v>227</v>
      </c>
      <c r="P68" s="2">
        <v>-40000</v>
      </c>
      <c r="Q68" s="2"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3">
      <c r="A69" s="2">
        <f t="shared" si="0"/>
        <v>40093</v>
      </c>
      <c r="B69" s="2" t="s">
        <v>371</v>
      </c>
      <c r="C69" s="2"/>
      <c r="D69" s="2"/>
      <c r="E69" s="3" t="s">
        <v>166</v>
      </c>
      <c r="F69" s="2" t="s">
        <v>409</v>
      </c>
      <c r="G69" s="2"/>
      <c r="H69" s="2"/>
      <c r="I69" s="2">
        <v>3</v>
      </c>
      <c r="J69" s="2" t="s">
        <v>12</v>
      </c>
      <c r="K69" s="2">
        <v>80</v>
      </c>
      <c r="L69" s="2">
        <v>150</v>
      </c>
      <c r="M69" s="2" t="s">
        <v>124</v>
      </c>
      <c r="N69" s="2" t="s">
        <v>256</v>
      </c>
      <c r="O69" s="2" t="s">
        <v>227</v>
      </c>
      <c r="P69" s="2">
        <v>-60000</v>
      </c>
      <c r="Q69" s="2"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3">
      <c r="A70" s="2">
        <f t="shared" si="0"/>
        <v>40094</v>
      </c>
      <c r="B70" s="2" t="s">
        <v>372</v>
      </c>
      <c r="C70" s="2"/>
      <c r="D70" s="2"/>
      <c r="E70" s="3" t="s">
        <v>167</v>
      </c>
      <c r="F70" s="2" t="s">
        <v>409</v>
      </c>
      <c r="G70" s="2"/>
      <c r="H70" s="2"/>
      <c r="I70" s="2">
        <v>4</v>
      </c>
      <c r="J70" s="2" t="s">
        <v>12</v>
      </c>
      <c r="K70" s="2">
        <v>320</v>
      </c>
      <c r="L70" s="2">
        <v>600</v>
      </c>
      <c r="M70" s="2" t="s">
        <v>124</v>
      </c>
      <c r="N70" s="2" t="s">
        <v>256</v>
      </c>
      <c r="O70" s="2" t="s">
        <v>227</v>
      </c>
      <c r="P70" s="2">
        <v>-80000</v>
      </c>
      <c r="Q70" s="2"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3">
      <c r="A71" s="2">
        <f t="shared" si="0"/>
        <v>40095</v>
      </c>
      <c r="B71" s="2" t="s">
        <v>373</v>
      </c>
      <c r="C71" s="2"/>
      <c r="D71" s="2"/>
      <c r="E71" s="3" t="s">
        <v>168</v>
      </c>
      <c r="F71" s="2" t="s">
        <v>409</v>
      </c>
      <c r="G71" s="2"/>
      <c r="H71" s="2"/>
      <c r="I71" s="2">
        <v>5</v>
      </c>
      <c r="J71" s="2" t="s">
        <v>12</v>
      </c>
      <c r="K71" s="2">
        <v>800</v>
      </c>
      <c r="L71" s="2">
        <v>2400</v>
      </c>
      <c r="M71" s="2" t="s">
        <v>124</v>
      </c>
      <c r="N71" s="2" t="s">
        <v>256</v>
      </c>
      <c r="O71" s="2" t="s">
        <v>227</v>
      </c>
      <c r="P71" s="2">
        <v>-100000</v>
      </c>
      <c r="Q71" s="2"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3">
      <c r="A72" s="2">
        <f t="shared" si="0"/>
        <v>40101</v>
      </c>
      <c r="B72" s="2" t="s">
        <v>374</v>
      </c>
      <c r="C72" s="2"/>
      <c r="D72" s="2"/>
      <c r="E72" s="3" t="s">
        <v>164</v>
      </c>
      <c r="F72" s="2" t="s">
        <v>410</v>
      </c>
      <c r="G72" s="2"/>
      <c r="H72" s="2"/>
      <c r="I72" s="2">
        <v>1</v>
      </c>
      <c r="J72" s="2" t="s">
        <v>12</v>
      </c>
      <c r="K72" s="2">
        <v>10</v>
      </c>
      <c r="L72" s="2">
        <v>15</v>
      </c>
      <c r="M72" s="2" t="s">
        <v>124</v>
      </c>
      <c r="N72" s="2" t="s">
        <v>257</v>
      </c>
      <c r="O72" s="2" t="s">
        <v>227</v>
      </c>
      <c r="P72" s="2">
        <v>-6000</v>
      </c>
      <c r="Q72" s="2"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3">
      <c r="A73" s="2">
        <f t="shared" si="0"/>
        <v>40102</v>
      </c>
      <c r="B73" s="2" t="s">
        <v>375</v>
      </c>
      <c r="C73" s="2"/>
      <c r="D73" s="2"/>
      <c r="E73" s="3" t="s">
        <v>165</v>
      </c>
      <c r="F73" s="2" t="s">
        <v>410</v>
      </c>
      <c r="G73" s="2"/>
      <c r="H73" s="2"/>
      <c r="I73" s="2">
        <v>2</v>
      </c>
      <c r="J73" s="2" t="s">
        <v>12</v>
      </c>
      <c r="K73" s="2">
        <v>20</v>
      </c>
      <c r="L73" s="2">
        <v>38</v>
      </c>
      <c r="M73" s="2" t="s">
        <v>124</v>
      </c>
      <c r="N73" s="2" t="s">
        <v>257</v>
      </c>
      <c r="O73" s="2" t="s">
        <v>227</v>
      </c>
      <c r="P73" s="2">
        <v>-12000</v>
      </c>
      <c r="Q73" s="2"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3">
      <c r="A74" s="2">
        <f t="shared" si="0"/>
        <v>40103</v>
      </c>
      <c r="B74" s="2" t="s">
        <v>376</v>
      </c>
      <c r="C74" s="2"/>
      <c r="D74" s="2"/>
      <c r="E74" s="3" t="s">
        <v>166</v>
      </c>
      <c r="F74" s="2" t="s">
        <v>410</v>
      </c>
      <c r="G74" s="2"/>
      <c r="H74" s="2"/>
      <c r="I74" s="2">
        <v>3</v>
      </c>
      <c r="J74" s="2" t="s">
        <v>12</v>
      </c>
      <c r="K74" s="2">
        <v>80</v>
      </c>
      <c r="L74" s="2">
        <v>150</v>
      </c>
      <c r="M74" s="2" t="s">
        <v>124</v>
      </c>
      <c r="N74" s="2" t="s">
        <v>257</v>
      </c>
      <c r="O74" s="2" t="s">
        <v>227</v>
      </c>
      <c r="P74" s="2">
        <v>-18000</v>
      </c>
      <c r="Q74" s="2"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3">
      <c r="A75" s="2">
        <f t="shared" si="0"/>
        <v>40104</v>
      </c>
      <c r="B75" s="2" t="s">
        <v>377</v>
      </c>
      <c r="C75" s="2"/>
      <c r="D75" s="2"/>
      <c r="E75" s="3" t="s">
        <v>167</v>
      </c>
      <c r="F75" s="2" t="s">
        <v>410</v>
      </c>
      <c r="G75" s="2"/>
      <c r="H75" s="2"/>
      <c r="I75" s="2">
        <v>4</v>
      </c>
      <c r="J75" s="2" t="s">
        <v>12</v>
      </c>
      <c r="K75" s="2">
        <v>320</v>
      </c>
      <c r="L75" s="2">
        <v>600</v>
      </c>
      <c r="M75" s="2" t="s">
        <v>124</v>
      </c>
      <c r="N75" s="2" t="s">
        <v>257</v>
      </c>
      <c r="O75" s="2" t="s">
        <v>227</v>
      </c>
      <c r="P75" s="2">
        <v>-24000</v>
      </c>
      <c r="Q75" s="2"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3">
      <c r="A76" s="2">
        <f t="shared" si="0"/>
        <v>40105</v>
      </c>
      <c r="B76" s="2" t="s">
        <v>378</v>
      </c>
      <c r="C76" s="2"/>
      <c r="D76" s="2"/>
      <c r="E76" s="3" t="s">
        <v>168</v>
      </c>
      <c r="F76" s="2" t="s">
        <v>410</v>
      </c>
      <c r="G76" s="2"/>
      <c r="H76" s="2"/>
      <c r="I76" s="2">
        <v>5</v>
      </c>
      <c r="J76" s="2" t="s">
        <v>12</v>
      </c>
      <c r="K76" s="2">
        <v>800</v>
      </c>
      <c r="L76" s="2">
        <v>2400</v>
      </c>
      <c r="M76" s="2" t="s">
        <v>124</v>
      </c>
      <c r="N76" s="2" t="s">
        <v>257</v>
      </c>
      <c r="O76" s="2" t="s">
        <v>227</v>
      </c>
      <c r="P76" s="2">
        <v>-30000</v>
      </c>
      <c r="Q76" s="2"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3">
      <c r="A77" s="2">
        <f t="shared" si="0"/>
        <v>40111</v>
      </c>
      <c r="B77" s="2" t="s">
        <v>379</v>
      </c>
      <c r="C77" s="2"/>
      <c r="D77" s="2"/>
      <c r="E77" s="3" t="s">
        <v>164</v>
      </c>
      <c r="F77" s="2" t="s">
        <v>411</v>
      </c>
      <c r="G77" s="2"/>
      <c r="H77" s="2"/>
      <c r="I77" s="2">
        <v>1</v>
      </c>
      <c r="J77" s="2" t="s">
        <v>12</v>
      </c>
      <c r="K77" s="2">
        <v>10</v>
      </c>
      <c r="L77" s="2">
        <v>15</v>
      </c>
      <c r="M77" s="2" t="s">
        <v>124</v>
      </c>
      <c r="N77" s="2" t="s">
        <v>258</v>
      </c>
      <c r="O77" s="2" t="s">
        <v>227</v>
      </c>
      <c r="P77" s="2">
        <v>40000</v>
      </c>
      <c r="Q77" s="2"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3">
      <c r="A78" s="2">
        <f t="shared" si="0"/>
        <v>40112</v>
      </c>
      <c r="B78" s="2" t="s">
        <v>380</v>
      </c>
      <c r="C78" s="2"/>
      <c r="D78" s="2"/>
      <c r="E78" s="3" t="s">
        <v>165</v>
      </c>
      <c r="F78" s="2" t="s">
        <v>411</v>
      </c>
      <c r="G78" s="2"/>
      <c r="H78" s="2"/>
      <c r="I78" s="2">
        <v>2</v>
      </c>
      <c r="J78" s="2" t="s">
        <v>12</v>
      </c>
      <c r="K78" s="2">
        <v>20</v>
      </c>
      <c r="L78" s="2">
        <v>38</v>
      </c>
      <c r="M78" s="2" t="s">
        <v>124</v>
      </c>
      <c r="N78" s="2" t="s">
        <v>258</v>
      </c>
      <c r="O78" s="2" t="s">
        <v>227</v>
      </c>
      <c r="P78" s="2">
        <v>80000</v>
      </c>
      <c r="Q78" s="2"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3">
      <c r="A79" s="2">
        <f t="shared" si="0"/>
        <v>40113</v>
      </c>
      <c r="B79" s="2" t="s">
        <v>381</v>
      </c>
      <c r="C79" s="2"/>
      <c r="D79" s="2"/>
      <c r="E79" s="3" t="s">
        <v>166</v>
      </c>
      <c r="F79" s="2" t="s">
        <v>411</v>
      </c>
      <c r="G79" s="2"/>
      <c r="H79" s="2"/>
      <c r="I79" s="2">
        <v>3</v>
      </c>
      <c r="J79" s="2" t="s">
        <v>12</v>
      </c>
      <c r="K79" s="2">
        <v>80</v>
      </c>
      <c r="L79" s="2">
        <v>150</v>
      </c>
      <c r="M79" s="2" t="s">
        <v>124</v>
      </c>
      <c r="N79" s="2" t="s">
        <v>258</v>
      </c>
      <c r="O79" s="2" t="s">
        <v>227</v>
      </c>
      <c r="P79" s="2">
        <v>120000</v>
      </c>
      <c r="Q79" s="2"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3">
      <c r="A80" s="2">
        <f t="shared" si="0"/>
        <v>40114</v>
      </c>
      <c r="B80" s="2" t="s">
        <v>382</v>
      </c>
      <c r="C80" s="2"/>
      <c r="D80" s="2"/>
      <c r="E80" s="3" t="s">
        <v>167</v>
      </c>
      <c r="F80" s="2" t="s">
        <v>411</v>
      </c>
      <c r="G80" s="2"/>
      <c r="H80" s="2"/>
      <c r="I80" s="2">
        <v>4</v>
      </c>
      <c r="J80" s="2" t="s">
        <v>12</v>
      </c>
      <c r="K80" s="2">
        <v>320</v>
      </c>
      <c r="L80" s="2">
        <v>600</v>
      </c>
      <c r="M80" s="2" t="s">
        <v>124</v>
      </c>
      <c r="N80" s="2" t="s">
        <v>258</v>
      </c>
      <c r="O80" s="2" t="s">
        <v>227</v>
      </c>
      <c r="P80" s="2">
        <v>160000</v>
      </c>
      <c r="Q80" s="2"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3">
      <c r="A81" s="2">
        <f t="shared" si="0"/>
        <v>40115</v>
      </c>
      <c r="B81" s="2" t="s">
        <v>383</v>
      </c>
      <c r="C81" s="2"/>
      <c r="D81" s="2"/>
      <c r="E81" s="3" t="s">
        <v>168</v>
      </c>
      <c r="F81" s="2" t="s">
        <v>411</v>
      </c>
      <c r="G81" s="2"/>
      <c r="H81" s="2"/>
      <c r="I81" s="2">
        <v>5</v>
      </c>
      <c r="J81" s="2" t="s">
        <v>12</v>
      </c>
      <c r="K81" s="2">
        <v>800</v>
      </c>
      <c r="L81" s="2">
        <v>2400</v>
      </c>
      <c r="M81" s="2" t="s">
        <v>124</v>
      </c>
      <c r="N81" s="2" t="s">
        <v>258</v>
      </c>
      <c r="O81" s="2" t="s">
        <v>227</v>
      </c>
      <c r="P81" s="2">
        <v>200000</v>
      </c>
      <c r="Q81" s="2"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3">
      <c r="A82" s="2">
        <f t="shared" si="0"/>
        <v>40121</v>
      </c>
      <c r="B82" s="2" t="s">
        <v>384</v>
      </c>
      <c r="C82" s="2"/>
      <c r="D82" s="2"/>
      <c r="E82" s="3" t="s">
        <v>164</v>
      </c>
      <c r="F82" s="2" t="s">
        <v>412</v>
      </c>
      <c r="G82" s="2"/>
      <c r="H82" s="2"/>
      <c r="I82" s="2">
        <v>1</v>
      </c>
      <c r="J82" s="2" t="s">
        <v>12</v>
      </c>
      <c r="K82" s="2">
        <v>10</v>
      </c>
      <c r="L82" s="2">
        <v>15</v>
      </c>
      <c r="M82" s="2" t="s">
        <v>124</v>
      </c>
      <c r="N82" s="2" t="s">
        <v>259</v>
      </c>
      <c r="O82" s="2" t="s">
        <v>226</v>
      </c>
      <c r="P82" s="2">
        <v>1400</v>
      </c>
      <c r="Q82" s="2"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3">
      <c r="A83" s="2">
        <f t="shared" si="0"/>
        <v>40122</v>
      </c>
      <c r="B83" s="2" t="s">
        <v>385</v>
      </c>
      <c r="C83" s="2"/>
      <c r="D83" s="2"/>
      <c r="E83" s="3" t="s">
        <v>165</v>
      </c>
      <c r="F83" s="2" t="s">
        <v>412</v>
      </c>
      <c r="G83" s="2"/>
      <c r="H83" s="2"/>
      <c r="I83" s="2">
        <v>2</v>
      </c>
      <c r="J83" s="2" t="s">
        <v>12</v>
      </c>
      <c r="K83" s="2">
        <v>20</v>
      </c>
      <c r="L83" s="2">
        <v>38</v>
      </c>
      <c r="M83" s="2" t="s">
        <v>124</v>
      </c>
      <c r="N83" s="2" t="s">
        <v>259</v>
      </c>
      <c r="O83" s="2" t="s">
        <v>226</v>
      </c>
      <c r="P83" s="2">
        <v>2800</v>
      </c>
      <c r="Q83" s="2"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3">
      <c r="A84" s="2">
        <f t="shared" si="0"/>
        <v>40123</v>
      </c>
      <c r="B84" s="2" t="s">
        <v>386</v>
      </c>
      <c r="C84" s="2"/>
      <c r="D84" s="2"/>
      <c r="E84" s="3" t="s">
        <v>166</v>
      </c>
      <c r="F84" s="2" t="s">
        <v>412</v>
      </c>
      <c r="G84" s="2"/>
      <c r="H84" s="2"/>
      <c r="I84" s="2">
        <v>3</v>
      </c>
      <c r="J84" s="2" t="s">
        <v>12</v>
      </c>
      <c r="K84" s="2">
        <v>80</v>
      </c>
      <c r="L84" s="2">
        <v>150</v>
      </c>
      <c r="M84" s="2" t="s">
        <v>124</v>
      </c>
      <c r="N84" s="2" t="s">
        <v>259</v>
      </c>
      <c r="O84" s="2" t="s">
        <v>226</v>
      </c>
      <c r="P84" s="2">
        <v>4200</v>
      </c>
      <c r="Q84" s="2"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3">
      <c r="A85" s="2">
        <f t="shared" si="0"/>
        <v>40124</v>
      </c>
      <c r="B85" s="2" t="s">
        <v>387</v>
      </c>
      <c r="C85" s="2"/>
      <c r="D85" s="2"/>
      <c r="E85" s="3" t="s">
        <v>167</v>
      </c>
      <c r="F85" s="2" t="s">
        <v>412</v>
      </c>
      <c r="G85" s="2"/>
      <c r="H85" s="2"/>
      <c r="I85" s="2">
        <v>4</v>
      </c>
      <c r="J85" s="2" t="s">
        <v>12</v>
      </c>
      <c r="K85" s="2">
        <v>320</v>
      </c>
      <c r="L85" s="2">
        <v>600</v>
      </c>
      <c r="M85" s="2" t="s">
        <v>124</v>
      </c>
      <c r="N85" s="2" t="s">
        <v>259</v>
      </c>
      <c r="O85" s="2" t="s">
        <v>226</v>
      </c>
      <c r="P85" s="2">
        <v>5600</v>
      </c>
      <c r="Q85" s="2"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3">
      <c r="A86" s="2">
        <f t="shared" si="0"/>
        <v>40125</v>
      </c>
      <c r="B86" s="2" t="s">
        <v>388</v>
      </c>
      <c r="C86" s="2"/>
      <c r="D86" s="2"/>
      <c r="E86" s="3" t="s">
        <v>168</v>
      </c>
      <c r="F86" s="2" t="s">
        <v>412</v>
      </c>
      <c r="G86" s="2"/>
      <c r="H86" s="2"/>
      <c r="I86" s="2">
        <v>5</v>
      </c>
      <c r="J86" s="2" t="s">
        <v>12</v>
      </c>
      <c r="K86" s="2">
        <v>800</v>
      </c>
      <c r="L86" s="2">
        <v>2400</v>
      </c>
      <c r="M86" s="2" t="s">
        <v>124</v>
      </c>
      <c r="N86" s="2" t="s">
        <v>259</v>
      </c>
      <c r="O86" s="2" t="s">
        <v>226</v>
      </c>
      <c r="P86" s="2">
        <v>7000</v>
      </c>
      <c r="Q86" s="2">
        <v>0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3">
      <c r="A87" s="2">
        <f t="shared" si="0"/>
        <v>40131</v>
      </c>
      <c r="B87" s="2" t="s">
        <v>389</v>
      </c>
      <c r="C87" s="2"/>
      <c r="D87" s="2"/>
      <c r="E87" s="3" t="s">
        <v>164</v>
      </c>
      <c r="F87" s="2" t="s">
        <v>413</v>
      </c>
      <c r="G87" s="2"/>
      <c r="H87" s="2"/>
      <c r="I87" s="2">
        <v>1</v>
      </c>
      <c r="J87" s="2" t="s">
        <v>12</v>
      </c>
      <c r="K87" s="2">
        <v>10</v>
      </c>
      <c r="L87" s="2">
        <v>15</v>
      </c>
      <c r="M87" s="2" t="s">
        <v>124</v>
      </c>
      <c r="N87" s="2" t="s">
        <v>260</v>
      </c>
      <c r="O87" s="2" t="s">
        <v>263</v>
      </c>
      <c r="P87" s="2">
        <v>-400000</v>
      </c>
      <c r="Q87" s="2">
        <v>0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3">
      <c r="A88" s="2">
        <f t="shared" si="0"/>
        <v>40132</v>
      </c>
      <c r="B88" s="2" t="s">
        <v>390</v>
      </c>
      <c r="C88" s="2"/>
      <c r="D88" s="2"/>
      <c r="E88" s="3" t="s">
        <v>165</v>
      </c>
      <c r="F88" s="2" t="s">
        <v>413</v>
      </c>
      <c r="G88" s="2"/>
      <c r="H88" s="2"/>
      <c r="I88" s="2">
        <v>2</v>
      </c>
      <c r="J88" s="2" t="s">
        <v>12</v>
      </c>
      <c r="K88" s="2">
        <v>20</v>
      </c>
      <c r="L88" s="2">
        <v>38</v>
      </c>
      <c r="M88" s="2" t="s">
        <v>124</v>
      </c>
      <c r="N88" s="2" t="s">
        <v>260</v>
      </c>
      <c r="O88" s="2" t="s">
        <v>226</v>
      </c>
      <c r="P88" s="2">
        <v>-800000</v>
      </c>
      <c r="Q88" s="2">
        <v>0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3">
      <c r="A89" s="2">
        <f t="shared" si="0"/>
        <v>40133</v>
      </c>
      <c r="B89" s="2" t="s">
        <v>391</v>
      </c>
      <c r="C89" s="2"/>
      <c r="D89" s="2"/>
      <c r="E89" s="3" t="s">
        <v>166</v>
      </c>
      <c r="F89" s="2" t="s">
        <v>413</v>
      </c>
      <c r="G89" s="2"/>
      <c r="H89" s="2"/>
      <c r="I89" s="2">
        <v>3</v>
      </c>
      <c r="J89" s="2" t="s">
        <v>12</v>
      </c>
      <c r="K89" s="2">
        <v>80</v>
      </c>
      <c r="L89" s="2">
        <v>150</v>
      </c>
      <c r="M89" s="2" t="s">
        <v>124</v>
      </c>
      <c r="N89" s="2" t="s">
        <v>260</v>
      </c>
      <c r="O89" s="2" t="s">
        <v>226</v>
      </c>
      <c r="P89" s="2">
        <v>-1200000</v>
      </c>
      <c r="Q89" s="2">
        <v>0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3">
      <c r="A90" s="2">
        <f t="shared" si="0"/>
        <v>40134</v>
      </c>
      <c r="B90" s="2" t="s">
        <v>392</v>
      </c>
      <c r="C90" s="2"/>
      <c r="D90" s="2"/>
      <c r="E90" s="3" t="s">
        <v>167</v>
      </c>
      <c r="F90" s="2" t="s">
        <v>413</v>
      </c>
      <c r="G90" s="2"/>
      <c r="H90" s="2"/>
      <c r="I90" s="2">
        <v>4</v>
      </c>
      <c r="J90" s="2" t="s">
        <v>12</v>
      </c>
      <c r="K90" s="2">
        <v>320</v>
      </c>
      <c r="L90" s="2">
        <v>600</v>
      </c>
      <c r="M90" s="2" t="s">
        <v>124</v>
      </c>
      <c r="N90" s="2" t="s">
        <v>260</v>
      </c>
      <c r="O90" s="2" t="s">
        <v>226</v>
      </c>
      <c r="P90" s="2">
        <v>-1600000</v>
      </c>
      <c r="Q90" s="2">
        <v>0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3">
      <c r="A91" s="2">
        <f t="shared" si="0"/>
        <v>40135</v>
      </c>
      <c r="B91" s="2" t="s">
        <v>393</v>
      </c>
      <c r="C91" s="2"/>
      <c r="D91" s="2"/>
      <c r="E91" s="3" t="s">
        <v>168</v>
      </c>
      <c r="F91" s="2" t="s">
        <v>413</v>
      </c>
      <c r="G91" s="2"/>
      <c r="H91" s="2"/>
      <c r="I91" s="2">
        <v>5</v>
      </c>
      <c r="J91" s="2" t="s">
        <v>12</v>
      </c>
      <c r="K91" s="2">
        <v>800</v>
      </c>
      <c r="L91" s="2">
        <v>2400</v>
      </c>
      <c r="M91" s="2" t="s">
        <v>124</v>
      </c>
      <c r="N91" s="2" t="s">
        <v>260</v>
      </c>
      <c r="O91" s="2" t="s">
        <v>226</v>
      </c>
      <c r="P91" s="2">
        <v>-2000000</v>
      </c>
      <c r="Q91" s="2">
        <v>0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3">
      <c r="A92" s="2">
        <f t="shared" ref="A92:A101" si="1">A87+10</f>
        <v>40141</v>
      </c>
      <c r="B92" s="2" t="s">
        <v>394</v>
      </c>
      <c r="C92" s="2"/>
      <c r="D92" s="2"/>
      <c r="E92" s="3" t="s">
        <v>164</v>
      </c>
      <c r="F92" s="2" t="s">
        <v>414</v>
      </c>
      <c r="G92" s="2"/>
      <c r="H92" s="2"/>
      <c r="I92" s="2">
        <v>1</v>
      </c>
      <c r="J92" s="2" t="s">
        <v>12</v>
      </c>
      <c r="K92" s="2">
        <v>10</v>
      </c>
      <c r="L92" s="2">
        <v>15</v>
      </c>
      <c r="M92" s="2" t="s">
        <v>124</v>
      </c>
      <c r="N92" s="2" t="s">
        <v>261</v>
      </c>
      <c r="O92" s="2" t="s">
        <v>227</v>
      </c>
      <c r="P92" s="2">
        <v>200000</v>
      </c>
      <c r="Q92" s="2">
        <v>0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3">
      <c r="A93" s="2">
        <f t="shared" si="1"/>
        <v>40142</v>
      </c>
      <c r="B93" s="2" t="s">
        <v>395</v>
      </c>
      <c r="C93" s="2"/>
      <c r="D93" s="2"/>
      <c r="E93" s="3" t="s">
        <v>165</v>
      </c>
      <c r="F93" s="2" t="s">
        <v>414</v>
      </c>
      <c r="G93" s="2"/>
      <c r="H93" s="2"/>
      <c r="I93" s="2">
        <v>2</v>
      </c>
      <c r="J93" s="2" t="s">
        <v>12</v>
      </c>
      <c r="K93" s="2">
        <v>20</v>
      </c>
      <c r="L93" s="2">
        <v>38</v>
      </c>
      <c r="M93" s="2" t="s">
        <v>124</v>
      </c>
      <c r="N93" s="2" t="s">
        <v>261</v>
      </c>
      <c r="O93" s="2" t="s">
        <v>227</v>
      </c>
      <c r="P93" s="2">
        <v>400000</v>
      </c>
      <c r="Q93" s="2"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3">
      <c r="A94" s="2">
        <f t="shared" si="1"/>
        <v>40143</v>
      </c>
      <c r="B94" s="2" t="s">
        <v>396</v>
      </c>
      <c r="C94" s="2"/>
      <c r="D94" s="2"/>
      <c r="E94" s="3" t="s">
        <v>166</v>
      </c>
      <c r="F94" s="2" t="s">
        <v>414</v>
      </c>
      <c r="G94" s="2"/>
      <c r="H94" s="2"/>
      <c r="I94" s="2">
        <v>3</v>
      </c>
      <c r="J94" s="2" t="s">
        <v>12</v>
      </c>
      <c r="K94" s="2">
        <v>80</v>
      </c>
      <c r="L94" s="2">
        <v>150</v>
      </c>
      <c r="M94" s="2" t="s">
        <v>124</v>
      </c>
      <c r="N94" s="2" t="s">
        <v>261</v>
      </c>
      <c r="O94" s="2" t="s">
        <v>227</v>
      </c>
      <c r="P94" s="2">
        <v>600000</v>
      </c>
      <c r="Q94" s="2">
        <v>0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3">
      <c r="A95" s="2">
        <f t="shared" si="1"/>
        <v>40144</v>
      </c>
      <c r="B95" s="2" t="s">
        <v>397</v>
      </c>
      <c r="C95" s="2"/>
      <c r="D95" s="2"/>
      <c r="E95" s="3" t="s">
        <v>167</v>
      </c>
      <c r="F95" s="2" t="s">
        <v>414</v>
      </c>
      <c r="G95" s="2"/>
      <c r="H95" s="2"/>
      <c r="I95" s="2">
        <v>4</v>
      </c>
      <c r="J95" s="2" t="s">
        <v>12</v>
      </c>
      <c r="K95" s="2">
        <v>320</v>
      </c>
      <c r="L95" s="2">
        <v>600</v>
      </c>
      <c r="M95" s="2" t="s">
        <v>124</v>
      </c>
      <c r="N95" s="2" t="s">
        <v>261</v>
      </c>
      <c r="O95" s="2" t="s">
        <v>227</v>
      </c>
      <c r="P95" s="2">
        <v>800000</v>
      </c>
      <c r="Q95" s="2">
        <v>0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3">
      <c r="A96" s="2">
        <f t="shared" si="1"/>
        <v>40145</v>
      </c>
      <c r="B96" s="2" t="s">
        <v>398</v>
      </c>
      <c r="C96" s="2"/>
      <c r="D96" s="2"/>
      <c r="E96" s="3" t="s">
        <v>168</v>
      </c>
      <c r="F96" s="2" t="s">
        <v>414</v>
      </c>
      <c r="G96" s="2"/>
      <c r="H96" s="2"/>
      <c r="I96" s="2">
        <v>5</v>
      </c>
      <c r="J96" s="2" t="s">
        <v>12</v>
      </c>
      <c r="K96" s="2">
        <v>800</v>
      </c>
      <c r="L96" s="2">
        <v>2400</v>
      </c>
      <c r="M96" s="2" t="s">
        <v>124</v>
      </c>
      <c r="N96" s="2" t="s">
        <v>261</v>
      </c>
      <c r="O96" s="2" t="s">
        <v>227</v>
      </c>
      <c r="P96" s="2">
        <v>1000000</v>
      </c>
      <c r="Q96" s="2">
        <v>0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3">
      <c r="A97" s="2">
        <f t="shared" si="1"/>
        <v>40151</v>
      </c>
      <c r="B97" s="2" t="s">
        <v>399</v>
      </c>
      <c r="C97" s="2"/>
      <c r="D97" s="2"/>
      <c r="E97" s="3" t="s">
        <v>164</v>
      </c>
      <c r="F97" s="2" t="s">
        <v>415</v>
      </c>
      <c r="G97" s="2"/>
      <c r="H97" s="2"/>
      <c r="I97" s="2">
        <v>1</v>
      </c>
      <c r="J97" s="2" t="s">
        <v>12</v>
      </c>
      <c r="K97" s="2">
        <v>10</v>
      </c>
      <c r="L97" s="2">
        <v>15</v>
      </c>
      <c r="M97" s="2" t="s">
        <v>124</v>
      </c>
      <c r="N97" s="2" t="s">
        <v>262</v>
      </c>
      <c r="O97" s="2" t="s">
        <v>227</v>
      </c>
      <c r="P97" s="2">
        <v>80000</v>
      </c>
      <c r="Q97" s="2">
        <v>0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3">
      <c r="A98" s="2">
        <f t="shared" si="1"/>
        <v>40152</v>
      </c>
      <c r="B98" s="2" t="s">
        <v>400</v>
      </c>
      <c r="C98" s="2"/>
      <c r="D98" s="2"/>
      <c r="E98" s="3" t="s">
        <v>165</v>
      </c>
      <c r="F98" s="2" t="s">
        <v>415</v>
      </c>
      <c r="G98" s="2"/>
      <c r="H98" s="2"/>
      <c r="I98" s="2">
        <v>2</v>
      </c>
      <c r="J98" s="2" t="s">
        <v>12</v>
      </c>
      <c r="K98" s="2">
        <v>20</v>
      </c>
      <c r="L98" s="2">
        <v>38</v>
      </c>
      <c r="M98" s="2" t="s">
        <v>124</v>
      </c>
      <c r="N98" s="2" t="s">
        <v>262</v>
      </c>
      <c r="O98" s="2" t="s">
        <v>227</v>
      </c>
      <c r="P98" s="2">
        <v>160000</v>
      </c>
      <c r="Q98" s="2">
        <v>0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3">
      <c r="A99" s="2">
        <f t="shared" si="1"/>
        <v>40153</v>
      </c>
      <c r="B99" s="2" t="s">
        <v>401</v>
      </c>
      <c r="C99" s="2"/>
      <c r="D99" s="2"/>
      <c r="E99" s="3" t="s">
        <v>166</v>
      </c>
      <c r="F99" s="2" t="s">
        <v>415</v>
      </c>
      <c r="G99" s="2"/>
      <c r="H99" s="2"/>
      <c r="I99" s="2">
        <v>3</v>
      </c>
      <c r="J99" s="2" t="s">
        <v>12</v>
      </c>
      <c r="K99" s="2">
        <v>80</v>
      </c>
      <c r="L99" s="2">
        <v>150</v>
      </c>
      <c r="M99" s="2" t="s">
        <v>124</v>
      </c>
      <c r="N99" s="2" t="s">
        <v>262</v>
      </c>
      <c r="O99" s="2" t="s">
        <v>227</v>
      </c>
      <c r="P99" s="2">
        <v>240000</v>
      </c>
      <c r="Q99" s="2">
        <v>0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3">
      <c r="A100" s="2">
        <f t="shared" si="1"/>
        <v>40154</v>
      </c>
      <c r="B100" s="2" t="s">
        <v>402</v>
      </c>
      <c r="C100" s="2"/>
      <c r="D100" s="2"/>
      <c r="E100" s="3" t="s">
        <v>167</v>
      </c>
      <c r="F100" s="2" t="s">
        <v>415</v>
      </c>
      <c r="G100" s="2"/>
      <c r="H100" s="2"/>
      <c r="I100" s="2">
        <v>4</v>
      </c>
      <c r="J100" s="2" t="s">
        <v>12</v>
      </c>
      <c r="K100" s="2">
        <v>320</v>
      </c>
      <c r="L100" s="2">
        <v>600</v>
      </c>
      <c r="M100" s="2" t="s">
        <v>124</v>
      </c>
      <c r="N100" s="2" t="s">
        <v>262</v>
      </c>
      <c r="O100" s="2" t="s">
        <v>227</v>
      </c>
      <c r="P100" s="2">
        <v>320000</v>
      </c>
      <c r="Q100" s="2">
        <v>0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3">
      <c r="A101" s="2">
        <f t="shared" si="1"/>
        <v>40155</v>
      </c>
      <c r="B101" s="2" t="s">
        <v>403</v>
      </c>
      <c r="C101" s="2"/>
      <c r="D101" s="2"/>
      <c r="E101" s="3" t="s">
        <v>168</v>
      </c>
      <c r="F101" s="2" t="s">
        <v>415</v>
      </c>
      <c r="G101" s="2"/>
      <c r="H101" s="2"/>
      <c r="I101" s="2">
        <v>5</v>
      </c>
      <c r="J101" s="2" t="s">
        <v>12</v>
      </c>
      <c r="K101" s="2">
        <v>800</v>
      </c>
      <c r="L101" s="2">
        <v>2400</v>
      </c>
      <c r="M101" s="2" t="s">
        <v>124</v>
      </c>
      <c r="N101" s="2" t="s">
        <v>262</v>
      </c>
      <c r="O101" s="2" t="s">
        <v>227</v>
      </c>
      <c r="P101" s="2">
        <v>400000</v>
      </c>
      <c r="Q101" s="2">
        <v>0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</sheetData>
  <phoneticPr fontId="2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1"/>
  <sheetViews>
    <sheetView workbookViewId="0">
      <pane xSplit="2" ySplit="1" topLeftCell="C2" activePane="bottomRight" state="frozen"/>
      <selection pane="topRight"/>
      <selection pane="bottomLeft"/>
      <selection pane="bottomRight" activeCell="C1" sqref="C1:E1"/>
    </sheetView>
  </sheetViews>
  <sheetFormatPr defaultColWidth="9" defaultRowHeight="16.5" x14ac:dyDescent="0.3"/>
  <cols>
    <col min="1" max="1" width="9.125" style="1" customWidth="1"/>
    <col min="2" max="2" width="10.75" style="1" customWidth="1"/>
    <col min="3" max="6" width="9" style="1"/>
    <col min="7" max="7" width="9.25" style="1" customWidth="1"/>
    <col min="8" max="22" width="9.125" style="1" customWidth="1"/>
    <col min="23" max="16384" width="9" style="1"/>
  </cols>
  <sheetData>
    <row r="1" spans="1:22" x14ac:dyDescent="0.3">
      <c r="A1" s="6" t="s">
        <v>214</v>
      </c>
      <c r="B1" s="1" t="s">
        <v>213</v>
      </c>
      <c r="C1" s="1" t="s">
        <v>442</v>
      </c>
      <c r="D1" s="1" t="s">
        <v>443</v>
      </c>
      <c r="E1" s="1" t="s">
        <v>444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</row>
    <row r="2" spans="1:22" x14ac:dyDescent="0.3">
      <c r="A2" s="1">
        <v>101010</v>
      </c>
      <c r="B2" s="1">
        <v>10000001</v>
      </c>
      <c r="C2" s="1" t="s">
        <v>420</v>
      </c>
      <c r="F2" s="1">
        <v>1</v>
      </c>
      <c r="G2" s="1">
        <v>1</v>
      </c>
      <c r="H2" s="1">
        <v>10021</v>
      </c>
      <c r="I2" s="1">
        <v>10021</v>
      </c>
      <c r="J2" s="1">
        <v>10021</v>
      </c>
      <c r="K2" s="1">
        <v>20001</v>
      </c>
      <c r="L2" s="1">
        <v>20001</v>
      </c>
      <c r="M2" s="1">
        <v>20011</v>
      </c>
      <c r="N2" s="1">
        <v>30001</v>
      </c>
      <c r="O2" s="1">
        <v>30011</v>
      </c>
      <c r="P2" s="1">
        <v>30001</v>
      </c>
      <c r="Q2" s="1">
        <v>10011</v>
      </c>
      <c r="R2" s="1">
        <v>10021</v>
      </c>
      <c r="S2" s="1">
        <v>10021</v>
      </c>
      <c r="T2" s="1">
        <v>40061</v>
      </c>
      <c r="U2" s="1">
        <v>40071</v>
      </c>
      <c r="V2" s="1">
        <v>40041</v>
      </c>
    </row>
    <row r="3" spans="1:22" x14ac:dyDescent="0.3">
      <c r="A3" s="1">
        <v>101011</v>
      </c>
      <c r="B3" s="1">
        <v>10000001</v>
      </c>
      <c r="C3" s="1" t="s">
        <v>420</v>
      </c>
      <c r="F3" s="1">
        <v>2</v>
      </c>
      <c r="G3" s="1">
        <v>1</v>
      </c>
      <c r="H3" s="1">
        <v>10022</v>
      </c>
      <c r="I3" s="1">
        <v>10022</v>
      </c>
      <c r="J3" s="1">
        <v>10022</v>
      </c>
      <c r="K3" s="1">
        <v>20002</v>
      </c>
      <c r="L3" s="1">
        <v>20002</v>
      </c>
      <c r="M3" s="1">
        <v>20012</v>
      </c>
      <c r="N3" s="1">
        <v>30002</v>
      </c>
      <c r="O3" s="1">
        <v>30012</v>
      </c>
      <c r="P3" s="1">
        <v>30002</v>
      </c>
      <c r="Q3" s="1">
        <v>10012</v>
      </c>
      <c r="R3" s="1">
        <v>10022</v>
      </c>
      <c r="S3" s="1">
        <v>10022</v>
      </c>
      <c r="T3" s="1">
        <v>40062</v>
      </c>
      <c r="U3" s="1">
        <v>40072</v>
      </c>
      <c r="V3" s="1">
        <v>40042</v>
      </c>
    </row>
    <row r="4" spans="1:22" x14ac:dyDescent="0.3">
      <c r="A4" s="1">
        <v>101012</v>
      </c>
      <c r="B4" s="1">
        <v>10000001</v>
      </c>
      <c r="C4" s="1" t="s">
        <v>420</v>
      </c>
      <c r="F4" s="1">
        <v>3</v>
      </c>
      <c r="G4" s="1">
        <v>1</v>
      </c>
      <c r="H4" s="1">
        <v>10023</v>
      </c>
      <c r="I4" s="1">
        <v>10023</v>
      </c>
      <c r="J4" s="1">
        <v>10023</v>
      </c>
      <c r="K4" s="1">
        <v>20003</v>
      </c>
      <c r="L4" s="1">
        <v>20003</v>
      </c>
      <c r="M4" s="1">
        <v>20013</v>
      </c>
      <c r="N4" s="1">
        <v>30003</v>
      </c>
      <c r="O4" s="1">
        <v>30013</v>
      </c>
      <c r="P4" s="1">
        <v>30003</v>
      </c>
      <c r="Q4" s="1">
        <v>10013</v>
      </c>
      <c r="R4" s="1">
        <v>10023</v>
      </c>
      <c r="S4" s="1">
        <v>10023</v>
      </c>
      <c r="T4" s="1">
        <v>40063</v>
      </c>
      <c r="U4" s="1">
        <v>40073</v>
      </c>
      <c r="V4" s="1">
        <v>40043</v>
      </c>
    </row>
    <row r="5" spans="1:22" x14ac:dyDescent="0.3">
      <c r="A5" s="1">
        <v>101013</v>
      </c>
      <c r="B5" s="1">
        <v>10000001</v>
      </c>
      <c r="C5" s="1" t="s">
        <v>420</v>
      </c>
      <c r="F5" s="1">
        <v>4</v>
      </c>
      <c r="G5" s="1">
        <v>1</v>
      </c>
      <c r="H5" s="1">
        <v>10024</v>
      </c>
      <c r="I5" s="1">
        <v>10024</v>
      </c>
      <c r="J5" s="1">
        <v>10024</v>
      </c>
      <c r="K5" s="1">
        <v>20004</v>
      </c>
      <c r="L5" s="1">
        <v>20004</v>
      </c>
      <c r="M5" s="1">
        <v>20014</v>
      </c>
      <c r="N5" s="1">
        <v>30004</v>
      </c>
      <c r="O5" s="1">
        <v>30014</v>
      </c>
      <c r="P5" s="1">
        <v>30004</v>
      </c>
      <c r="Q5" s="1">
        <v>10014</v>
      </c>
      <c r="R5" s="1">
        <v>10024</v>
      </c>
      <c r="S5" s="1">
        <v>10024</v>
      </c>
      <c r="T5" s="1">
        <v>40064</v>
      </c>
      <c r="U5" s="1">
        <v>40074</v>
      </c>
      <c r="V5" s="1">
        <v>40044</v>
      </c>
    </row>
    <row r="6" spans="1:22" x14ac:dyDescent="0.3">
      <c r="A6" s="1">
        <v>101014</v>
      </c>
      <c r="B6" s="1">
        <v>10000001</v>
      </c>
      <c r="C6" s="1" t="s">
        <v>420</v>
      </c>
      <c r="F6" s="1">
        <v>5</v>
      </c>
      <c r="G6" s="1">
        <v>1</v>
      </c>
      <c r="H6" s="1">
        <v>10025</v>
      </c>
      <c r="I6" s="1">
        <v>10025</v>
      </c>
      <c r="J6" s="1">
        <v>10025</v>
      </c>
      <c r="K6" s="1">
        <v>20005</v>
      </c>
      <c r="L6" s="1">
        <v>20005</v>
      </c>
      <c r="M6" s="1">
        <v>20015</v>
      </c>
      <c r="N6" s="1">
        <v>30005</v>
      </c>
      <c r="O6" s="1">
        <v>30015</v>
      </c>
      <c r="P6" s="1">
        <v>30005</v>
      </c>
      <c r="Q6" s="1">
        <v>10015</v>
      </c>
      <c r="R6" s="1">
        <v>10025</v>
      </c>
      <c r="S6" s="1">
        <v>10025</v>
      </c>
      <c r="T6" s="1">
        <v>40065</v>
      </c>
      <c r="U6" s="1">
        <v>40075</v>
      </c>
      <c r="V6" s="1">
        <v>40045</v>
      </c>
    </row>
    <row r="7" spans="1:22" x14ac:dyDescent="0.3">
      <c r="A7" s="1">
        <v>101015</v>
      </c>
      <c r="B7" s="1">
        <v>10000001</v>
      </c>
      <c r="C7" s="1" t="s">
        <v>421</v>
      </c>
      <c r="F7" s="1">
        <v>1</v>
      </c>
      <c r="G7" s="1">
        <v>2</v>
      </c>
      <c r="H7" s="1">
        <v>10011</v>
      </c>
      <c r="I7" s="1">
        <v>10011</v>
      </c>
      <c r="J7" s="2">
        <v>10021</v>
      </c>
      <c r="K7" s="1">
        <v>20001</v>
      </c>
      <c r="L7" s="1">
        <v>20001</v>
      </c>
      <c r="M7" s="1">
        <v>20011</v>
      </c>
      <c r="N7" s="1">
        <v>30001</v>
      </c>
      <c r="O7" s="1">
        <v>30011</v>
      </c>
      <c r="P7" s="1">
        <v>30001</v>
      </c>
      <c r="Q7" s="1">
        <v>10011</v>
      </c>
      <c r="R7" s="1">
        <v>10011</v>
      </c>
      <c r="S7" s="1">
        <v>10021</v>
      </c>
      <c r="T7" s="1">
        <v>40041</v>
      </c>
      <c r="U7" s="1">
        <v>40061</v>
      </c>
      <c r="V7" s="1">
        <v>40081</v>
      </c>
    </row>
    <row r="8" spans="1:22" x14ac:dyDescent="0.3">
      <c r="A8" s="1">
        <v>101016</v>
      </c>
      <c r="B8" s="1">
        <v>10000001</v>
      </c>
      <c r="C8" s="1" t="s">
        <v>421</v>
      </c>
      <c r="F8" s="1">
        <v>2</v>
      </c>
      <c r="G8" s="1">
        <v>2</v>
      </c>
      <c r="H8" s="1">
        <v>10012</v>
      </c>
      <c r="I8" s="1">
        <v>10012</v>
      </c>
      <c r="J8" s="2">
        <v>10022</v>
      </c>
      <c r="K8" s="1">
        <v>20002</v>
      </c>
      <c r="L8" s="1">
        <v>20002</v>
      </c>
      <c r="M8" s="1">
        <v>20012</v>
      </c>
      <c r="N8" s="1">
        <v>30002</v>
      </c>
      <c r="O8" s="1">
        <v>30012</v>
      </c>
      <c r="P8" s="1">
        <v>30002</v>
      </c>
      <c r="Q8" s="1">
        <v>10012</v>
      </c>
      <c r="R8" s="1">
        <v>10012</v>
      </c>
      <c r="S8" s="1">
        <v>10022</v>
      </c>
      <c r="T8" s="1">
        <v>40042</v>
      </c>
      <c r="U8" s="1">
        <v>40062</v>
      </c>
      <c r="V8" s="1">
        <v>40082</v>
      </c>
    </row>
    <row r="9" spans="1:22" x14ac:dyDescent="0.3">
      <c r="A9" s="1">
        <v>101017</v>
      </c>
      <c r="B9" s="1">
        <v>10000001</v>
      </c>
      <c r="C9" s="1" t="s">
        <v>421</v>
      </c>
      <c r="F9" s="1">
        <v>3</v>
      </c>
      <c r="G9" s="1">
        <v>2</v>
      </c>
      <c r="H9" s="1">
        <v>10013</v>
      </c>
      <c r="I9" s="1">
        <v>10013</v>
      </c>
      <c r="J9" s="2">
        <v>10023</v>
      </c>
      <c r="K9" s="1">
        <v>20003</v>
      </c>
      <c r="L9" s="1">
        <v>20003</v>
      </c>
      <c r="M9" s="1">
        <v>20013</v>
      </c>
      <c r="N9" s="1">
        <v>30003</v>
      </c>
      <c r="O9" s="1">
        <v>30013</v>
      </c>
      <c r="P9" s="1">
        <v>30003</v>
      </c>
      <c r="Q9" s="1">
        <v>10013</v>
      </c>
      <c r="R9" s="1">
        <v>10013</v>
      </c>
      <c r="S9" s="1">
        <v>10023</v>
      </c>
      <c r="T9" s="1">
        <v>40043</v>
      </c>
      <c r="U9" s="1">
        <v>40063</v>
      </c>
      <c r="V9" s="1">
        <v>40083</v>
      </c>
    </row>
    <row r="10" spans="1:22" x14ac:dyDescent="0.3">
      <c r="A10" s="1">
        <v>101018</v>
      </c>
      <c r="B10" s="1">
        <v>10000001</v>
      </c>
      <c r="C10" s="1" t="s">
        <v>421</v>
      </c>
      <c r="F10" s="1">
        <v>4</v>
      </c>
      <c r="G10" s="1">
        <v>2</v>
      </c>
      <c r="H10" s="1">
        <v>10014</v>
      </c>
      <c r="I10" s="1">
        <v>10014</v>
      </c>
      <c r="J10" s="2">
        <v>10024</v>
      </c>
      <c r="K10" s="1">
        <v>20004</v>
      </c>
      <c r="L10" s="1">
        <v>20004</v>
      </c>
      <c r="M10" s="1">
        <v>20014</v>
      </c>
      <c r="N10" s="1">
        <v>30004</v>
      </c>
      <c r="O10" s="1">
        <v>30014</v>
      </c>
      <c r="P10" s="1">
        <v>30004</v>
      </c>
      <c r="Q10" s="1">
        <v>10014</v>
      </c>
      <c r="R10" s="1">
        <v>10014</v>
      </c>
      <c r="S10" s="1">
        <v>10024</v>
      </c>
      <c r="T10" s="1">
        <v>40044</v>
      </c>
      <c r="U10" s="1">
        <v>40064</v>
      </c>
      <c r="V10" s="1">
        <v>40084</v>
      </c>
    </row>
    <row r="11" spans="1:22" x14ac:dyDescent="0.3">
      <c r="A11" s="1">
        <v>101019</v>
      </c>
      <c r="B11" s="1">
        <v>10000001</v>
      </c>
      <c r="C11" s="1" t="s">
        <v>421</v>
      </c>
      <c r="F11" s="1">
        <v>5</v>
      </c>
      <c r="G11" s="1">
        <v>2</v>
      </c>
      <c r="H11" s="1">
        <v>10015</v>
      </c>
      <c r="I11" s="1">
        <v>10015</v>
      </c>
      <c r="J11" s="2">
        <v>10025</v>
      </c>
      <c r="K11" s="1">
        <v>20005</v>
      </c>
      <c r="L11" s="1">
        <v>20005</v>
      </c>
      <c r="M11" s="1">
        <v>20015</v>
      </c>
      <c r="N11" s="1">
        <v>30005</v>
      </c>
      <c r="O11" s="1">
        <v>30015</v>
      </c>
      <c r="P11" s="1">
        <v>30005</v>
      </c>
      <c r="Q11" s="1">
        <v>10015</v>
      </c>
      <c r="R11" s="1">
        <v>10015</v>
      </c>
      <c r="S11" s="1">
        <v>10025</v>
      </c>
      <c r="T11" s="1">
        <v>40045</v>
      </c>
      <c r="U11" s="1">
        <v>40065</v>
      </c>
      <c r="V11" s="1">
        <v>40085</v>
      </c>
    </row>
    <row r="12" spans="1:22" x14ac:dyDescent="0.3">
      <c r="A12" s="1">
        <f>A2+1000</f>
        <v>102010</v>
      </c>
      <c r="B12" s="1">
        <v>10000002</v>
      </c>
      <c r="C12" s="1" t="s">
        <v>419</v>
      </c>
      <c r="F12" s="1">
        <v>1</v>
      </c>
      <c r="G12" s="1">
        <v>1</v>
      </c>
      <c r="H12" s="1">
        <v>10001</v>
      </c>
      <c r="I12" s="1">
        <v>10001</v>
      </c>
      <c r="J12" s="2">
        <v>10021</v>
      </c>
      <c r="K12" s="1">
        <v>20001</v>
      </c>
      <c r="L12" s="1">
        <v>20001</v>
      </c>
      <c r="M12" s="1">
        <v>20011</v>
      </c>
      <c r="N12" s="1">
        <v>30001</v>
      </c>
      <c r="O12" s="1">
        <v>30011</v>
      </c>
      <c r="P12" s="1">
        <v>30001</v>
      </c>
      <c r="Q12" s="1">
        <v>30001</v>
      </c>
      <c r="R12" s="1">
        <v>20011</v>
      </c>
      <c r="S12" s="1">
        <v>20001</v>
      </c>
      <c r="T12" s="1">
        <v>40001</v>
      </c>
      <c r="U12" s="1">
        <v>40011</v>
      </c>
      <c r="V12" s="1">
        <v>40081</v>
      </c>
    </row>
    <row r="13" spans="1:22" x14ac:dyDescent="0.3">
      <c r="A13" s="1">
        <f t="shared" ref="A13:A76" si="0">A3+1000</f>
        <v>102011</v>
      </c>
      <c r="B13" s="1">
        <v>10000002</v>
      </c>
      <c r="C13" s="1" t="s">
        <v>419</v>
      </c>
      <c r="F13" s="1">
        <v>2</v>
      </c>
      <c r="G13" s="1">
        <v>1</v>
      </c>
      <c r="H13" s="1">
        <v>10002</v>
      </c>
      <c r="I13" s="1">
        <v>10002</v>
      </c>
      <c r="J13" s="2">
        <v>10022</v>
      </c>
      <c r="K13" s="1">
        <v>20002</v>
      </c>
      <c r="L13" s="1">
        <v>20002</v>
      </c>
      <c r="M13" s="1">
        <v>20012</v>
      </c>
      <c r="N13" s="1">
        <v>30002</v>
      </c>
      <c r="O13" s="1">
        <v>30012</v>
      </c>
      <c r="P13" s="1">
        <v>30002</v>
      </c>
      <c r="Q13" s="1">
        <v>30002</v>
      </c>
      <c r="R13" s="1">
        <v>20012</v>
      </c>
      <c r="S13" s="1">
        <v>20002</v>
      </c>
      <c r="T13" s="1">
        <v>40002</v>
      </c>
      <c r="U13" s="1">
        <v>40012</v>
      </c>
      <c r="V13" s="1">
        <v>40082</v>
      </c>
    </row>
    <row r="14" spans="1:22" x14ac:dyDescent="0.3">
      <c r="A14" s="1">
        <f t="shared" si="0"/>
        <v>102012</v>
      </c>
      <c r="B14" s="1">
        <v>10000002</v>
      </c>
      <c r="C14" s="1" t="s">
        <v>419</v>
      </c>
      <c r="F14" s="1">
        <v>3</v>
      </c>
      <c r="G14" s="1">
        <v>1</v>
      </c>
      <c r="H14" s="1">
        <v>10003</v>
      </c>
      <c r="I14" s="1">
        <v>10003</v>
      </c>
      <c r="J14" s="2">
        <v>10023</v>
      </c>
      <c r="K14" s="1">
        <v>20003</v>
      </c>
      <c r="L14" s="1">
        <v>20003</v>
      </c>
      <c r="M14" s="1">
        <v>20013</v>
      </c>
      <c r="N14" s="1">
        <v>30003</v>
      </c>
      <c r="O14" s="1">
        <v>30013</v>
      </c>
      <c r="P14" s="1">
        <v>30003</v>
      </c>
      <c r="Q14" s="1">
        <v>30003</v>
      </c>
      <c r="R14" s="1">
        <v>20013</v>
      </c>
      <c r="S14" s="1">
        <v>20003</v>
      </c>
      <c r="T14" s="1">
        <v>40003</v>
      </c>
      <c r="U14" s="1">
        <v>40013</v>
      </c>
      <c r="V14" s="1">
        <v>40083</v>
      </c>
    </row>
    <row r="15" spans="1:22" x14ac:dyDescent="0.3">
      <c r="A15" s="1">
        <f t="shared" si="0"/>
        <v>102013</v>
      </c>
      <c r="B15" s="1">
        <v>10000002</v>
      </c>
      <c r="C15" s="1" t="s">
        <v>419</v>
      </c>
      <c r="F15" s="1">
        <v>4</v>
      </c>
      <c r="G15" s="1">
        <v>1</v>
      </c>
      <c r="H15" s="1">
        <v>10004</v>
      </c>
      <c r="I15" s="1">
        <v>10004</v>
      </c>
      <c r="J15" s="2">
        <v>10024</v>
      </c>
      <c r="K15" s="1">
        <v>20004</v>
      </c>
      <c r="L15" s="1">
        <v>20004</v>
      </c>
      <c r="M15" s="1">
        <v>20014</v>
      </c>
      <c r="N15" s="1">
        <v>30004</v>
      </c>
      <c r="O15" s="1">
        <v>30014</v>
      </c>
      <c r="P15" s="1">
        <v>30004</v>
      </c>
      <c r="Q15" s="1">
        <v>30004</v>
      </c>
      <c r="R15" s="1">
        <v>20014</v>
      </c>
      <c r="S15" s="1">
        <v>20004</v>
      </c>
      <c r="T15" s="1">
        <v>40004</v>
      </c>
      <c r="U15" s="1">
        <v>40014</v>
      </c>
      <c r="V15" s="1">
        <v>40084</v>
      </c>
    </row>
    <row r="16" spans="1:22" x14ac:dyDescent="0.3">
      <c r="A16" s="1">
        <f t="shared" si="0"/>
        <v>102014</v>
      </c>
      <c r="B16" s="1">
        <v>10000002</v>
      </c>
      <c r="C16" s="1" t="s">
        <v>419</v>
      </c>
      <c r="F16" s="1">
        <v>5</v>
      </c>
      <c r="G16" s="1">
        <v>1</v>
      </c>
      <c r="H16" s="1">
        <v>10005</v>
      </c>
      <c r="I16" s="1">
        <v>10005</v>
      </c>
      <c r="J16" s="2">
        <v>10025</v>
      </c>
      <c r="K16" s="1">
        <v>20005</v>
      </c>
      <c r="L16" s="1">
        <v>20005</v>
      </c>
      <c r="M16" s="1">
        <v>20015</v>
      </c>
      <c r="N16" s="1">
        <v>30005</v>
      </c>
      <c r="O16" s="1">
        <v>30015</v>
      </c>
      <c r="P16" s="1">
        <v>30005</v>
      </c>
      <c r="Q16" s="1">
        <v>30005</v>
      </c>
      <c r="R16" s="1">
        <v>20015</v>
      </c>
      <c r="S16" s="1">
        <v>20005</v>
      </c>
      <c r="T16" s="1">
        <v>40005</v>
      </c>
      <c r="U16" s="1">
        <v>40015</v>
      </c>
      <c r="V16" s="1">
        <v>40085</v>
      </c>
    </row>
    <row r="17" spans="1:22" x14ac:dyDescent="0.3">
      <c r="A17" s="1">
        <f t="shared" si="0"/>
        <v>102015</v>
      </c>
      <c r="B17" s="1">
        <v>10000002</v>
      </c>
      <c r="C17" s="1" t="s">
        <v>416</v>
      </c>
      <c r="F17" s="1">
        <v>1</v>
      </c>
      <c r="G17" s="1">
        <v>2</v>
      </c>
      <c r="H17" s="1">
        <v>10001</v>
      </c>
      <c r="I17" s="1">
        <v>10001</v>
      </c>
      <c r="J17" s="1">
        <v>10001</v>
      </c>
      <c r="K17" s="1">
        <v>20001</v>
      </c>
      <c r="L17" s="1">
        <v>20001</v>
      </c>
      <c r="M17" s="1">
        <v>20011</v>
      </c>
      <c r="N17" s="1">
        <v>30001</v>
      </c>
      <c r="O17" s="1">
        <v>30011</v>
      </c>
      <c r="P17" s="1">
        <v>30001</v>
      </c>
      <c r="Q17" s="1">
        <v>10001</v>
      </c>
      <c r="R17" s="1">
        <v>10001</v>
      </c>
      <c r="S17" s="1">
        <v>10001</v>
      </c>
      <c r="T17" s="1">
        <v>40051</v>
      </c>
      <c r="U17" s="1">
        <v>40021</v>
      </c>
      <c r="V17" s="1">
        <v>40081</v>
      </c>
    </row>
    <row r="18" spans="1:22" x14ac:dyDescent="0.3">
      <c r="A18" s="1">
        <f t="shared" si="0"/>
        <v>102016</v>
      </c>
      <c r="B18" s="1">
        <v>10000002</v>
      </c>
      <c r="C18" s="1" t="s">
        <v>416</v>
      </c>
      <c r="F18" s="1">
        <v>2</v>
      </c>
      <c r="G18" s="1">
        <v>2</v>
      </c>
      <c r="H18" s="1">
        <v>10002</v>
      </c>
      <c r="I18" s="1">
        <v>10002</v>
      </c>
      <c r="J18" s="1">
        <v>10002</v>
      </c>
      <c r="K18" s="1">
        <v>20002</v>
      </c>
      <c r="L18" s="1">
        <v>20002</v>
      </c>
      <c r="M18" s="1">
        <v>20012</v>
      </c>
      <c r="N18" s="1">
        <v>30002</v>
      </c>
      <c r="O18" s="1">
        <v>30012</v>
      </c>
      <c r="P18" s="1">
        <v>30002</v>
      </c>
      <c r="Q18" s="1">
        <v>10002</v>
      </c>
      <c r="R18" s="1">
        <v>10002</v>
      </c>
      <c r="S18" s="1">
        <v>10002</v>
      </c>
      <c r="T18" s="1">
        <v>40052</v>
      </c>
      <c r="U18" s="1">
        <v>40022</v>
      </c>
      <c r="V18" s="1">
        <v>40082</v>
      </c>
    </row>
    <row r="19" spans="1:22" x14ac:dyDescent="0.3">
      <c r="A19" s="1">
        <f t="shared" si="0"/>
        <v>102017</v>
      </c>
      <c r="B19" s="1">
        <v>10000002</v>
      </c>
      <c r="C19" s="1" t="s">
        <v>416</v>
      </c>
      <c r="F19" s="1">
        <v>3</v>
      </c>
      <c r="G19" s="1">
        <v>2</v>
      </c>
      <c r="H19" s="1">
        <v>10003</v>
      </c>
      <c r="I19" s="1">
        <v>10003</v>
      </c>
      <c r="J19" s="1">
        <v>10003</v>
      </c>
      <c r="K19" s="1">
        <v>20003</v>
      </c>
      <c r="L19" s="1">
        <v>20003</v>
      </c>
      <c r="M19" s="1">
        <v>20013</v>
      </c>
      <c r="N19" s="1">
        <v>30003</v>
      </c>
      <c r="O19" s="1">
        <v>30013</v>
      </c>
      <c r="P19" s="1">
        <v>30003</v>
      </c>
      <c r="Q19" s="1">
        <v>10003</v>
      </c>
      <c r="R19" s="1">
        <v>10003</v>
      </c>
      <c r="S19" s="1">
        <v>10003</v>
      </c>
      <c r="T19" s="1">
        <v>40053</v>
      </c>
      <c r="U19" s="1">
        <v>40023</v>
      </c>
      <c r="V19" s="1">
        <v>40083</v>
      </c>
    </row>
    <row r="20" spans="1:22" x14ac:dyDescent="0.3">
      <c r="A20" s="1">
        <f t="shared" si="0"/>
        <v>102018</v>
      </c>
      <c r="B20" s="1">
        <v>10000002</v>
      </c>
      <c r="C20" s="1" t="s">
        <v>416</v>
      </c>
      <c r="F20" s="1">
        <v>4</v>
      </c>
      <c r="G20" s="1">
        <v>2</v>
      </c>
      <c r="H20" s="1">
        <v>10004</v>
      </c>
      <c r="I20" s="1">
        <v>10004</v>
      </c>
      <c r="J20" s="1">
        <v>10004</v>
      </c>
      <c r="K20" s="1">
        <v>20004</v>
      </c>
      <c r="L20" s="1">
        <v>20004</v>
      </c>
      <c r="M20" s="1">
        <v>20014</v>
      </c>
      <c r="N20" s="1">
        <v>30004</v>
      </c>
      <c r="O20" s="1">
        <v>30014</v>
      </c>
      <c r="P20" s="1">
        <v>30004</v>
      </c>
      <c r="Q20" s="1">
        <v>10004</v>
      </c>
      <c r="R20" s="1">
        <v>10004</v>
      </c>
      <c r="S20" s="1">
        <v>10004</v>
      </c>
      <c r="T20" s="1">
        <v>40054</v>
      </c>
      <c r="U20" s="1">
        <v>40024</v>
      </c>
      <c r="V20" s="1">
        <v>40084</v>
      </c>
    </row>
    <row r="21" spans="1:22" x14ac:dyDescent="0.3">
      <c r="A21" s="1">
        <f t="shared" si="0"/>
        <v>102019</v>
      </c>
      <c r="B21" s="1">
        <v>10000002</v>
      </c>
      <c r="C21" s="1" t="s">
        <v>416</v>
      </c>
      <c r="F21" s="1">
        <v>5</v>
      </c>
      <c r="G21" s="1">
        <v>2</v>
      </c>
      <c r="H21" s="1">
        <v>10005</v>
      </c>
      <c r="I21" s="1">
        <v>10005</v>
      </c>
      <c r="J21" s="1">
        <v>10005</v>
      </c>
      <c r="K21" s="1">
        <v>20005</v>
      </c>
      <c r="L21" s="1">
        <v>20005</v>
      </c>
      <c r="M21" s="1">
        <v>20015</v>
      </c>
      <c r="N21" s="1">
        <v>30005</v>
      </c>
      <c r="O21" s="1">
        <v>30015</v>
      </c>
      <c r="P21" s="1">
        <v>30005</v>
      </c>
      <c r="Q21" s="1">
        <v>10005</v>
      </c>
      <c r="R21" s="1">
        <v>10005</v>
      </c>
      <c r="S21" s="1">
        <v>10005</v>
      </c>
      <c r="T21" s="1">
        <v>40055</v>
      </c>
      <c r="U21" s="1">
        <v>40025</v>
      </c>
      <c r="V21" s="1">
        <v>40085</v>
      </c>
    </row>
    <row r="22" spans="1:22" x14ac:dyDescent="0.3">
      <c r="A22" s="1">
        <f t="shared" si="0"/>
        <v>103010</v>
      </c>
      <c r="B22" s="1">
        <v>10000003</v>
      </c>
      <c r="C22" s="1" t="s">
        <v>422</v>
      </c>
      <c r="F22" s="1">
        <v>1</v>
      </c>
      <c r="G22" s="1">
        <v>1</v>
      </c>
      <c r="H22" s="1">
        <v>10011</v>
      </c>
      <c r="I22" s="1">
        <v>10011</v>
      </c>
      <c r="J22" s="2">
        <v>10021</v>
      </c>
      <c r="K22" s="1">
        <v>20001</v>
      </c>
      <c r="L22" s="1">
        <v>20001</v>
      </c>
      <c r="M22" s="1">
        <v>20011</v>
      </c>
      <c r="N22" s="1">
        <v>30001</v>
      </c>
      <c r="O22" s="1">
        <v>30001</v>
      </c>
      <c r="P22" s="1">
        <v>30001</v>
      </c>
      <c r="Q22" s="1">
        <v>10011</v>
      </c>
      <c r="R22" s="1">
        <v>10011</v>
      </c>
      <c r="S22" s="2">
        <v>10021</v>
      </c>
      <c r="T22" s="1">
        <v>40001</v>
      </c>
      <c r="U22" s="1">
        <v>40011</v>
      </c>
      <c r="V22" s="1">
        <v>40081</v>
      </c>
    </row>
    <row r="23" spans="1:22" x14ac:dyDescent="0.3">
      <c r="A23" s="1">
        <f t="shared" si="0"/>
        <v>103011</v>
      </c>
      <c r="B23" s="1">
        <v>10000003</v>
      </c>
      <c r="C23" s="1" t="s">
        <v>422</v>
      </c>
      <c r="F23" s="1">
        <v>2</v>
      </c>
      <c r="G23" s="1">
        <v>1</v>
      </c>
      <c r="H23" s="1">
        <v>10012</v>
      </c>
      <c r="I23" s="1">
        <v>10012</v>
      </c>
      <c r="J23" s="2">
        <v>10022</v>
      </c>
      <c r="K23" s="1">
        <v>20002</v>
      </c>
      <c r="L23" s="1">
        <v>20002</v>
      </c>
      <c r="M23" s="1">
        <v>20012</v>
      </c>
      <c r="N23" s="1">
        <v>30002</v>
      </c>
      <c r="O23" s="1">
        <v>30002</v>
      </c>
      <c r="P23" s="1">
        <v>30002</v>
      </c>
      <c r="Q23" s="1">
        <v>10012</v>
      </c>
      <c r="R23" s="1">
        <v>10012</v>
      </c>
      <c r="S23" s="2">
        <v>10022</v>
      </c>
      <c r="T23" s="1">
        <v>40002</v>
      </c>
      <c r="U23" s="1">
        <v>40012</v>
      </c>
      <c r="V23" s="1">
        <v>40082</v>
      </c>
    </row>
    <row r="24" spans="1:22" x14ac:dyDescent="0.3">
      <c r="A24" s="1">
        <f t="shared" si="0"/>
        <v>103012</v>
      </c>
      <c r="B24" s="1">
        <v>10000003</v>
      </c>
      <c r="C24" s="1" t="s">
        <v>422</v>
      </c>
      <c r="F24" s="1">
        <v>3</v>
      </c>
      <c r="G24" s="1">
        <v>1</v>
      </c>
      <c r="H24" s="1">
        <v>10013</v>
      </c>
      <c r="I24" s="1">
        <v>10013</v>
      </c>
      <c r="J24" s="2">
        <v>10023</v>
      </c>
      <c r="K24" s="1">
        <v>20003</v>
      </c>
      <c r="L24" s="1">
        <v>20003</v>
      </c>
      <c r="M24" s="1">
        <v>20013</v>
      </c>
      <c r="N24" s="1">
        <v>30003</v>
      </c>
      <c r="O24" s="1">
        <v>30003</v>
      </c>
      <c r="P24" s="1">
        <v>30003</v>
      </c>
      <c r="Q24" s="1">
        <v>10013</v>
      </c>
      <c r="R24" s="1">
        <v>10013</v>
      </c>
      <c r="S24" s="2">
        <v>10023</v>
      </c>
      <c r="T24" s="1">
        <v>40003</v>
      </c>
      <c r="U24" s="1">
        <v>40013</v>
      </c>
      <c r="V24" s="1">
        <v>40083</v>
      </c>
    </row>
    <row r="25" spans="1:22" x14ac:dyDescent="0.3">
      <c r="A25" s="1">
        <f t="shared" si="0"/>
        <v>103013</v>
      </c>
      <c r="B25" s="1">
        <v>10000003</v>
      </c>
      <c r="C25" s="1" t="s">
        <v>422</v>
      </c>
      <c r="F25" s="1">
        <v>4</v>
      </c>
      <c r="G25" s="1">
        <v>1</v>
      </c>
      <c r="H25" s="1">
        <v>10014</v>
      </c>
      <c r="I25" s="1">
        <v>10014</v>
      </c>
      <c r="J25" s="2">
        <v>10024</v>
      </c>
      <c r="K25" s="1">
        <v>20004</v>
      </c>
      <c r="L25" s="1">
        <v>20004</v>
      </c>
      <c r="M25" s="1">
        <v>20014</v>
      </c>
      <c r="N25" s="1">
        <v>30004</v>
      </c>
      <c r="O25" s="1">
        <v>30004</v>
      </c>
      <c r="P25" s="1">
        <v>30004</v>
      </c>
      <c r="Q25" s="1">
        <v>10014</v>
      </c>
      <c r="R25" s="1">
        <v>10014</v>
      </c>
      <c r="S25" s="2">
        <v>10024</v>
      </c>
      <c r="T25" s="1">
        <v>40004</v>
      </c>
      <c r="U25" s="1">
        <v>40014</v>
      </c>
      <c r="V25" s="1">
        <v>40084</v>
      </c>
    </row>
    <row r="26" spans="1:22" x14ac:dyDescent="0.3">
      <c r="A26" s="1">
        <f t="shared" si="0"/>
        <v>103014</v>
      </c>
      <c r="B26" s="1">
        <v>10000003</v>
      </c>
      <c r="C26" s="1" t="s">
        <v>422</v>
      </c>
      <c r="F26" s="1">
        <v>5</v>
      </c>
      <c r="G26" s="1">
        <v>1</v>
      </c>
      <c r="H26" s="1">
        <v>10015</v>
      </c>
      <c r="I26" s="1">
        <v>10015</v>
      </c>
      <c r="J26" s="2">
        <v>10025</v>
      </c>
      <c r="K26" s="1">
        <v>20005</v>
      </c>
      <c r="L26" s="1">
        <v>20005</v>
      </c>
      <c r="M26" s="1">
        <v>20015</v>
      </c>
      <c r="N26" s="1">
        <v>30005</v>
      </c>
      <c r="O26" s="1">
        <v>30005</v>
      </c>
      <c r="P26" s="1">
        <v>30005</v>
      </c>
      <c r="Q26" s="1">
        <v>10015</v>
      </c>
      <c r="R26" s="1">
        <v>10015</v>
      </c>
      <c r="S26" s="2">
        <v>10025</v>
      </c>
      <c r="T26" s="1">
        <v>40005</v>
      </c>
      <c r="U26" s="1">
        <v>40015</v>
      </c>
      <c r="V26" s="1">
        <v>40085</v>
      </c>
    </row>
    <row r="27" spans="1:22" x14ac:dyDescent="0.3">
      <c r="A27" s="1">
        <f t="shared" si="0"/>
        <v>103015</v>
      </c>
      <c r="B27" s="1">
        <v>10000003</v>
      </c>
      <c r="C27" s="1" t="s">
        <v>419</v>
      </c>
      <c r="F27" s="1">
        <v>1</v>
      </c>
      <c r="G27" s="1">
        <v>2</v>
      </c>
      <c r="H27" s="1">
        <v>10011</v>
      </c>
      <c r="I27" s="1">
        <v>10011</v>
      </c>
      <c r="J27" s="2">
        <v>10021</v>
      </c>
      <c r="K27" s="1">
        <v>20001</v>
      </c>
      <c r="L27" s="1">
        <v>20001</v>
      </c>
      <c r="M27" s="1">
        <v>20011</v>
      </c>
      <c r="N27" s="1">
        <v>30001</v>
      </c>
      <c r="O27" s="1">
        <v>30011</v>
      </c>
      <c r="P27" s="1">
        <v>30001</v>
      </c>
      <c r="Q27" s="1">
        <v>10011</v>
      </c>
      <c r="R27" s="1">
        <v>10021</v>
      </c>
      <c r="S27" s="2">
        <v>10021</v>
      </c>
      <c r="T27" s="1">
        <v>40001</v>
      </c>
      <c r="U27" s="1">
        <v>40011</v>
      </c>
      <c r="V27" s="1">
        <v>40041</v>
      </c>
    </row>
    <row r="28" spans="1:22" x14ac:dyDescent="0.3">
      <c r="A28" s="1">
        <f t="shared" si="0"/>
        <v>103016</v>
      </c>
      <c r="B28" s="1">
        <v>10000003</v>
      </c>
      <c r="C28" s="1" t="s">
        <v>419</v>
      </c>
      <c r="F28" s="1">
        <v>2</v>
      </c>
      <c r="G28" s="1">
        <v>2</v>
      </c>
      <c r="H28" s="1">
        <v>10012</v>
      </c>
      <c r="I28" s="1">
        <v>10012</v>
      </c>
      <c r="J28" s="2">
        <v>10022</v>
      </c>
      <c r="K28" s="1">
        <v>20002</v>
      </c>
      <c r="L28" s="1">
        <v>20002</v>
      </c>
      <c r="M28" s="1">
        <v>20012</v>
      </c>
      <c r="N28" s="1">
        <v>30002</v>
      </c>
      <c r="O28" s="1">
        <v>30012</v>
      </c>
      <c r="P28" s="1">
        <v>30002</v>
      </c>
      <c r="Q28" s="1">
        <v>10012</v>
      </c>
      <c r="R28" s="1">
        <v>10022</v>
      </c>
      <c r="S28" s="2">
        <v>10022</v>
      </c>
      <c r="T28" s="1">
        <v>40002</v>
      </c>
      <c r="U28" s="1">
        <v>40012</v>
      </c>
      <c r="V28" s="1">
        <v>40042</v>
      </c>
    </row>
    <row r="29" spans="1:22" x14ac:dyDescent="0.3">
      <c r="A29" s="1">
        <f t="shared" si="0"/>
        <v>103017</v>
      </c>
      <c r="B29" s="1">
        <v>10000003</v>
      </c>
      <c r="C29" s="1" t="s">
        <v>419</v>
      </c>
      <c r="F29" s="1">
        <v>3</v>
      </c>
      <c r="G29" s="1">
        <v>2</v>
      </c>
      <c r="H29" s="1">
        <v>10013</v>
      </c>
      <c r="I29" s="1">
        <v>10013</v>
      </c>
      <c r="J29" s="2">
        <v>10023</v>
      </c>
      <c r="K29" s="1">
        <v>20003</v>
      </c>
      <c r="L29" s="1">
        <v>20003</v>
      </c>
      <c r="M29" s="1">
        <v>20013</v>
      </c>
      <c r="N29" s="1">
        <v>30003</v>
      </c>
      <c r="O29" s="1">
        <v>30013</v>
      </c>
      <c r="P29" s="1">
        <v>30003</v>
      </c>
      <c r="Q29" s="1">
        <v>10013</v>
      </c>
      <c r="R29" s="1">
        <v>10023</v>
      </c>
      <c r="S29" s="2">
        <v>10023</v>
      </c>
      <c r="T29" s="1">
        <v>40003</v>
      </c>
      <c r="U29" s="1">
        <v>40013</v>
      </c>
      <c r="V29" s="1">
        <v>40043</v>
      </c>
    </row>
    <row r="30" spans="1:22" x14ac:dyDescent="0.3">
      <c r="A30" s="1">
        <f t="shared" si="0"/>
        <v>103018</v>
      </c>
      <c r="B30" s="1">
        <v>10000003</v>
      </c>
      <c r="C30" s="1" t="s">
        <v>419</v>
      </c>
      <c r="F30" s="1">
        <v>4</v>
      </c>
      <c r="G30" s="1">
        <v>2</v>
      </c>
      <c r="H30" s="1">
        <v>10014</v>
      </c>
      <c r="I30" s="1">
        <v>10014</v>
      </c>
      <c r="J30" s="2">
        <v>10024</v>
      </c>
      <c r="K30" s="1">
        <v>20004</v>
      </c>
      <c r="L30" s="1">
        <v>20004</v>
      </c>
      <c r="M30" s="1">
        <v>20014</v>
      </c>
      <c r="N30" s="1">
        <v>30004</v>
      </c>
      <c r="O30" s="1">
        <v>30014</v>
      </c>
      <c r="P30" s="1">
        <v>30004</v>
      </c>
      <c r="Q30" s="1">
        <v>10014</v>
      </c>
      <c r="R30" s="1">
        <v>10024</v>
      </c>
      <c r="S30" s="2">
        <v>10024</v>
      </c>
      <c r="T30" s="1">
        <v>40004</v>
      </c>
      <c r="U30" s="1">
        <v>40014</v>
      </c>
      <c r="V30" s="1">
        <v>40044</v>
      </c>
    </row>
    <row r="31" spans="1:22" x14ac:dyDescent="0.3">
      <c r="A31" s="1">
        <f t="shared" si="0"/>
        <v>103019</v>
      </c>
      <c r="B31" s="1">
        <v>10000003</v>
      </c>
      <c r="C31" s="1" t="s">
        <v>419</v>
      </c>
      <c r="F31" s="1">
        <v>5</v>
      </c>
      <c r="G31" s="1">
        <v>2</v>
      </c>
      <c r="H31" s="1">
        <v>10015</v>
      </c>
      <c r="I31" s="1">
        <v>10015</v>
      </c>
      <c r="J31" s="2">
        <v>10025</v>
      </c>
      <c r="K31" s="1">
        <v>20005</v>
      </c>
      <c r="L31" s="1">
        <v>20005</v>
      </c>
      <c r="M31" s="1">
        <v>20015</v>
      </c>
      <c r="N31" s="1">
        <v>30005</v>
      </c>
      <c r="O31" s="1">
        <v>30015</v>
      </c>
      <c r="P31" s="1">
        <v>30005</v>
      </c>
      <c r="Q31" s="1">
        <v>10015</v>
      </c>
      <c r="R31" s="1">
        <v>10025</v>
      </c>
      <c r="S31" s="2">
        <v>10025</v>
      </c>
      <c r="T31" s="1">
        <v>40005</v>
      </c>
      <c r="U31" s="1">
        <v>40015</v>
      </c>
      <c r="V31" s="1">
        <v>40045</v>
      </c>
    </row>
    <row r="32" spans="1:22" x14ac:dyDescent="0.3">
      <c r="A32" s="1">
        <f t="shared" si="0"/>
        <v>104010</v>
      </c>
      <c r="B32" s="1">
        <v>10000101</v>
      </c>
      <c r="C32" s="1" t="s">
        <v>420</v>
      </c>
      <c r="F32" s="1">
        <v>1</v>
      </c>
      <c r="G32" s="1">
        <v>1</v>
      </c>
      <c r="H32" s="1">
        <v>10021</v>
      </c>
      <c r="I32" s="1">
        <v>10021</v>
      </c>
      <c r="J32" s="1">
        <v>10021</v>
      </c>
      <c r="K32" s="1">
        <v>20001</v>
      </c>
      <c r="L32" s="1">
        <v>20001</v>
      </c>
      <c r="M32" s="1">
        <v>20011</v>
      </c>
      <c r="N32" s="1">
        <v>30001</v>
      </c>
      <c r="O32" s="1">
        <v>30011</v>
      </c>
      <c r="P32" s="1">
        <v>30001</v>
      </c>
      <c r="Q32" s="1">
        <v>10011</v>
      </c>
      <c r="R32" s="1">
        <v>10021</v>
      </c>
      <c r="S32" s="1">
        <v>10021</v>
      </c>
      <c r="T32" s="1">
        <v>40061</v>
      </c>
      <c r="U32" s="1">
        <v>40071</v>
      </c>
      <c r="V32" s="1">
        <v>40041</v>
      </c>
    </row>
    <row r="33" spans="1:22" x14ac:dyDescent="0.3">
      <c r="A33" s="1">
        <f t="shared" si="0"/>
        <v>104011</v>
      </c>
      <c r="B33" s="1">
        <v>10000101</v>
      </c>
      <c r="C33" s="1" t="s">
        <v>420</v>
      </c>
      <c r="F33" s="1">
        <v>2</v>
      </c>
      <c r="G33" s="1">
        <v>1</v>
      </c>
      <c r="H33" s="1">
        <v>10022</v>
      </c>
      <c r="I33" s="1">
        <v>10022</v>
      </c>
      <c r="J33" s="1">
        <v>10022</v>
      </c>
      <c r="K33" s="1">
        <v>20002</v>
      </c>
      <c r="L33" s="1">
        <v>20002</v>
      </c>
      <c r="M33" s="1">
        <v>20012</v>
      </c>
      <c r="N33" s="1">
        <v>30002</v>
      </c>
      <c r="O33" s="1">
        <v>30012</v>
      </c>
      <c r="P33" s="1">
        <v>30002</v>
      </c>
      <c r="Q33" s="1">
        <v>10012</v>
      </c>
      <c r="R33" s="1">
        <v>10022</v>
      </c>
      <c r="S33" s="1">
        <v>10022</v>
      </c>
      <c r="T33" s="1">
        <v>40062</v>
      </c>
      <c r="U33" s="1">
        <v>40072</v>
      </c>
      <c r="V33" s="1">
        <v>40042</v>
      </c>
    </row>
    <row r="34" spans="1:22" x14ac:dyDescent="0.3">
      <c r="A34" s="1">
        <f t="shared" si="0"/>
        <v>104012</v>
      </c>
      <c r="B34" s="1">
        <v>10000101</v>
      </c>
      <c r="C34" s="1" t="s">
        <v>420</v>
      </c>
      <c r="F34" s="1">
        <v>3</v>
      </c>
      <c r="G34" s="1">
        <v>1</v>
      </c>
      <c r="H34" s="1">
        <v>10023</v>
      </c>
      <c r="I34" s="1">
        <v>10023</v>
      </c>
      <c r="J34" s="1">
        <v>10023</v>
      </c>
      <c r="K34" s="1">
        <v>20003</v>
      </c>
      <c r="L34" s="1">
        <v>20003</v>
      </c>
      <c r="M34" s="1">
        <v>20013</v>
      </c>
      <c r="N34" s="1">
        <v>30003</v>
      </c>
      <c r="O34" s="1">
        <v>30013</v>
      </c>
      <c r="P34" s="1">
        <v>30003</v>
      </c>
      <c r="Q34" s="1">
        <v>10013</v>
      </c>
      <c r="R34" s="1">
        <v>10023</v>
      </c>
      <c r="S34" s="1">
        <v>10023</v>
      </c>
      <c r="T34" s="1">
        <v>40063</v>
      </c>
      <c r="U34" s="1">
        <v>40073</v>
      </c>
      <c r="V34" s="1">
        <v>40043</v>
      </c>
    </row>
    <row r="35" spans="1:22" x14ac:dyDescent="0.3">
      <c r="A35" s="1">
        <f t="shared" si="0"/>
        <v>104013</v>
      </c>
      <c r="B35" s="1">
        <v>10000101</v>
      </c>
      <c r="C35" s="1" t="s">
        <v>420</v>
      </c>
      <c r="F35" s="1">
        <v>4</v>
      </c>
      <c r="G35" s="1">
        <v>1</v>
      </c>
      <c r="H35" s="1">
        <v>10024</v>
      </c>
      <c r="I35" s="1">
        <v>10024</v>
      </c>
      <c r="J35" s="1">
        <v>10024</v>
      </c>
      <c r="K35" s="1">
        <v>20004</v>
      </c>
      <c r="L35" s="1">
        <v>20004</v>
      </c>
      <c r="M35" s="1">
        <v>20014</v>
      </c>
      <c r="N35" s="1">
        <v>30004</v>
      </c>
      <c r="O35" s="1">
        <v>30014</v>
      </c>
      <c r="P35" s="1">
        <v>30004</v>
      </c>
      <c r="Q35" s="1">
        <v>10014</v>
      </c>
      <c r="R35" s="1">
        <v>10024</v>
      </c>
      <c r="S35" s="1">
        <v>10024</v>
      </c>
      <c r="T35" s="1">
        <v>40064</v>
      </c>
      <c r="U35" s="1">
        <v>40074</v>
      </c>
      <c r="V35" s="1">
        <v>40044</v>
      </c>
    </row>
    <row r="36" spans="1:22" x14ac:dyDescent="0.3">
      <c r="A36" s="1">
        <f t="shared" si="0"/>
        <v>104014</v>
      </c>
      <c r="B36" s="1">
        <v>10000101</v>
      </c>
      <c r="C36" s="1" t="s">
        <v>420</v>
      </c>
      <c r="F36" s="1">
        <v>5</v>
      </c>
      <c r="G36" s="1">
        <v>1</v>
      </c>
      <c r="H36" s="1">
        <v>10025</v>
      </c>
      <c r="I36" s="1">
        <v>10025</v>
      </c>
      <c r="J36" s="1">
        <v>10025</v>
      </c>
      <c r="K36" s="1">
        <v>20005</v>
      </c>
      <c r="L36" s="1">
        <v>20005</v>
      </c>
      <c r="M36" s="1">
        <v>20015</v>
      </c>
      <c r="N36" s="1">
        <v>30005</v>
      </c>
      <c r="O36" s="1">
        <v>30015</v>
      </c>
      <c r="P36" s="1">
        <v>30005</v>
      </c>
      <c r="Q36" s="1">
        <v>10015</v>
      </c>
      <c r="R36" s="1">
        <v>10025</v>
      </c>
      <c r="S36" s="1">
        <v>10025</v>
      </c>
      <c r="T36" s="1">
        <v>40065</v>
      </c>
      <c r="U36" s="1">
        <v>40075</v>
      </c>
      <c r="V36" s="1">
        <v>40045</v>
      </c>
    </row>
    <row r="37" spans="1:22" x14ac:dyDescent="0.3">
      <c r="A37" s="1">
        <f t="shared" si="0"/>
        <v>104015</v>
      </c>
      <c r="B37" s="1">
        <v>10000101</v>
      </c>
      <c r="C37" s="1" t="s">
        <v>421</v>
      </c>
      <c r="F37" s="1">
        <v>1</v>
      </c>
      <c r="G37" s="1">
        <v>2</v>
      </c>
      <c r="H37" s="1">
        <v>10011</v>
      </c>
      <c r="I37" s="1">
        <v>10011</v>
      </c>
      <c r="J37" s="2">
        <v>10021</v>
      </c>
      <c r="K37" s="1">
        <v>20001</v>
      </c>
      <c r="L37" s="1">
        <v>20001</v>
      </c>
      <c r="M37" s="1">
        <v>20011</v>
      </c>
      <c r="N37" s="1">
        <v>30001</v>
      </c>
      <c r="O37" s="1">
        <v>30011</v>
      </c>
      <c r="P37" s="1">
        <v>30001</v>
      </c>
      <c r="Q37" s="1">
        <v>10011</v>
      </c>
      <c r="R37" s="1">
        <v>10011</v>
      </c>
      <c r="S37" s="1">
        <v>10021</v>
      </c>
      <c r="T37" s="1">
        <v>40041</v>
      </c>
      <c r="U37" s="1">
        <v>40061</v>
      </c>
      <c r="V37" s="1">
        <v>40081</v>
      </c>
    </row>
    <row r="38" spans="1:22" x14ac:dyDescent="0.3">
      <c r="A38" s="1">
        <f t="shared" si="0"/>
        <v>104016</v>
      </c>
      <c r="B38" s="1">
        <v>10000101</v>
      </c>
      <c r="C38" s="1" t="s">
        <v>421</v>
      </c>
      <c r="F38" s="1">
        <v>2</v>
      </c>
      <c r="G38" s="1">
        <v>2</v>
      </c>
      <c r="H38" s="1">
        <v>10012</v>
      </c>
      <c r="I38" s="1">
        <v>10012</v>
      </c>
      <c r="J38" s="2">
        <v>10022</v>
      </c>
      <c r="K38" s="1">
        <v>20002</v>
      </c>
      <c r="L38" s="1">
        <v>20002</v>
      </c>
      <c r="M38" s="1">
        <v>20012</v>
      </c>
      <c r="N38" s="1">
        <v>30002</v>
      </c>
      <c r="O38" s="1">
        <v>30012</v>
      </c>
      <c r="P38" s="1">
        <v>30002</v>
      </c>
      <c r="Q38" s="1">
        <v>10012</v>
      </c>
      <c r="R38" s="1">
        <v>10012</v>
      </c>
      <c r="S38" s="1">
        <v>10022</v>
      </c>
      <c r="T38" s="1">
        <v>40042</v>
      </c>
      <c r="U38" s="1">
        <v>40062</v>
      </c>
      <c r="V38" s="1">
        <v>40082</v>
      </c>
    </row>
    <row r="39" spans="1:22" x14ac:dyDescent="0.3">
      <c r="A39" s="1">
        <f t="shared" si="0"/>
        <v>104017</v>
      </c>
      <c r="B39" s="1">
        <v>10000101</v>
      </c>
      <c r="C39" s="1" t="s">
        <v>421</v>
      </c>
      <c r="F39" s="1">
        <v>3</v>
      </c>
      <c r="G39" s="1">
        <v>2</v>
      </c>
      <c r="H39" s="1">
        <v>10013</v>
      </c>
      <c r="I39" s="1">
        <v>10013</v>
      </c>
      <c r="J39" s="2">
        <v>10023</v>
      </c>
      <c r="K39" s="1">
        <v>20003</v>
      </c>
      <c r="L39" s="1">
        <v>20003</v>
      </c>
      <c r="M39" s="1">
        <v>20013</v>
      </c>
      <c r="N39" s="1">
        <v>30003</v>
      </c>
      <c r="O39" s="1">
        <v>30013</v>
      </c>
      <c r="P39" s="1">
        <v>30003</v>
      </c>
      <c r="Q39" s="1">
        <v>10013</v>
      </c>
      <c r="R39" s="1">
        <v>10013</v>
      </c>
      <c r="S39" s="1">
        <v>10023</v>
      </c>
      <c r="T39" s="1">
        <v>40043</v>
      </c>
      <c r="U39" s="1">
        <v>40063</v>
      </c>
      <c r="V39" s="1">
        <v>40083</v>
      </c>
    </row>
    <row r="40" spans="1:22" x14ac:dyDescent="0.3">
      <c r="A40" s="1">
        <f t="shared" si="0"/>
        <v>104018</v>
      </c>
      <c r="B40" s="1">
        <v>10000101</v>
      </c>
      <c r="C40" s="1" t="s">
        <v>421</v>
      </c>
      <c r="F40" s="1">
        <v>4</v>
      </c>
      <c r="G40" s="1">
        <v>2</v>
      </c>
      <c r="H40" s="1">
        <v>10014</v>
      </c>
      <c r="I40" s="1">
        <v>10014</v>
      </c>
      <c r="J40" s="2">
        <v>10024</v>
      </c>
      <c r="K40" s="1">
        <v>20004</v>
      </c>
      <c r="L40" s="1">
        <v>20004</v>
      </c>
      <c r="M40" s="1">
        <v>20014</v>
      </c>
      <c r="N40" s="1">
        <v>30004</v>
      </c>
      <c r="O40" s="1">
        <v>30014</v>
      </c>
      <c r="P40" s="1">
        <v>30004</v>
      </c>
      <c r="Q40" s="1">
        <v>10014</v>
      </c>
      <c r="R40" s="1">
        <v>10014</v>
      </c>
      <c r="S40" s="1">
        <v>10024</v>
      </c>
      <c r="T40" s="1">
        <v>40044</v>
      </c>
      <c r="U40" s="1">
        <v>40064</v>
      </c>
      <c r="V40" s="1">
        <v>40084</v>
      </c>
    </row>
    <row r="41" spans="1:22" x14ac:dyDescent="0.3">
      <c r="A41" s="1">
        <f t="shared" si="0"/>
        <v>104019</v>
      </c>
      <c r="B41" s="1">
        <v>10000101</v>
      </c>
      <c r="C41" s="1" t="s">
        <v>421</v>
      </c>
      <c r="F41" s="1">
        <v>5</v>
      </c>
      <c r="G41" s="1">
        <v>2</v>
      </c>
      <c r="H41" s="1">
        <v>10015</v>
      </c>
      <c r="I41" s="1">
        <v>10015</v>
      </c>
      <c r="J41" s="2">
        <v>10025</v>
      </c>
      <c r="K41" s="1">
        <v>20005</v>
      </c>
      <c r="L41" s="1">
        <v>20005</v>
      </c>
      <c r="M41" s="1">
        <v>20015</v>
      </c>
      <c r="N41" s="1">
        <v>30005</v>
      </c>
      <c r="O41" s="1">
        <v>30015</v>
      </c>
      <c r="P41" s="1">
        <v>30005</v>
      </c>
      <c r="Q41" s="1">
        <v>10015</v>
      </c>
      <c r="R41" s="1">
        <v>10015</v>
      </c>
      <c r="S41" s="1">
        <v>10025</v>
      </c>
      <c r="T41" s="1">
        <v>40045</v>
      </c>
      <c r="U41" s="1">
        <v>40065</v>
      </c>
      <c r="V41" s="1">
        <v>40085</v>
      </c>
    </row>
    <row r="42" spans="1:22" x14ac:dyDescent="0.3">
      <c r="A42" s="1">
        <f t="shared" si="0"/>
        <v>105010</v>
      </c>
      <c r="B42" s="1">
        <v>10000102</v>
      </c>
      <c r="C42" s="1" t="s">
        <v>419</v>
      </c>
      <c r="F42" s="1">
        <v>1</v>
      </c>
      <c r="G42" s="1">
        <v>1</v>
      </c>
      <c r="H42" s="1">
        <v>10001</v>
      </c>
      <c r="I42" s="1">
        <v>10001</v>
      </c>
      <c r="J42" s="2">
        <v>10021</v>
      </c>
      <c r="K42" s="1">
        <v>20001</v>
      </c>
      <c r="L42" s="1">
        <v>20001</v>
      </c>
      <c r="M42" s="1">
        <v>20011</v>
      </c>
      <c r="N42" s="1">
        <v>30001</v>
      </c>
      <c r="O42" s="1">
        <v>30011</v>
      </c>
      <c r="P42" s="1">
        <v>30001</v>
      </c>
      <c r="Q42" s="1">
        <v>30001</v>
      </c>
      <c r="R42" s="1">
        <v>20011</v>
      </c>
      <c r="S42" s="1">
        <v>20001</v>
      </c>
      <c r="T42" s="1">
        <v>40051</v>
      </c>
      <c r="U42" s="1">
        <v>40021</v>
      </c>
      <c r="V42" s="1">
        <v>40081</v>
      </c>
    </row>
    <row r="43" spans="1:22" x14ac:dyDescent="0.3">
      <c r="A43" s="1">
        <f t="shared" si="0"/>
        <v>105011</v>
      </c>
      <c r="B43" s="1">
        <v>10000102</v>
      </c>
      <c r="C43" s="1" t="s">
        <v>419</v>
      </c>
      <c r="F43" s="1">
        <v>2</v>
      </c>
      <c r="G43" s="1">
        <v>1</v>
      </c>
      <c r="H43" s="1">
        <v>10002</v>
      </c>
      <c r="I43" s="1">
        <v>10002</v>
      </c>
      <c r="J43" s="2">
        <v>10022</v>
      </c>
      <c r="K43" s="1">
        <v>20002</v>
      </c>
      <c r="L43" s="1">
        <v>20002</v>
      </c>
      <c r="M43" s="1">
        <v>20012</v>
      </c>
      <c r="N43" s="1">
        <v>30002</v>
      </c>
      <c r="O43" s="1">
        <v>30012</v>
      </c>
      <c r="P43" s="1">
        <v>30002</v>
      </c>
      <c r="Q43" s="1">
        <v>30002</v>
      </c>
      <c r="R43" s="1">
        <v>20012</v>
      </c>
      <c r="S43" s="1">
        <v>20002</v>
      </c>
      <c r="T43" s="1">
        <v>40052</v>
      </c>
      <c r="U43" s="1">
        <v>40022</v>
      </c>
      <c r="V43" s="1">
        <v>40082</v>
      </c>
    </row>
    <row r="44" spans="1:22" x14ac:dyDescent="0.3">
      <c r="A44" s="1">
        <f t="shared" si="0"/>
        <v>105012</v>
      </c>
      <c r="B44" s="1">
        <v>10000102</v>
      </c>
      <c r="C44" s="1" t="s">
        <v>419</v>
      </c>
      <c r="F44" s="1">
        <v>3</v>
      </c>
      <c r="G44" s="1">
        <v>1</v>
      </c>
      <c r="H44" s="1">
        <v>10003</v>
      </c>
      <c r="I44" s="1">
        <v>10003</v>
      </c>
      <c r="J44" s="2">
        <v>10023</v>
      </c>
      <c r="K44" s="1">
        <v>20003</v>
      </c>
      <c r="L44" s="1">
        <v>20003</v>
      </c>
      <c r="M44" s="1">
        <v>20013</v>
      </c>
      <c r="N44" s="1">
        <v>30003</v>
      </c>
      <c r="O44" s="1">
        <v>30013</v>
      </c>
      <c r="P44" s="1">
        <v>30003</v>
      </c>
      <c r="Q44" s="1">
        <v>30003</v>
      </c>
      <c r="R44" s="1">
        <v>20013</v>
      </c>
      <c r="S44" s="1">
        <v>20003</v>
      </c>
      <c r="T44" s="1">
        <v>40053</v>
      </c>
      <c r="U44" s="1">
        <v>40023</v>
      </c>
      <c r="V44" s="1">
        <v>40083</v>
      </c>
    </row>
    <row r="45" spans="1:22" x14ac:dyDescent="0.3">
      <c r="A45" s="1">
        <f t="shared" si="0"/>
        <v>105013</v>
      </c>
      <c r="B45" s="1">
        <v>10000102</v>
      </c>
      <c r="C45" s="1" t="s">
        <v>419</v>
      </c>
      <c r="F45" s="1">
        <v>4</v>
      </c>
      <c r="G45" s="1">
        <v>1</v>
      </c>
      <c r="H45" s="1">
        <v>10004</v>
      </c>
      <c r="I45" s="1">
        <v>10004</v>
      </c>
      <c r="J45" s="2">
        <v>10024</v>
      </c>
      <c r="K45" s="1">
        <v>20004</v>
      </c>
      <c r="L45" s="1">
        <v>20004</v>
      </c>
      <c r="M45" s="1">
        <v>20014</v>
      </c>
      <c r="N45" s="1">
        <v>30004</v>
      </c>
      <c r="O45" s="1">
        <v>30014</v>
      </c>
      <c r="P45" s="1">
        <v>30004</v>
      </c>
      <c r="Q45" s="1">
        <v>30004</v>
      </c>
      <c r="R45" s="1">
        <v>20014</v>
      </c>
      <c r="S45" s="1">
        <v>20004</v>
      </c>
      <c r="T45" s="1">
        <v>40054</v>
      </c>
      <c r="U45" s="1">
        <v>40024</v>
      </c>
      <c r="V45" s="1">
        <v>40084</v>
      </c>
    </row>
    <row r="46" spans="1:22" x14ac:dyDescent="0.3">
      <c r="A46" s="1">
        <f t="shared" si="0"/>
        <v>105014</v>
      </c>
      <c r="B46" s="1">
        <v>10000102</v>
      </c>
      <c r="C46" s="1" t="s">
        <v>419</v>
      </c>
      <c r="F46" s="1">
        <v>5</v>
      </c>
      <c r="G46" s="1">
        <v>1</v>
      </c>
      <c r="H46" s="1">
        <v>10005</v>
      </c>
      <c r="I46" s="1">
        <v>10005</v>
      </c>
      <c r="J46" s="2">
        <v>10025</v>
      </c>
      <c r="K46" s="1">
        <v>20005</v>
      </c>
      <c r="L46" s="1">
        <v>20005</v>
      </c>
      <c r="M46" s="1">
        <v>20015</v>
      </c>
      <c r="N46" s="1">
        <v>30005</v>
      </c>
      <c r="O46" s="1">
        <v>30015</v>
      </c>
      <c r="P46" s="1">
        <v>30005</v>
      </c>
      <c r="Q46" s="1">
        <v>30005</v>
      </c>
      <c r="R46" s="1">
        <v>20015</v>
      </c>
      <c r="S46" s="1">
        <v>20005</v>
      </c>
      <c r="T46" s="1">
        <v>40055</v>
      </c>
      <c r="U46" s="1">
        <v>40025</v>
      </c>
      <c r="V46" s="1">
        <v>40085</v>
      </c>
    </row>
    <row r="47" spans="1:22" x14ac:dyDescent="0.3">
      <c r="A47" s="1">
        <f t="shared" si="0"/>
        <v>105015</v>
      </c>
      <c r="B47" s="1">
        <v>10000102</v>
      </c>
      <c r="C47" s="1" t="s">
        <v>424</v>
      </c>
      <c r="F47" s="1">
        <v>1</v>
      </c>
      <c r="G47" s="1">
        <v>2</v>
      </c>
      <c r="H47" s="1">
        <v>10001</v>
      </c>
      <c r="I47" s="1">
        <v>10001</v>
      </c>
      <c r="J47" s="1">
        <v>10001</v>
      </c>
      <c r="K47" s="1">
        <v>20001</v>
      </c>
      <c r="L47" s="1">
        <v>20001</v>
      </c>
      <c r="M47" s="1">
        <v>20011</v>
      </c>
      <c r="N47" s="1">
        <v>30001</v>
      </c>
      <c r="O47" s="1">
        <v>30001</v>
      </c>
      <c r="P47" s="1">
        <v>30001</v>
      </c>
      <c r="Q47" s="1">
        <v>20001</v>
      </c>
      <c r="R47" s="1">
        <v>20011</v>
      </c>
      <c r="S47" s="1">
        <v>30001</v>
      </c>
      <c r="T47" s="1">
        <v>40001</v>
      </c>
      <c r="U47" s="1">
        <v>40011</v>
      </c>
      <c r="V47" s="1">
        <v>40081</v>
      </c>
    </row>
    <row r="48" spans="1:22" x14ac:dyDescent="0.3">
      <c r="A48" s="1">
        <f t="shared" si="0"/>
        <v>105016</v>
      </c>
      <c r="B48" s="1">
        <v>10000102</v>
      </c>
      <c r="C48" s="1" t="s">
        <v>424</v>
      </c>
      <c r="F48" s="1">
        <v>2</v>
      </c>
      <c r="G48" s="1">
        <v>2</v>
      </c>
      <c r="H48" s="1">
        <v>10002</v>
      </c>
      <c r="I48" s="1">
        <v>10002</v>
      </c>
      <c r="J48" s="1">
        <v>10001</v>
      </c>
      <c r="K48" s="1">
        <v>20002</v>
      </c>
      <c r="L48" s="1">
        <v>20002</v>
      </c>
      <c r="M48" s="1">
        <v>20012</v>
      </c>
      <c r="N48" s="1">
        <v>30002</v>
      </c>
      <c r="O48" s="1">
        <v>30002</v>
      </c>
      <c r="P48" s="1">
        <v>30002</v>
      </c>
      <c r="Q48" s="1">
        <v>20002</v>
      </c>
      <c r="R48" s="1">
        <v>20012</v>
      </c>
      <c r="S48" s="1">
        <v>30002</v>
      </c>
      <c r="T48" s="1">
        <v>40002</v>
      </c>
      <c r="U48" s="1">
        <v>40012</v>
      </c>
      <c r="V48" s="1">
        <v>40082</v>
      </c>
    </row>
    <row r="49" spans="1:22" x14ac:dyDescent="0.3">
      <c r="A49" s="1">
        <f t="shared" si="0"/>
        <v>105017</v>
      </c>
      <c r="B49" s="1">
        <v>10000102</v>
      </c>
      <c r="C49" s="1" t="s">
        <v>424</v>
      </c>
      <c r="F49" s="1">
        <v>3</v>
      </c>
      <c r="G49" s="1">
        <v>2</v>
      </c>
      <c r="H49" s="1">
        <v>10003</v>
      </c>
      <c r="I49" s="1">
        <v>10003</v>
      </c>
      <c r="J49" s="1">
        <v>10001</v>
      </c>
      <c r="K49" s="1">
        <v>20003</v>
      </c>
      <c r="L49" s="1">
        <v>20003</v>
      </c>
      <c r="M49" s="1">
        <v>20013</v>
      </c>
      <c r="N49" s="1">
        <v>30003</v>
      </c>
      <c r="O49" s="1">
        <v>30003</v>
      </c>
      <c r="P49" s="1">
        <v>30003</v>
      </c>
      <c r="Q49" s="1">
        <v>20003</v>
      </c>
      <c r="R49" s="1">
        <v>20013</v>
      </c>
      <c r="S49" s="1">
        <v>30003</v>
      </c>
      <c r="T49" s="1">
        <v>40003</v>
      </c>
      <c r="U49" s="1">
        <v>40013</v>
      </c>
      <c r="V49" s="1">
        <v>40083</v>
      </c>
    </row>
    <row r="50" spans="1:22" x14ac:dyDescent="0.3">
      <c r="A50" s="1">
        <f t="shared" si="0"/>
        <v>105018</v>
      </c>
      <c r="B50" s="1">
        <v>10000102</v>
      </c>
      <c r="C50" s="1" t="s">
        <v>424</v>
      </c>
      <c r="F50" s="1">
        <v>4</v>
      </c>
      <c r="G50" s="1">
        <v>2</v>
      </c>
      <c r="H50" s="1">
        <v>10004</v>
      </c>
      <c r="I50" s="1">
        <v>10004</v>
      </c>
      <c r="J50" s="1">
        <v>10001</v>
      </c>
      <c r="K50" s="1">
        <v>20004</v>
      </c>
      <c r="L50" s="1">
        <v>20004</v>
      </c>
      <c r="M50" s="1">
        <v>20014</v>
      </c>
      <c r="N50" s="1">
        <v>30004</v>
      </c>
      <c r="O50" s="1">
        <v>30004</v>
      </c>
      <c r="P50" s="1">
        <v>30004</v>
      </c>
      <c r="Q50" s="1">
        <v>20004</v>
      </c>
      <c r="R50" s="1">
        <v>20014</v>
      </c>
      <c r="S50" s="1">
        <v>30004</v>
      </c>
      <c r="T50" s="1">
        <v>40004</v>
      </c>
      <c r="U50" s="1">
        <v>40014</v>
      </c>
      <c r="V50" s="1">
        <v>40084</v>
      </c>
    </row>
    <row r="51" spans="1:22" x14ac:dyDescent="0.3">
      <c r="A51" s="1">
        <f t="shared" si="0"/>
        <v>105019</v>
      </c>
      <c r="B51" s="1">
        <v>10000102</v>
      </c>
      <c r="C51" s="1" t="s">
        <v>424</v>
      </c>
      <c r="F51" s="1">
        <v>5</v>
      </c>
      <c r="G51" s="1">
        <v>2</v>
      </c>
      <c r="H51" s="1">
        <v>10005</v>
      </c>
      <c r="I51" s="1">
        <v>10005</v>
      </c>
      <c r="J51" s="1">
        <v>10001</v>
      </c>
      <c r="K51" s="1">
        <v>20005</v>
      </c>
      <c r="L51" s="1">
        <v>20005</v>
      </c>
      <c r="M51" s="1">
        <v>20015</v>
      </c>
      <c r="N51" s="1">
        <v>30005</v>
      </c>
      <c r="O51" s="1">
        <v>30005</v>
      </c>
      <c r="P51" s="1">
        <v>30005</v>
      </c>
      <c r="Q51" s="1">
        <v>20005</v>
      </c>
      <c r="R51" s="1">
        <v>20015</v>
      </c>
      <c r="S51" s="1">
        <v>30005</v>
      </c>
      <c r="T51" s="1">
        <v>40005</v>
      </c>
      <c r="U51" s="1">
        <v>40015</v>
      </c>
      <c r="V51" s="1">
        <v>40085</v>
      </c>
    </row>
    <row r="52" spans="1:22" x14ac:dyDescent="0.3">
      <c r="A52" s="1">
        <f t="shared" si="0"/>
        <v>106010</v>
      </c>
      <c r="B52" s="1">
        <v>10000201</v>
      </c>
      <c r="C52" s="1" t="s">
        <v>419</v>
      </c>
      <c r="F52" s="1">
        <v>1</v>
      </c>
      <c r="G52" s="1">
        <v>1</v>
      </c>
      <c r="H52" s="1">
        <v>10001</v>
      </c>
      <c r="I52" s="1">
        <v>10001</v>
      </c>
      <c r="J52" s="2">
        <v>10021</v>
      </c>
      <c r="K52" s="1">
        <v>20001</v>
      </c>
      <c r="L52" s="1">
        <v>20001</v>
      </c>
      <c r="M52" s="1">
        <v>20011</v>
      </c>
      <c r="N52" s="1">
        <v>30001</v>
      </c>
      <c r="O52" s="1">
        <v>30011</v>
      </c>
      <c r="P52" s="1">
        <v>30001</v>
      </c>
      <c r="Q52" s="1">
        <v>30001</v>
      </c>
      <c r="R52" s="1">
        <v>20011</v>
      </c>
      <c r="S52" s="1">
        <v>20001</v>
      </c>
      <c r="T52" s="1">
        <v>40001</v>
      </c>
      <c r="U52" s="1">
        <v>40011</v>
      </c>
      <c r="V52" s="1">
        <v>40081</v>
      </c>
    </row>
    <row r="53" spans="1:22" x14ac:dyDescent="0.3">
      <c r="A53" s="1">
        <f t="shared" si="0"/>
        <v>106011</v>
      </c>
      <c r="B53" s="1">
        <v>10000201</v>
      </c>
      <c r="C53" s="1" t="s">
        <v>419</v>
      </c>
      <c r="F53" s="1">
        <v>2</v>
      </c>
      <c r="G53" s="1">
        <v>1</v>
      </c>
      <c r="H53" s="1">
        <v>10002</v>
      </c>
      <c r="I53" s="1">
        <v>10002</v>
      </c>
      <c r="J53" s="2">
        <v>10022</v>
      </c>
      <c r="K53" s="1">
        <v>20002</v>
      </c>
      <c r="L53" s="1">
        <v>20002</v>
      </c>
      <c r="M53" s="1">
        <v>20012</v>
      </c>
      <c r="N53" s="1">
        <v>30002</v>
      </c>
      <c r="O53" s="1">
        <v>30012</v>
      </c>
      <c r="P53" s="1">
        <v>30002</v>
      </c>
      <c r="Q53" s="1">
        <v>30002</v>
      </c>
      <c r="R53" s="1">
        <v>20012</v>
      </c>
      <c r="S53" s="1">
        <v>20002</v>
      </c>
      <c r="T53" s="1">
        <v>40002</v>
      </c>
      <c r="U53" s="1">
        <v>40012</v>
      </c>
      <c r="V53" s="1">
        <v>40082</v>
      </c>
    </row>
    <row r="54" spans="1:22" x14ac:dyDescent="0.3">
      <c r="A54" s="1">
        <f t="shared" si="0"/>
        <v>106012</v>
      </c>
      <c r="B54" s="1">
        <v>10000201</v>
      </c>
      <c r="C54" s="1" t="s">
        <v>419</v>
      </c>
      <c r="F54" s="1">
        <v>3</v>
      </c>
      <c r="G54" s="1">
        <v>1</v>
      </c>
      <c r="H54" s="1">
        <v>10003</v>
      </c>
      <c r="I54" s="1">
        <v>10003</v>
      </c>
      <c r="J54" s="2">
        <v>10023</v>
      </c>
      <c r="K54" s="1">
        <v>20003</v>
      </c>
      <c r="L54" s="1">
        <v>20003</v>
      </c>
      <c r="M54" s="1">
        <v>20013</v>
      </c>
      <c r="N54" s="1">
        <v>30003</v>
      </c>
      <c r="O54" s="1">
        <v>30013</v>
      </c>
      <c r="P54" s="1">
        <v>30003</v>
      </c>
      <c r="Q54" s="1">
        <v>30003</v>
      </c>
      <c r="R54" s="1">
        <v>20013</v>
      </c>
      <c r="S54" s="1">
        <v>20003</v>
      </c>
      <c r="T54" s="1">
        <v>40003</v>
      </c>
      <c r="U54" s="1">
        <v>40013</v>
      </c>
      <c r="V54" s="1">
        <v>40083</v>
      </c>
    </row>
    <row r="55" spans="1:22" x14ac:dyDescent="0.3">
      <c r="A55" s="1">
        <f t="shared" si="0"/>
        <v>106013</v>
      </c>
      <c r="B55" s="1">
        <v>10000201</v>
      </c>
      <c r="C55" s="1" t="s">
        <v>419</v>
      </c>
      <c r="F55" s="1">
        <v>4</v>
      </c>
      <c r="G55" s="1">
        <v>1</v>
      </c>
      <c r="H55" s="1">
        <v>10004</v>
      </c>
      <c r="I55" s="1">
        <v>10004</v>
      </c>
      <c r="J55" s="2">
        <v>10024</v>
      </c>
      <c r="K55" s="1">
        <v>20004</v>
      </c>
      <c r="L55" s="1">
        <v>20004</v>
      </c>
      <c r="M55" s="1">
        <v>20014</v>
      </c>
      <c r="N55" s="1">
        <v>30004</v>
      </c>
      <c r="O55" s="1">
        <v>30014</v>
      </c>
      <c r="P55" s="1">
        <v>30004</v>
      </c>
      <c r="Q55" s="1">
        <v>30004</v>
      </c>
      <c r="R55" s="1">
        <v>20014</v>
      </c>
      <c r="S55" s="1">
        <v>20004</v>
      </c>
      <c r="T55" s="1">
        <v>40004</v>
      </c>
      <c r="U55" s="1">
        <v>40014</v>
      </c>
      <c r="V55" s="1">
        <v>40084</v>
      </c>
    </row>
    <row r="56" spans="1:22" x14ac:dyDescent="0.3">
      <c r="A56" s="1">
        <f t="shared" si="0"/>
        <v>106014</v>
      </c>
      <c r="B56" s="1">
        <v>10000201</v>
      </c>
      <c r="C56" s="1" t="s">
        <v>419</v>
      </c>
      <c r="F56" s="1">
        <v>5</v>
      </c>
      <c r="G56" s="1">
        <v>1</v>
      </c>
      <c r="H56" s="1">
        <v>10005</v>
      </c>
      <c r="I56" s="1">
        <v>10005</v>
      </c>
      <c r="J56" s="2">
        <v>10025</v>
      </c>
      <c r="K56" s="1">
        <v>20005</v>
      </c>
      <c r="L56" s="1">
        <v>20005</v>
      </c>
      <c r="M56" s="1">
        <v>20015</v>
      </c>
      <c r="N56" s="1">
        <v>30005</v>
      </c>
      <c r="O56" s="1">
        <v>30015</v>
      </c>
      <c r="P56" s="1">
        <v>30005</v>
      </c>
      <c r="Q56" s="1">
        <v>30005</v>
      </c>
      <c r="R56" s="1">
        <v>20015</v>
      </c>
      <c r="S56" s="1">
        <v>20005</v>
      </c>
      <c r="T56" s="1">
        <v>40005</v>
      </c>
      <c r="U56" s="1">
        <v>40015</v>
      </c>
      <c r="V56" s="1">
        <v>40085</v>
      </c>
    </row>
    <row r="57" spans="1:22" x14ac:dyDescent="0.3">
      <c r="A57" s="1">
        <f t="shared" si="0"/>
        <v>106015</v>
      </c>
      <c r="B57" s="1">
        <v>10000201</v>
      </c>
      <c r="C57" s="1" t="s">
        <v>416</v>
      </c>
      <c r="F57" s="1">
        <v>1</v>
      </c>
      <c r="G57" s="1">
        <v>2</v>
      </c>
      <c r="H57" s="1">
        <v>10001</v>
      </c>
      <c r="I57" s="1">
        <v>10001</v>
      </c>
      <c r="J57" s="1">
        <v>10001</v>
      </c>
      <c r="K57" s="1">
        <v>20001</v>
      </c>
      <c r="L57" s="1">
        <v>20001</v>
      </c>
      <c r="M57" s="1">
        <v>20011</v>
      </c>
      <c r="N57" s="1">
        <v>30001</v>
      </c>
      <c r="O57" s="1">
        <v>30011</v>
      </c>
      <c r="P57" s="1">
        <v>30001</v>
      </c>
      <c r="Q57" s="1">
        <v>10001</v>
      </c>
      <c r="R57" s="1">
        <v>10001</v>
      </c>
      <c r="S57" s="1">
        <v>10001</v>
      </c>
      <c r="T57" s="1">
        <v>40051</v>
      </c>
      <c r="U57" s="1">
        <v>40021</v>
      </c>
      <c r="V57" s="1">
        <v>40081</v>
      </c>
    </row>
    <row r="58" spans="1:22" x14ac:dyDescent="0.3">
      <c r="A58" s="1">
        <f t="shared" si="0"/>
        <v>106016</v>
      </c>
      <c r="B58" s="1">
        <v>10000201</v>
      </c>
      <c r="C58" s="1" t="s">
        <v>416</v>
      </c>
      <c r="F58" s="1">
        <v>2</v>
      </c>
      <c r="G58" s="1">
        <v>2</v>
      </c>
      <c r="H58" s="1">
        <v>10002</v>
      </c>
      <c r="I58" s="1">
        <v>10002</v>
      </c>
      <c r="J58" s="1">
        <v>10002</v>
      </c>
      <c r="K58" s="1">
        <v>20002</v>
      </c>
      <c r="L58" s="1">
        <v>20002</v>
      </c>
      <c r="M58" s="1">
        <v>20012</v>
      </c>
      <c r="N58" s="1">
        <v>30002</v>
      </c>
      <c r="O58" s="1">
        <v>30012</v>
      </c>
      <c r="P58" s="1">
        <v>30002</v>
      </c>
      <c r="Q58" s="1">
        <v>10002</v>
      </c>
      <c r="R58" s="1">
        <v>10002</v>
      </c>
      <c r="S58" s="1">
        <v>10002</v>
      </c>
      <c r="T58" s="1">
        <v>40052</v>
      </c>
      <c r="U58" s="1">
        <v>40022</v>
      </c>
      <c r="V58" s="1">
        <v>40082</v>
      </c>
    </row>
    <row r="59" spans="1:22" x14ac:dyDescent="0.3">
      <c r="A59" s="1">
        <f t="shared" si="0"/>
        <v>106017</v>
      </c>
      <c r="B59" s="1">
        <v>10000201</v>
      </c>
      <c r="C59" s="1" t="s">
        <v>416</v>
      </c>
      <c r="F59" s="1">
        <v>3</v>
      </c>
      <c r="G59" s="1">
        <v>2</v>
      </c>
      <c r="H59" s="1">
        <v>10003</v>
      </c>
      <c r="I59" s="1">
        <v>10003</v>
      </c>
      <c r="J59" s="1">
        <v>10003</v>
      </c>
      <c r="K59" s="1">
        <v>20003</v>
      </c>
      <c r="L59" s="1">
        <v>20003</v>
      </c>
      <c r="M59" s="1">
        <v>20013</v>
      </c>
      <c r="N59" s="1">
        <v>30003</v>
      </c>
      <c r="O59" s="1">
        <v>30013</v>
      </c>
      <c r="P59" s="1">
        <v>30003</v>
      </c>
      <c r="Q59" s="1">
        <v>10003</v>
      </c>
      <c r="R59" s="1">
        <v>10003</v>
      </c>
      <c r="S59" s="1">
        <v>10003</v>
      </c>
      <c r="T59" s="1">
        <v>40053</v>
      </c>
      <c r="U59" s="1">
        <v>40023</v>
      </c>
      <c r="V59" s="1">
        <v>40083</v>
      </c>
    </row>
    <row r="60" spans="1:22" x14ac:dyDescent="0.3">
      <c r="A60" s="1">
        <f t="shared" si="0"/>
        <v>106018</v>
      </c>
      <c r="B60" s="1">
        <v>10000201</v>
      </c>
      <c r="C60" s="1" t="s">
        <v>416</v>
      </c>
      <c r="F60" s="1">
        <v>4</v>
      </c>
      <c r="G60" s="1">
        <v>2</v>
      </c>
      <c r="H60" s="1">
        <v>10004</v>
      </c>
      <c r="I60" s="1">
        <v>10004</v>
      </c>
      <c r="J60" s="1">
        <v>10004</v>
      </c>
      <c r="K60" s="1">
        <v>20004</v>
      </c>
      <c r="L60" s="1">
        <v>20004</v>
      </c>
      <c r="M60" s="1">
        <v>20014</v>
      </c>
      <c r="N60" s="1">
        <v>30004</v>
      </c>
      <c r="O60" s="1">
        <v>30014</v>
      </c>
      <c r="P60" s="1">
        <v>30004</v>
      </c>
      <c r="Q60" s="1">
        <v>10004</v>
      </c>
      <c r="R60" s="1">
        <v>10004</v>
      </c>
      <c r="S60" s="1">
        <v>10004</v>
      </c>
      <c r="T60" s="1">
        <v>40054</v>
      </c>
      <c r="U60" s="1">
        <v>40024</v>
      </c>
      <c r="V60" s="1">
        <v>40084</v>
      </c>
    </row>
    <row r="61" spans="1:22" x14ac:dyDescent="0.3">
      <c r="A61" s="1">
        <f t="shared" si="0"/>
        <v>106019</v>
      </c>
      <c r="B61" s="1">
        <v>10000201</v>
      </c>
      <c r="C61" s="1" t="s">
        <v>416</v>
      </c>
      <c r="F61" s="1">
        <v>5</v>
      </c>
      <c r="G61" s="1">
        <v>2</v>
      </c>
      <c r="H61" s="1">
        <v>10005</v>
      </c>
      <c r="I61" s="1">
        <v>10005</v>
      </c>
      <c r="J61" s="1">
        <v>10005</v>
      </c>
      <c r="K61" s="1">
        <v>20005</v>
      </c>
      <c r="L61" s="1">
        <v>20005</v>
      </c>
      <c r="M61" s="1">
        <v>20015</v>
      </c>
      <c r="N61" s="1">
        <v>30005</v>
      </c>
      <c r="O61" s="1">
        <v>30015</v>
      </c>
      <c r="P61" s="1">
        <v>30005</v>
      </c>
      <c r="Q61" s="1">
        <v>10005</v>
      </c>
      <c r="R61" s="1">
        <v>10005</v>
      </c>
      <c r="S61" s="1">
        <v>10005</v>
      </c>
      <c r="T61" s="1">
        <v>40055</v>
      </c>
      <c r="U61" s="1">
        <v>40025</v>
      </c>
      <c r="V61" s="1">
        <v>40085</v>
      </c>
    </row>
    <row r="62" spans="1:22" x14ac:dyDescent="0.3">
      <c r="A62" s="1">
        <f t="shared" si="0"/>
        <v>107010</v>
      </c>
      <c r="B62" s="1">
        <v>10000202</v>
      </c>
      <c r="C62" s="1" t="s">
        <v>420</v>
      </c>
      <c r="F62" s="1">
        <v>1</v>
      </c>
      <c r="G62" s="1">
        <v>1</v>
      </c>
      <c r="H62" s="1">
        <v>10021</v>
      </c>
      <c r="I62" s="1">
        <v>10021</v>
      </c>
      <c r="J62" s="1">
        <v>10021</v>
      </c>
      <c r="K62" s="1">
        <v>20001</v>
      </c>
      <c r="L62" s="1">
        <v>20001</v>
      </c>
      <c r="M62" s="1">
        <v>20011</v>
      </c>
      <c r="N62" s="1">
        <v>30001</v>
      </c>
      <c r="O62" s="1">
        <v>30011</v>
      </c>
      <c r="P62" s="1">
        <v>30001</v>
      </c>
      <c r="Q62" s="1">
        <v>10011</v>
      </c>
      <c r="R62" s="1">
        <v>10021</v>
      </c>
      <c r="S62" s="1">
        <v>10021</v>
      </c>
      <c r="T62" s="1">
        <v>40061</v>
      </c>
      <c r="U62" s="1">
        <v>40071</v>
      </c>
      <c r="V62" s="1">
        <v>40041</v>
      </c>
    </row>
    <row r="63" spans="1:22" x14ac:dyDescent="0.3">
      <c r="A63" s="1">
        <f t="shared" si="0"/>
        <v>107011</v>
      </c>
      <c r="B63" s="1">
        <v>10000202</v>
      </c>
      <c r="C63" s="1" t="s">
        <v>420</v>
      </c>
      <c r="F63" s="1">
        <v>2</v>
      </c>
      <c r="G63" s="1">
        <v>1</v>
      </c>
      <c r="H63" s="1">
        <v>10022</v>
      </c>
      <c r="I63" s="1">
        <v>10022</v>
      </c>
      <c r="J63" s="1">
        <v>10022</v>
      </c>
      <c r="K63" s="1">
        <v>20002</v>
      </c>
      <c r="L63" s="1">
        <v>20002</v>
      </c>
      <c r="M63" s="1">
        <v>20012</v>
      </c>
      <c r="N63" s="1">
        <v>30002</v>
      </c>
      <c r="O63" s="1">
        <v>30012</v>
      </c>
      <c r="P63" s="1">
        <v>30002</v>
      </c>
      <c r="Q63" s="1">
        <v>10012</v>
      </c>
      <c r="R63" s="1">
        <v>10022</v>
      </c>
      <c r="S63" s="1">
        <v>10022</v>
      </c>
      <c r="T63" s="1">
        <v>40062</v>
      </c>
      <c r="U63" s="1">
        <v>40072</v>
      </c>
      <c r="V63" s="1">
        <v>40042</v>
      </c>
    </row>
    <row r="64" spans="1:22" x14ac:dyDescent="0.3">
      <c r="A64" s="1">
        <f t="shared" si="0"/>
        <v>107012</v>
      </c>
      <c r="B64" s="1">
        <v>10000202</v>
      </c>
      <c r="C64" s="1" t="s">
        <v>420</v>
      </c>
      <c r="F64" s="1">
        <v>3</v>
      </c>
      <c r="G64" s="1">
        <v>1</v>
      </c>
      <c r="H64" s="1">
        <v>10023</v>
      </c>
      <c r="I64" s="1">
        <v>10023</v>
      </c>
      <c r="J64" s="1">
        <v>10023</v>
      </c>
      <c r="K64" s="1">
        <v>20003</v>
      </c>
      <c r="L64" s="1">
        <v>20003</v>
      </c>
      <c r="M64" s="1">
        <v>20013</v>
      </c>
      <c r="N64" s="1">
        <v>30003</v>
      </c>
      <c r="O64" s="1">
        <v>30013</v>
      </c>
      <c r="P64" s="1">
        <v>30003</v>
      </c>
      <c r="Q64" s="1">
        <v>10013</v>
      </c>
      <c r="R64" s="1">
        <v>10023</v>
      </c>
      <c r="S64" s="1">
        <v>10023</v>
      </c>
      <c r="T64" s="1">
        <v>40063</v>
      </c>
      <c r="U64" s="1">
        <v>40073</v>
      </c>
      <c r="V64" s="1">
        <v>40043</v>
      </c>
    </row>
    <row r="65" spans="1:22" x14ac:dyDescent="0.3">
      <c r="A65" s="1">
        <f t="shared" si="0"/>
        <v>107013</v>
      </c>
      <c r="B65" s="1">
        <v>10000202</v>
      </c>
      <c r="C65" s="1" t="s">
        <v>420</v>
      </c>
      <c r="F65" s="1">
        <v>4</v>
      </c>
      <c r="G65" s="1">
        <v>1</v>
      </c>
      <c r="H65" s="1">
        <v>10024</v>
      </c>
      <c r="I65" s="1">
        <v>10024</v>
      </c>
      <c r="J65" s="1">
        <v>10024</v>
      </c>
      <c r="K65" s="1">
        <v>20004</v>
      </c>
      <c r="L65" s="1">
        <v>20004</v>
      </c>
      <c r="M65" s="1">
        <v>20014</v>
      </c>
      <c r="N65" s="1">
        <v>30004</v>
      </c>
      <c r="O65" s="1">
        <v>30014</v>
      </c>
      <c r="P65" s="1">
        <v>30004</v>
      </c>
      <c r="Q65" s="1">
        <v>10014</v>
      </c>
      <c r="R65" s="1">
        <v>10024</v>
      </c>
      <c r="S65" s="1">
        <v>10024</v>
      </c>
      <c r="T65" s="1">
        <v>40064</v>
      </c>
      <c r="U65" s="1">
        <v>40074</v>
      </c>
      <c r="V65" s="1">
        <v>40044</v>
      </c>
    </row>
    <row r="66" spans="1:22" x14ac:dyDescent="0.3">
      <c r="A66" s="1">
        <f t="shared" si="0"/>
        <v>107014</v>
      </c>
      <c r="B66" s="1">
        <v>10000202</v>
      </c>
      <c r="C66" s="1" t="s">
        <v>420</v>
      </c>
      <c r="F66" s="1">
        <v>5</v>
      </c>
      <c r="G66" s="1">
        <v>1</v>
      </c>
      <c r="H66" s="1">
        <v>10025</v>
      </c>
      <c r="I66" s="1">
        <v>10025</v>
      </c>
      <c r="J66" s="1">
        <v>10025</v>
      </c>
      <c r="K66" s="1">
        <v>20005</v>
      </c>
      <c r="L66" s="1">
        <v>20005</v>
      </c>
      <c r="M66" s="1">
        <v>20015</v>
      </c>
      <c r="N66" s="1">
        <v>30005</v>
      </c>
      <c r="O66" s="1">
        <v>30015</v>
      </c>
      <c r="P66" s="1">
        <v>30005</v>
      </c>
      <c r="Q66" s="1">
        <v>10015</v>
      </c>
      <c r="R66" s="1">
        <v>10025</v>
      </c>
      <c r="S66" s="1">
        <v>10025</v>
      </c>
      <c r="T66" s="1">
        <v>40065</v>
      </c>
      <c r="U66" s="1">
        <v>40075</v>
      </c>
      <c r="V66" s="1">
        <v>40045</v>
      </c>
    </row>
    <row r="67" spans="1:22" x14ac:dyDescent="0.3">
      <c r="A67" s="1">
        <f t="shared" si="0"/>
        <v>107015</v>
      </c>
      <c r="B67" s="1">
        <v>10000202</v>
      </c>
      <c r="C67" s="1" t="s">
        <v>421</v>
      </c>
      <c r="F67" s="1">
        <v>1</v>
      </c>
      <c r="G67" s="1">
        <v>2</v>
      </c>
      <c r="H67" s="1">
        <v>10011</v>
      </c>
      <c r="I67" s="1">
        <v>10011</v>
      </c>
      <c r="J67" s="2">
        <v>10021</v>
      </c>
      <c r="K67" s="1">
        <v>20001</v>
      </c>
      <c r="L67" s="1">
        <v>20001</v>
      </c>
      <c r="M67" s="1">
        <v>20011</v>
      </c>
      <c r="N67" s="1">
        <v>30001</v>
      </c>
      <c r="O67" s="1">
        <v>30011</v>
      </c>
      <c r="P67" s="1">
        <v>30001</v>
      </c>
      <c r="Q67" s="1">
        <v>10011</v>
      </c>
      <c r="R67" s="1">
        <v>10011</v>
      </c>
      <c r="S67" s="1">
        <v>10021</v>
      </c>
      <c r="T67" s="1">
        <v>40041</v>
      </c>
      <c r="U67" s="1">
        <v>40061</v>
      </c>
      <c r="V67" s="1">
        <v>40081</v>
      </c>
    </row>
    <row r="68" spans="1:22" x14ac:dyDescent="0.3">
      <c r="A68" s="1">
        <f t="shared" si="0"/>
        <v>107016</v>
      </c>
      <c r="B68" s="1">
        <v>10000202</v>
      </c>
      <c r="C68" s="1" t="s">
        <v>421</v>
      </c>
      <c r="F68" s="1">
        <v>2</v>
      </c>
      <c r="G68" s="1">
        <v>2</v>
      </c>
      <c r="H68" s="1">
        <v>10012</v>
      </c>
      <c r="I68" s="1">
        <v>10012</v>
      </c>
      <c r="J68" s="2">
        <v>10022</v>
      </c>
      <c r="K68" s="1">
        <v>20002</v>
      </c>
      <c r="L68" s="1">
        <v>20002</v>
      </c>
      <c r="M68" s="1">
        <v>20012</v>
      </c>
      <c r="N68" s="1">
        <v>30002</v>
      </c>
      <c r="O68" s="1">
        <v>30012</v>
      </c>
      <c r="P68" s="1">
        <v>30002</v>
      </c>
      <c r="Q68" s="1">
        <v>10012</v>
      </c>
      <c r="R68" s="1">
        <v>10012</v>
      </c>
      <c r="S68" s="1">
        <v>10022</v>
      </c>
      <c r="T68" s="1">
        <v>40042</v>
      </c>
      <c r="U68" s="1">
        <v>40062</v>
      </c>
      <c r="V68" s="1">
        <v>40082</v>
      </c>
    </row>
    <row r="69" spans="1:22" x14ac:dyDescent="0.3">
      <c r="A69" s="1">
        <f t="shared" si="0"/>
        <v>107017</v>
      </c>
      <c r="B69" s="1">
        <v>10000202</v>
      </c>
      <c r="C69" s="1" t="s">
        <v>421</v>
      </c>
      <c r="F69" s="1">
        <v>3</v>
      </c>
      <c r="G69" s="1">
        <v>2</v>
      </c>
      <c r="H69" s="1">
        <v>10013</v>
      </c>
      <c r="I69" s="1">
        <v>10013</v>
      </c>
      <c r="J69" s="2">
        <v>10023</v>
      </c>
      <c r="K69" s="1">
        <v>20003</v>
      </c>
      <c r="L69" s="1">
        <v>20003</v>
      </c>
      <c r="M69" s="1">
        <v>20013</v>
      </c>
      <c r="N69" s="1">
        <v>30003</v>
      </c>
      <c r="O69" s="1">
        <v>30013</v>
      </c>
      <c r="P69" s="1">
        <v>30003</v>
      </c>
      <c r="Q69" s="1">
        <v>10013</v>
      </c>
      <c r="R69" s="1">
        <v>10013</v>
      </c>
      <c r="S69" s="1">
        <v>10023</v>
      </c>
      <c r="T69" s="1">
        <v>40043</v>
      </c>
      <c r="U69" s="1">
        <v>40063</v>
      </c>
      <c r="V69" s="1">
        <v>40083</v>
      </c>
    </row>
    <row r="70" spans="1:22" x14ac:dyDescent="0.3">
      <c r="A70" s="1">
        <f t="shared" si="0"/>
        <v>107018</v>
      </c>
      <c r="B70" s="1">
        <v>10000202</v>
      </c>
      <c r="C70" s="1" t="s">
        <v>421</v>
      </c>
      <c r="F70" s="1">
        <v>4</v>
      </c>
      <c r="G70" s="1">
        <v>2</v>
      </c>
      <c r="H70" s="1">
        <v>10014</v>
      </c>
      <c r="I70" s="1">
        <v>10014</v>
      </c>
      <c r="J70" s="2">
        <v>10024</v>
      </c>
      <c r="K70" s="1">
        <v>20004</v>
      </c>
      <c r="L70" s="1">
        <v>20004</v>
      </c>
      <c r="M70" s="1">
        <v>20014</v>
      </c>
      <c r="N70" s="1">
        <v>30004</v>
      </c>
      <c r="O70" s="1">
        <v>30014</v>
      </c>
      <c r="P70" s="1">
        <v>30004</v>
      </c>
      <c r="Q70" s="1">
        <v>10014</v>
      </c>
      <c r="R70" s="1">
        <v>10014</v>
      </c>
      <c r="S70" s="1">
        <v>10024</v>
      </c>
      <c r="T70" s="1">
        <v>40044</v>
      </c>
      <c r="U70" s="1">
        <v>40064</v>
      </c>
      <c r="V70" s="1">
        <v>40084</v>
      </c>
    </row>
    <row r="71" spans="1:22" x14ac:dyDescent="0.3">
      <c r="A71" s="1">
        <f t="shared" si="0"/>
        <v>107019</v>
      </c>
      <c r="B71" s="1">
        <v>10000202</v>
      </c>
      <c r="C71" s="1" t="s">
        <v>421</v>
      </c>
      <c r="F71" s="1">
        <v>5</v>
      </c>
      <c r="G71" s="1">
        <v>2</v>
      </c>
      <c r="H71" s="1">
        <v>10015</v>
      </c>
      <c r="I71" s="1">
        <v>10015</v>
      </c>
      <c r="J71" s="2">
        <v>10025</v>
      </c>
      <c r="K71" s="1">
        <v>20005</v>
      </c>
      <c r="L71" s="1">
        <v>20005</v>
      </c>
      <c r="M71" s="1">
        <v>20015</v>
      </c>
      <c r="N71" s="1">
        <v>30005</v>
      </c>
      <c r="O71" s="1">
        <v>30015</v>
      </c>
      <c r="P71" s="1">
        <v>30005</v>
      </c>
      <c r="Q71" s="1">
        <v>10015</v>
      </c>
      <c r="R71" s="1">
        <v>10015</v>
      </c>
      <c r="S71" s="1">
        <v>10025</v>
      </c>
      <c r="T71" s="1">
        <v>40045</v>
      </c>
      <c r="U71" s="1">
        <v>40065</v>
      </c>
      <c r="V71" s="1">
        <v>40085</v>
      </c>
    </row>
    <row r="72" spans="1:22" x14ac:dyDescent="0.3">
      <c r="A72" s="1">
        <f t="shared" si="0"/>
        <v>108010</v>
      </c>
      <c r="B72" s="1">
        <v>10000203</v>
      </c>
      <c r="C72" s="1" t="s">
        <v>419</v>
      </c>
      <c r="F72" s="1">
        <v>1</v>
      </c>
      <c r="G72" s="1">
        <v>1</v>
      </c>
      <c r="H72" s="1">
        <v>10001</v>
      </c>
      <c r="I72" s="1">
        <v>10001</v>
      </c>
      <c r="J72" s="2">
        <v>10021</v>
      </c>
      <c r="K72" s="1">
        <v>20001</v>
      </c>
      <c r="L72" s="1">
        <v>20001</v>
      </c>
      <c r="M72" s="1">
        <v>20011</v>
      </c>
      <c r="N72" s="1">
        <v>30001</v>
      </c>
      <c r="O72" s="1">
        <v>30011</v>
      </c>
      <c r="P72" s="1">
        <v>30001</v>
      </c>
      <c r="Q72" s="1">
        <v>30001</v>
      </c>
      <c r="R72" s="1">
        <v>20011</v>
      </c>
      <c r="S72" s="1">
        <v>20001</v>
      </c>
      <c r="T72" s="1">
        <v>40001</v>
      </c>
      <c r="U72" s="1">
        <v>40011</v>
      </c>
      <c r="V72" s="1">
        <v>40081</v>
      </c>
    </row>
    <row r="73" spans="1:22" x14ac:dyDescent="0.3">
      <c r="A73" s="1">
        <f t="shared" si="0"/>
        <v>108011</v>
      </c>
      <c r="B73" s="1">
        <v>10000203</v>
      </c>
      <c r="C73" s="1" t="s">
        <v>419</v>
      </c>
      <c r="F73" s="1">
        <v>2</v>
      </c>
      <c r="G73" s="1">
        <v>1</v>
      </c>
      <c r="H73" s="1">
        <v>10002</v>
      </c>
      <c r="I73" s="1">
        <v>10002</v>
      </c>
      <c r="J73" s="2">
        <v>10022</v>
      </c>
      <c r="K73" s="1">
        <v>20002</v>
      </c>
      <c r="L73" s="1">
        <v>20002</v>
      </c>
      <c r="M73" s="1">
        <v>20012</v>
      </c>
      <c r="N73" s="1">
        <v>30002</v>
      </c>
      <c r="O73" s="1">
        <v>30012</v>
      </c>
      <c r="P73" s="1">
        <v>30002</v>
      </c>
      <c r="Q73" s="1">
        <v>30002</v>
      </c>
      <c r="R73" s="1">
        <v>20012</v>
      </c>
      <c r="S73" s="1">
        <v>20002</v>
      </c>
      <c r="T73" s="1">
        <v>40002</v>
      </c>
      <c r="U73" s="1">
        <v>40012</v>
      </c>
      <c r="V73" s="1">
        <v>40082</v>
      </c>
    </row>
    <row r="74" spans="1:22" x14ac:dyDescent="0.3">
      <c r="A74" s="1">
        <f t="shared" si="0"/>
        <v>108012</v>
      </c>
      <c r="B74" s="1">
        <v>10000203</v>
      </c>
      <c r="C74" s="1" t="s">
        <v>419</v>
      </c>
      <c r="F74" s="1">
        <v>3</v>
      </c>
      <c r="G74" s="1">
        <v>1</v>
      </c>
      <c r="H74" s="1">
        <v>10003</v>
      </c>
      <c r="I74" s="1">
        <v>10003</v>
      </c>
      <c r="J74" s="2">
        <v>10023</v>
      </c>
      <c r="K74" s="1">
        <v>20003</v>
      </c>
      <c r="L74" s="1">
        <v>20003</v>
      </c>
      <c r="M74" s="1">
        <v>20013</v>
      </c>
      <c r="N74" s="1">
        <v>30003</v>
      </c>
      <c r="O74" s="1">
        <v>30013</v>
      </c>
      <c r="P74" s="1">
        <v>30003</v>
      </c>
      <c r="Q74" s="1">
        <v>30003</v>
      </c>
      <c r="R74" s="1">
        <v>20013</v>
      </c>
      <c r="S74" s="1">
        <v>20003</v>
      </c>
      <c r="T74" s="1">
        <v>40003</v>
      </c>
      <c r="U74" s="1">
        <v>40013</v>
      </c>
      <c r="V74" s="1">
        <v>40083</v>
      </c>
    </row>
    <row r="75" spans="1:22" x14ac:dyDescent="0.3">
      <c r="A75" s="1">
        <f t="shared" si="0"/>
        <v>108013</v>
      </c>
      <c r="B75" s="1">
        <v>10000203</v>
      </c>
      <c r="C75" s="1" t="s">
        <v>419</v>
      </c>
      <c r="F75" s="1">
        <v>4</v>
      </c>
      <c r="G75" s="1">
        <v>1</v>
      </c>
      <c r="H75" s="1">
        <v>10004</v>
      </c>
      <c r="I75" s="1">
        <v>10004</v>
      </c>
      <c r="J75" s="2">
        <v>10024</v>
      </c>
      <c r="K75" s="1">
        <v>20004</v>
      </c>
      <c r="L75" s="1">
        <v>20004</v>
      </c>
      <c r="M75" s="1">
        <v>20014</v>
      </c>
      <c r="N75" s="1">
        <v>30004</v>
      </c>
      <c r="O75" s="1">
        <v>30014</v>
      </c>
      <c r="P75" s="1">
        <v>30004</v>
      </c>
      <c r="Q75" s="1">
        <v>30004</v>
      </c>
      <c r="R75" s="1">
        <v>20014</v>
      </c>
      <c r="S75" s="1">
        <v>20004</v>
      </c>
      <c r="T75" s="1">
        <v>40004</v>
      </c>
      <c r="U75" s="1">
        <v>40014</v>
      </c>
      <c r="V75" s="1">
        <v>40084</v>
      </c>
    </row>
    <row r="76" spans="1:22" x14ac:dyDescent="0.3">
      <c r="A76" s="1">
        <f t="shared" si="0"/>
        <v>108014</v>
      </c>
      <c r="B76" s="1">
        <v>10000203</v>
      </c>
      <c r="C76" s="1" t="s">
        <v>419</v>
      </c>
      <c r="F76" s="1">
        <v>5</v>
      </c>
      <c r="G76" s="1">
        <v>1</v>
      </c>
      <c r="H76" s="1">
        <v>10005</v>
      </c>
      <c r="I76" s="1">
        <v>10005</v>
      </c>
      <c r="J76" s="2">
        <v>10025</v>
      </c>
      <c r="K76" s="1">
        <v>20005</v>
      </c>
      <c r="L76" s="1">
        <v>20005</v>
      </c>
      <c r="M76" s="1">
        <v>20015</v>
      </c>
      <c r="N76" s="1">
        <v>30005</v>
      </c>
      <c r="O76" s="1">
        <v>30015</v>
      </c>
      <c r="P76" s="1">
        <v>30005</v>
      </c>
      <c r="Q76" s="1">
        <v>30005</v>
      </c>
      <c r="R76" s="1">
        <v>20015</v>
      </c>
      <c r="S76" s="1">
        <v>20005</v>
      </c>
      <c r="T76" s="1">
        <v>40005</v>
      </c>
      <c r="U76" s="1">
        <v>40015</v>
      </c>
      <c r="V76" s="1">
        <v>40085</v>
      </c>
    </row>
    <row r="77" spans="1:22" x14ac:dyDescent="0.3">
      <c r="A77" s="1">
        <f t="shared" ref="A77:A140" si="1">A67+1000</f>
        <v>108015</v>
      </c>
      <c r="B77" s="1">
        <v>10000203</v>
      </c>
      <c r="C77" s="1" t="s">
        <v>416</v>
      </c>
      <c r="F77" s="1">
        <v>1</v>
      </c>
      <c r="G77" s="1">
        <v>2</v>
      </c>
      <c r="H77" s="1">
        <v>10001</v>
      </c>
      <c r="I77" s="1">
        <v>10001</v>
      </c>
      <c r="J77" s="1">
        <v>10001</v>
      </c>
      <c r="K77" s="1">
        <v>20001</v>
      </c>
      <c r="L77" s="1">
        <v>20001</v>
      </c>
      <c r="M77" s="1">
        <v>20011</v>
      </c>
      <c r="N77" s="1">
        <v>30001</v>
      </c>
      <c r="O77" s="1">
        <v>30011</v>
      </c>
      <c r="P77" s="1">
        <v>30001</v>
      </c>
      <c r="Q77" s="1">
        <v>10001</v>
      </c>
      <c r="R77" s="1">
        <v>10001</v>
      </c>
      <c r="S77" s="1">
        <v>10001</v>
      </c>
      <c r="T77" s="1">
        <v>40051</v>
      </c>
      <c r="U77" s="1">
        <v>40021</v>
      </c>
      <c r="V77" s="1">
        <v>40081</v>
      </c>
    </row>
    <row r="78" spans="1:22" x14ac:dyDescent="0.3">
      <c r="A78" s="1">
        <f t="shared" si="1"/>
        <v>108016</v>
      </c>
      <c r="B78" s="1">
        <v>10000203</v>
      </c>
      <c r="C78" s="1" t="s">
        <v>416</v>
      </c>
      <c r="F78" s="1">
        <v>2</v>
      </c>
      <c r="G78" s="1">
        <v>2</v>
      </c>
      <c r="H78" s="1">
        <v>10002</v>
      </c>
      <c r="I78" s="1">
        <v>10002</v>
      </c>
      <c r="J78" s="1">
        <v>10002</v>
      </c>
      <c r="K78" s="1">
        <v>20002</v>
      </c>
      <c r="L78" s="1">
        <v>20002</v>
      </c>
      <c r="M78" s="1">
        <v>20012</v>
      </c>
      <c r="N78" s="1">
        <v>30002</v>
      </c>
      <c r="O78" s="1">
        <v>30012</v>
      </c>
      <c r="P78" s="1">
        <v>30002</v>
      </c>
      <c r="Q78" s="1">
        <v>10002</v>
      </c>
      <c r="R78" s="1">
        <v>10002</v>
      </c>
      <c r="S78" s="1">
        <v>10002</v>
      </c>
      <c r="T78" s="1">
        <v>40052</v>
      </c>
      <c r="U78" s="1">
        <v>40022</v>
      </c>
      <c r="V78" s="1">
        <v>40082</v>
      </c>
    </row>
    <row r="79" spans="1:22" x14ac:dyDescent="0.3">
      <c r="A79" s="1">
        <f t="shared" si="1"/>
        <v>108017</v>
      </c>
      <c r="B79" s="1">
        <v>10000203</v>
      </c>
      <c r="C79" s="1" t="s">
        <v>416</v>
      </c>
      <c r="F79" s="1">
        <v>3</v>
      </c>
      <c r="G79" s="1">
        <v>2</v>
      </c>
      <c r="H79" s="1">
        <v>10003</v>
      </c>
      <c r="I79" s="1">
        <v>10003</v>
      </c>
      <c r="J79" s="1">
        <v>10003</v>
      </c>
      <c r="K79" s="1">
        <v>20003</v>
      </c>
      <c r="L79" s="1">
        <v>20003</v>
      </c>
      <c r="M79" s="1">
        <v>20013</v>
      </c>
      <c r="N79" s="1">
        <v>30003</v>
      </c>
      <c r="O79" s="1">
        <v>30013</v>
      </c>
      <c r="P79" s="1">
        <v>30003</v>
      </c>
      <c r="Q79" s="1">
        <v>10003</v>
      </c>
      <c r="R79" s="1">
        <v>10003</v>
      </c>
      <c r="S79" s="1">
        <v>10003</v>
      </c>
      <c r="T79" s="1">
        <v>40053</v>
      </c>
      <c r="U79" s="1">
        <v>40023</v>
      </c>
      <c r="V79" s="1">
        <v>40083</v>
      </c>
    </row>
    <row r="80" spans="1:22" x14ac:dyDescent="0.3">
      <c r="A80" s="1">
        <f t="shared" si="1"/>
        <v>108018</v>
      </c>
      <c r="B80" s="1">
        <v>10000203</v>
      </c>
      <c r="C80" s="1" t="s">
        <v>416</v>
      </c>
      <c r="F80" s="1">
        <v>4</v>
      </c>
      <c r="G80" s="1">
        <v>2</v>
      </c>
      <c r="H80" s="1">
        <v>10004</v>
      </c>
      <c r="I80" s="1">
        <v>10004</v>
      </c>
      <c r="J80" s="1">
        <v>10004</v>
      </c>
      <c r="K80" s="1">
        <v>20004</v>
      </c>
      <c r="L80" s="1">
        <v>20004</v>
      </c>
      <c r="M80" s="1">
        <v>20014</v>
      </c>
      <c r="N80" s="1">
        <v>30004</v>
      </c>
      <c r="O80" s="1">
        <v>30014</v>
      </c>
      <c r="P80" s="1">
        <v>30004</v>
      </c>
      <c r="Q80" s="1">
        <v>10004</v>
      </c>
      <c r="R80" s="1">
        <v>10004</v>
      </c>
      <c r="S80" s="1">
        <v>10004</v>
      </c>
      <c r="T80" s="1">
        <v>40054</v>
      </c>
      <c r="U80" s="1">
        <v>40024</v>
      </c>
      <c r="V80" s="1">
        <v>40084</v>
      </c>
    </row>
    <row r="81" spans="1:22" x14ac:dyDescent="0.3">
      <c r="A81" s="1">
        <f t="shared" si="1"/>
        <v>108019</v>
      </c>
      <c r="B81" s="1">
        <v>10000203</v>
      </c>
      <c r="C81" s="1" t="s">
        <v>416</v>
      </c>
      <c r="F81" s="1">
        <v>5</v>
      </c>
      <c r="G81" s="1">
        <v>2</v>
      </c>
      <c r="H81" s="1">
        <v>10005</v>
      </c>
      <c r="I81" s="1">
        <v>10005</v>
      </c>
      <c r="J81" s="1">
        <v>10005</v>
      </c>
      <c r="K81" s="1">
        <v>20005</v>
      </c>
      <c r="L81" s="1">
        <v>20005</v>
      </c>
      <c r="M81" s="1">
        <v>20015</v>
      </c>
      <c r="N81" s="1">
        <v>30005</v>
      </c>
      <c r="O81" s="1">
        <v>30015</v>
      </c>
      <c r="P81" s="1">
        <v>30005</v>
      </c>
      <c r="Q81" s="1">
        <v>10005</v>
      </c>
      <c r="R81" s="1">
        <v>10005</v>
      </c>
      <c r="S81" s="1">
        <v>10005</v>
      </c>
      <c r="T81" s="1">
        <v>40055</v>
      </c>
      <c r="U81" s="1">
        <v>40025</v>
      </c>
      <c r="V81" s="1">
        <v>40085</v>
      </c>
    </row>
    <row r="82" spans="1:22" x14ac:dyDescent="0.3">
      <c r="A82" s="1">
        <f t="shared" si="1"/>
        <v>109010</v>
      </c>
      <c r="B82" s="1">
        <v>10000301</v>
      </c>
      <c r="C82" s="1" t="s">
        <v>419</v>
      </c>
      <c r="F82" s="1">
        <v>1</v>
      </c>
      <c r="G82" s="1">
        <v>1</v>
      </c>
      <c r="H82" s="1">
        <v>10001</v>
      </c>
      <c r="I82" s="1">
        <v>10001</v>
      </c>
      <c r="J82" s="2">
        <v>10021</v>
      </c>
      <c r="K82" s="1">
        <v>20001</v>
      </c>
      <c r="L82" s="1">
        <v>20001</v>
      </c>
      <c r="M82" s="1">
        <v>20011</v>
      </c>
      <c r="N82" s="1">
        <v>30001</v>
      </c>
      <c r="O82" s="1">
        <v>30011</v>
      </c>
      <c r="P82" s="1">
        <v>30001</v>
      </c>
      <c r="Q82" s="1">
        <v>30001</v>
      </c>
      <c r="R82" s="1">
        <v>20011</v>
      </c>
      <c r="S82" s="1">
        <v>20001</v>
      </c>
      <c r="T82" s="1">
        <v>40001</v>
      </c>
      <c r="U82" s="1">
        <v>40011</v>
      </c>
      <c r="V82" s="1">
        <v>40081</v>
      </c>
    </row>
    <row r="83" spans="1:22" x14ac:dyDescent="0.3">
      <c r="A83" s="1">
        <f t="shared" si="1"/>
        <v>109011</v>
      </c>
      <c r="B83" s="1">
        <v>10000301</v>
      </c>
      <c r="C83" s="1" t="s">
        <v>419</v>
      </c>
      <c r="F83" s="1">
        <v>2</v>
      </c>
      <c r="G83" s="1">
        <v>1</v>
      </c>
      <c r="H83" s="1">
        <v>10002</v>
      </c>
      <c r="I83" s="1">
        <v>10002</v>
      </c>
      <c r="J83" s="2">
        <v>10022</v>
      </c>
      <c r="K83" s="1">
        <v>20002</v>
      </c>
      <c r="L83" s="1">
        <v>20002</v>
      </c>
      <c r="M83" s="1">
        <v>20012</v>
      </c>
      <c r="N83" s="1">
        <v>30002</v>
      </c>
      <c r="O83" s="1">
        <v>30012</v>
      </c>
      <c r="P83" s="1">
        <v>30002</v>
      </c>
      <c r="Q83" s="1">
        <v>30002</v>
      </c>
      <c r="R83" s="1">
        <v>20012</v>
      </c>
      <c r="S83" s="1">
        <v>20002</v>
      </c>
      <c r="T83" s="1">
        <v>40002</v>
      </c>
      <c r="U83" s="1">
        <v>40012</v>
      </c>
      <c r="V83" s="1">
        <v>40082</v>
      </c>
    </row>
    <row r="84" spans="1:22" x14ac:dyDescent="0.3">
      <c r="A84" s="1">
        <f t="shared" si="1"/>
        <v>109012</v>
      </c>
      <c r="B84" s="1">
        <v>10000301</v>
      </c>
      <c r="C84" s="1" t="s">
        <v>419</v>
      </c>
      <c r="F84" s="1">
        <v>3</v>
      </c>
      <c r="G84" s="1">
        <v>1</v>
      </c>
      <c r="H84" s="1">
        <v>10003</v>
      </c>
      <c r="I84" s="1">
        <v>10003</v>
      </c>
      <c r="J84" s="2">
        <v>10023</v>
      </c>
      <c r="K84" s="1">
        <v>20003</v>
      </c>
      <c r="L84" s="1">
        <v>20003</v>
      </c>
      <c r="M84" s="1">
        <v>20013</v>
      </c>
      <c r="N84" s="1">
        <v>30003</v>
      </c>
      <c r="O84" s="1">
        <v>30013</v>
      </c>
      <c r="P84" s="1">
        <v>30003</v>
      </c>
      <c r="Q84" s="1">
        <v>30003</v>
      </c>
      <c r="R84" s="1">
        <v>20013</v>
      </c>
      <c r="S84" s="1">
        <v>20003</v>
      </c>
      <c r="T84" s="1">
        <v>40003</v>
      </c>
      <c r="U84" s="1">
        <v>40013</v>
      </c>
      <c r="V84" s="1">
        <v>40083</v>
      </c>
    </row>
    <row r="85" spans="1:22" x14ac:dyDescent="0.3">
      <c r="A85" s="1">
        <f t="shared" si="1"/>
        <v>109013</v>
      </c>
      <c r="B85" s="1">
        <v>10000301</v>
      </c>
      <c r="C85" s="1" t="s">
        <v>419</v>
      </c>
      <c r="F85" s="1">
        <v>4</v>
      </c>
      <c r="G85" s="1">
        <v>1</v>
      </c>
      <c r="H85" s="1">
        <v>10004</v>
      </c>
      <c r="I85" s="1">
        <v>10004</v>
      </c>
      <c r="J85" s="2">
        <v>10024</v>
      </c>
      <c r="K85" s="1">
        <v>20004</v>
      </c>
      <c r="L85" s="1">
        <v>20004</v>
      </c>
      <c r="M85" s="1">
        <v>20014</v>
      </c>
      <c r="N85" s="1">
        <v>30004</v>
      </c>
      <c r="O85" s="1">
        <v>30014</v>
      </c>
      <c r="P85" s="1">
        <v>30004</v>
      </c>
      <c r="Q85" s="1">
        <v>30004</v>
      </c>
      <c r="R85" s="1">
        <v>20014</v>
      </c>
      <c r="S85" s="1">
        <v>20004</v>
      </c>
      <c r="T85" s="1">
        <v>40004</v>
      </c>
      <c r="U85" s="1">
        <v>40014</v>
      </c>
      <c r="V85" s="1">
        <v>40084</v>
      </c>
    </row>
    <row r="86" spans="1:22" x14ac:dyDescent="0.3">
      <c r="A86" s="1">
        <f t="shared" si="1"/>
        <v>109014</v>
      </c>
      <c r="B86" s="1">
        <v>10000301</v>
      </c>
      <c r="C86" s="1" t="s">
        <v>419</v>
      </c>
      <c r="F86" s="1">
        <v>5</v>
      </c>
      <c r="G86" s="1">
        <v>1</v>
      </c>
      <c r="H86" s="1">
        <v>10005</v>
      </c>
      <c r="I86" s="1">
        <v>10005</v>
      </c>
      <c r="J86" s="2">
        <v>10025</v>
      </c>
      <c r="K86" s="1">
        <v>20005</v>
      </c>
      <c r="L86" s="1">
        <v>20005</v>
      </c>
      <c r="M86" s="1">
        <v>20015</v>
      </c>
      <c r="N86" s="1">
        <v>30005</v>
      </c>
      <c r="O86" s="1">
        <v>30015</v>
      </c>
      <c r="P86" s="1">
        <v>30005</v>
      </c>
      <c r="Q86" s="1">
        <v>30005</v>
      </c>
      <c r="R86" s="1">
        <v>20015</v>
      </c>
      <c r="S86" s="1">
        <v>20005</v>
      </c>
      <c r="T86" s="1">
        <v>40005</v>
      </c>
      <c r="U86" s="1">
        <v>40015</v>
      </c>
      <c r="V86" s="1">
        <v>40085</v>
      </c>
    </row>
    <row r="87" spans="1:22" x14ac:dyDescent="0.3">
      <c r="A87" s="1">
        <f t="shared" si="1"/>
        <v>109015</v>
      </c>
      <c r="B87" s="1">
        <v>10000301</v>
      </c>
      <c r="C87" s="1" t="s">
        <v>416</v>
      </c>
      <c r="F87" s="1">
        <v>1</v>
      </c>
      <c r="G87" s="1">
        <v>2</v>
      </c>
      <c r="H87" s="1">
        <v>10001</v>
      </c>
      <c r="I87" s="1">
        <v>10001</v>
      </c>
      <c r="J87" s="1">
        <v>10001</v>
      </c>
      <c r="K87" s="1">
        <v>20001</v>
      </c>
      <c r="L87" s="1">
        <v>20001</v>
      </c>
      <c r="M87" s="1">
        <v>20011</v>
      </c>
      <c r="N87" s="1">
        <v>30001</v>
      </c>
      <c r="O87" s="1">
        <v>30011</v>
      </c>
      <c r="P87" s="1">
        <v>30001</v>
      </c>
      <c r="Q87" s="1">
        <v>10001</v>
      </c>
      <c r="R87" s="1">
        <v>10001</v>
      </c>
      <c r="S87" s="1">
        <v>10001</v>
      </c>
      <c r="T87" s="1">
        <v>40051</v>
      </c>
      <c r="U87" s="1">
        <v>40021</v>
      </c>
      <c r="V87" s="1">
        <v>40081</v>
      </c>
    </row>
    <row r="88" spans="1:22" x14ac:dyDescent="0.3">
      <c r="A88" s="1">
        <f t="shared" si="1"/>
        <v>109016</v>
      </c>
      <c r="B88" s="1">
        <v>10000301</v>
      </c>
      <c r="C88" s="1" t="s">
        <v>416</v>
      </c>
      <c r="F88" s="1">
        <v>2</v>
      </c>
      <c r="G88" s="1">
        <v>2</v>
      </c>
      <c r="H88" s="1">
        <v>10002</v>
      </c>
      <c r="I88" s="1">
        <v>10002</v>
      </c>
      <c r="J88" s="1">
        <v>10002</v>
      </c>
      <c r="K88" s="1">
        <v>20002</v>
      </c>
      <c r="L88" s="1">
        <v>20002</v>
      </c>
      <c r="M88" s="1">
        <v>20012</v>
      </c>
      <c r="N88" s="1">
        <v>30002</v>
      </c>
      <c r="O88" s="1">
        <v>30012</v>
      </c>
      <c r="P88" s="1">
        <v>30002</v>
      </c>
      <c r="Q88" s="1">
        <v>10002</v>
      </c>
      <c r="R88" s="1">
        <v>10002</v>
      </c>
      <c r="S88" s="1">
        <v>10002</v>
      </c>
      <c r="T88" s="1">
        <v>40052</v>
      </c>
      <c r="U88" s="1">
        <v>40022</v>
      </c>
      <c r="V88" s="1">
        <v>40082</v>
      </c>
    </row>
    <row r="89" spans="1:22" x14ac:dyDescent="0.3">
      <c r="A89" s="1">
        <f t="shared" si="1"/>
        <v>109017</v>
      </c>
      <c r="B89" s="1">
        <v>10000301</v>
      </c>
      <c r="C89" s="1" t="s">
        <v>416</v>
      </c>
      <c r="F89" s="1">
        <v>3</v>
      </c>
      <c r="G89" s="1">
        <v>2</v>
      </c>
      <c r="H89" s="1">
        <v>10003</v>
      </c>
      <c r="I89" s="1">
        <v>10003</v>
      </c>
      <c r="J89" s="1">
        <v>10003</v>
      </c>
      <c r="K89" s="1">
        <v>20003</v>
      </c>
      <c r="L89" s="1">
        <v>20003</v>
      </c>
      <c r="M89" s="1">
        <v>20013</v>
      </c>
      <c r="N89" s="1">
        <v>30003</v>
      </c>
      <c r="O89" s="1">
        <v>30013</v>
      </c>
      <c r="P89" s="1">
        <v>30003</v>
      </c>
      <c r="Q89" s="1">
        <v>10003</v>
      </c>
      <c r="R89" s="1">
        <v>10003</v>
      </c>
      <c r="S89" s="1">
        <v>10003</v>
      </c>
      <c r="T89" s="1">
        <v>40053</v>
      </c>
      <c r="U89" s="1">
        <v>40023</v>
      </c>
      <c r="V89" s="1">
        <v>40083</v>
      </c>
    </row>
    <row r="90" spans="1:22" x14ac:dyDescent="0.3">
      <c r="A90" s="1">
        <f t="shared" si="1"/>
        <v>109018</v>
      </c>
      <c r="B90" s="1">
        <v>10000301</v>
      </c>
      <c r="C90" s="1" t="s">
        <v>416</v>
      </c>
      <c r="F90" s="1">
        <v>4</v>
      </c>
      <c r="G90" s="1">
        <v>2</v>
      </c>
      <c r="H90" s="1">
        <v>10004</v>
      </c>
      <c r="I90" s="1">
        <v>10004</v>
      </c>
      <c r="J90" s="1">
        <v>10004</v>
      </c>
      <c r="K90" s="1">
        <v>20004</v>
      </c>
      <c r="L90" s="1">
        <v>20004</v>
      </c>
      <c r="M90" s="1">
        <v>20014</v>
      </c>
      <c r="N90" s="1">
        <v>30004</v>
      </c>
      <c r="O90" s="1">
        <v>30014</v>
      </c>
      <c r="P90" s="1">
        <v>30004</v>
      </c>
      <c r="Q90" s="1">
        <v>10004</v>
      </c>
      <c r="R90" s="1">
        <v>10004</v>
      </c>
      <c r="S90" s="1">
        <v>10004</v>
      </c>
      <c r="T90" s="1">
        <v>40054</v>
      </c>
      <c r="U90" s="1">
        <v>40024</v>
      </c>
      <c r="V90" s="1">
        <v>40084</v>
      </c>
    </row>
    <row r="91" spans="1:22" x14ac:dyDescent="0.3">
      <c r="A91" s="1">
        <f t="shared" si="1"/>
        <v>109019</v>
      </c>
      <c r="B91" s="1">
        <v>10000301</v>
      </c>
      <c r="C91" s="1" t="s">
        <v>416</v>
      </c>
      <c r="F91" s="1">
        <v>5</v>
      </c>
      <c r="G91" s="1">
        <v>2</v>
      </c>
      <c r="H91" s="1">
        <v>10005</v>
      </c>
      <c r="I91" s="1">
        <v>10005</v>
      </c>
      <c r="J91" s="1">
        <v>10005</v>
      </c>
      <c r="K91" s="1">
        <v>20005</v>
      </c>
      <c r="L91" s="1">
        <v>20005</v>
      </c>
      <c r="M91" s="1">
        <v>20015</v>
      </c>
      <c r="N91" s="1">
        <v>30005</v>
      </c>
      <c r="O91" s="1">
        <v>30015</v>
      </c>
      <c r="P91" s="1">
        <v>30005</v>
      </c>
      <c r="Q91" s="1">
        <v>10005</v>
      </c>
      <c r="R91" s="1">
        <v>10005</v>
      </c>
      <c r="S91" s="1">
        <v>10005</v>
      </c>
      <c r="T91" s="1">
        <v>40055</v>
      </c>
      <c r="U91" s="1">
        <v>40025</v>
      </c>
      <c r="V91" s="1">
        <v>40085</v>
      </c>
    </row>
    <row r="92" spans="1:22" x14ac:dyDescent="0.3">
      <c r="A92" s="1">
        <f t="shared" si="1"/>
        <v>110010</v>
      </c>
      <c r="B92" s="1">
        <v>10000302</v>
      </c>
      <c r="C92" s="1" t="s">
        <v>423</v>
      </c>
      <c r="F92" s="1">
        <v>1</v>
      </c>
      <c r="G92" s="1">
        <v>1</v>
      </c>
      <c r="H92" s="2">
        <v>10021</v>
      </c>
      <c r="I92" s="2">
        <v>10021</v>
      </c>
      <c r="J92" s="2">
        <v>10021</v>
      </c>
      <c r="K92" s="1">
        <v>20001</v>
      </c>
      <c r="L92" s="1">
        <v>20001</v>
      </c>
      <c r="M92" s="1">
        <v>20011</v>
      </c>
      <c r="N92" s="1">
        <v>30001</v>
      </c>
      <c r="O92" s="1">
        <v>30011</v>
      </c>
      <c r="P92" s="1">
        <v>30001</v>
      </c>
      <c r="Q92" s="2">
        <v>10021</v>
      </c>
      <c r="R92" s="2">
        <v>10021</v>
      </c>
      <c r="S92" s="2">
        <v>10021</v>
      </c>
      <c r="T92" s="1">
        <v>40031</v>
      </c>
      <c r="U92" s="1">
        <v>40041</v>
      </c>
      <c r="V92" s="1">
        <v>40051</v>
      </c>
    </row>
    <row r="93" spans="1:22" x14ac:dyDescent="0.3">
      <c r="A93" s="1">
        <f t="shared" si="1"/>
        <v>110011</v>
      </c>
      <c r="B93" s="1">
        <v>10000302</v>
      </c>
      <c r="C93" s="1" t="s">
        <v>423</v>
      </c>
      <c r="F93" s="1">
        <v>2</v>
      </c>
      <c r="G93" s="1">
        <v>1</v>
      </c>
      <c r="H93" s="2">
        <v>10022</v>
      </c>
      <c r="I93" s="2">
        <v>10022</v>
      </c>
      <c r="J93" s="2">
        <v>10022</v>
      </c>
      <c r="K93" s="1">
        <v>20002</v>
      </c>
      <c r="L93" s="1">
        <v>20002</v>
      </c>
      <c r="M93" s="1">
        <v>20012</v>
      </c>
      <c r="N93" s="1">
        <v>30002</v>
      </c>
      <c r="O93" s="1">
        <v>30012</v>
      </c>
      <c r="P93" s="1">
        <v>30002</v>
      </c>
      <c r="Q93" s="2">
        <v>10022</v>
      </c>
      <c r="R93" s="2">
        <v>10022</v>
      </c>
      <c r="S93" s="2">
        <v>10022</v>
      </c>
      <c r="T93" s="1">
        <v>40032</v>
      </c>
      <c r="U93" s="1">
        <v>40042</v>
      </c>
      <c r="V93" s="1">
        <v>40052</v>
      </c>
    </row>
    <row r="94" spans="1:22" x14ac:dyDescent="0.3">
      <c r="A94" s="1">
        <f t="shared" si="1"/>
        <v>110012</v>
      </c>
      <c r="B94" s="1">
        <v>10000302</v>
      </c>
      <c r="C94" s="1" t="s">
        <v>423</v>
      </c>
      <c r="F94" s="1">
        <v>3</v>
      </c>
      <c r="G94" s="1">
        <v>1</v>
      </c>
      <c r="H94" s="2">
        <v>10023</v>
      </c>
      <c r="I94" s="2">
        <v>10023</v>
      </c>
      <c r="J94" s="2">
        <v>10023</v>
      </c>
      <c r="K94" s="1">
        <v>20003</v>
      </c>
      <c r="L94" s="1">
        <v>20003</v>
      </c>
      <c r="M94" s="1">
        <v>20013</v>
      </c>
      <c r="N94" s="1">
        <v>30003</v>
      </c>
      <c r="O94" s="1">
        <v>30013</v>
      </c>
      <c r="P94" s="1">
        <v>30003</v>
      </c>
      <c r="Q94" s="2">
        <v>10023</v>
      </c>
      <c r="R94" s="2">
        <v>10023</v>
      </c>
      <c r="S94" s="2">
        <v>10023</v>
      </c>
      <c r="T94" s="1">
        <v>40033</v>
      </c>
      <c r="U94" s="1">
        <v>40043</v>
      </c>
      <c r="V94" s="1">
        <v>40053</v>
      </c>
    </row>
    <row r="95" spans="1:22" x14ac:dyDescent="0.3">
      <c r="A95" s="1">
        <f t="shared" si="1"/>
        <v>110013</v>
      </c>
      <c r="B95" s="1">
        <v>10000302</v>
      </c>
      <c r="C95" s="1" t="s">
        <v>423</v>
      </c>
      <c r="F95" s="1">
        <v>4</v>
      </c>
      <c r="G95" s="1">
        <v>1</v>
      </c>
      <c r="H95" s="2">
        <v>10024</v>
      </c>
      <c r="I95" s="2">
        <v>10024</v>
      </c>
      <c r="J95" s="2">
        <v>10024</v>
      </c>
      <c r="K95" s="1">
        <v>20004</v>
      </c>
      <c r="L95" s="1">
        <v>20004</v>
      </c>
      <c r="M95" s="1">
        <v>20014</v>
      </c>
      <c r="N95" s="1">
        <v>30004</v>
      </c>
      <c r="O95" s="1">
        <v>30014</v>
      </c>
      <c r="P95" s="1">
        <v>30004</v>
      </c>
      <c r="Q95" s="2">
        <v>10024</v>
      </c>
      <c r="R95" s="2">
        <v>10024</v>
      </c>
      <c r="S95" s="2">
        <v>10024</v>
      </c>
      <c r="T95" s="1">
        <v>40034</v>
      </c>
      <c r="U95" s="1">
        <v>40044</v>
      </c>
      <c r="V95" s="1">
        <v>40054</v>
      </c>
    </row>
    <row r="96" spans="1:22" x14ac:dyDescent="0.3">
      <c r="A96" s="1">
        <f t="shared" si="1"/>
        <v>110014</v>
      </c>
      <c r="B96" s="1">
        <v>10000302</v>
      </c>
      <c r="C96" s="1" t="s">
        <v>423</v>
      </c>
      <c r="F96" s="1">
        <v>5</v>
      </c>
      <c r="G96" s="1">
        <v>1</v>
      </c>
      <c r="H96" s="2">
        <v>10025</v>
      </c>
      <c r="I96" s="2">
        <v>10025</v>
      </c>
      <c r="J96" s="2">
        <v>10025</v>
      </c>
      <c r="K96" s="1">
        <v>20005</v>
      </c>
      <c r="L96" s="1">
        <v>20005</v>
      </c>
      <c r="M96" s="1">
        <v>20015</v>
      </c>
      <c r="N96" s="1">
        <v>30005</v>
      </c>
      <c r="O96" s="1">
        <v>30015</v>
      </c>
      <c r="P96" s="1">
        <v>30005</v>
      </c>
      <c r="Q96" s="2">
        <v>10025</v>
      </c>
      <c r="R96" s="2">
        <v>10025</v>
      </c>
      <c r="S96" s="2">
        <v>10025</v>
      </c>
      <c r="T96" s="1">
        <v>40035</v>
      </c>
      <c r="U96" s="1">
        <v>40045</v>
      </c>
      <c r="V96" s="1">
        <v>40055</v>
      </c>
    </row>
    <row r="97" spans="1:22" x14ac:dyDescent="0.3">
      <c r="A97" s="1">
        <f t="shared" si="1"/>
        <v>110015</v>
      </c>
      <c r="B97" s="1">
        <v>10000302</v>
      </c>
      <c r="C97" s="1" t="s">
        <v>416</v>
      </c>
      <c r="F97" s="1">
        <v>1</v>
      </c>
      <c r="G97" s="1">
        <v>2</v>
      </c>
      <c r="H97" s="1">
        <v>10001</v>
      </c>
      <c r="I97" s="1">
        <v>10001</v>
      </c>
      <c r="J97" s="1">
        <v>10001</v>
      </c>
      <c r="K97" s="1">
        <v>20001</v>
      </c>
      <c r="L97" s="1">
        <v>20001</v>
      </c>
      <c r="M97" s="1">
        <v>20011</v>
      </c>
      <c r="N97" s="1">
        <v>30001</v>
      </c>
      <c r="O97" s="1">
        <v>30011</v>
      </c>
      <c r="P97" s="1">
        <v>30001</v>
      </c>
      <c r="Q97" s="1">
        <v>10001</v>
      </c>
      <c r="R97" s="1">
        <v>10001</v>
      </c>
      <c r="S97" s="1">
        <v>10001</v>
      </c>
      <c r="T97" s="1">
        <v>40051</v>
      </c>
      <c r="U97" s="1">
        <v>40021</v>
      </c>
      <c r="V97" s="1">
        <v>40081</v>
      </c>
    </row>
    <row r="98" spans="1:22" x14ac:dyDescent="0.3">
      <c r="A98" s="1">
        <f t="shared" si="1"/>
        <v>110016</v>
      </c>
      <c r="B98" s="1">
        <v>10000302</v>
      </c>
      <c r="C98" s="1" t="s">
        <v>416</v>
      </c>
      <c r="F98" s="1">
        <v>2</v>
      </c>
      <c r="G98" s="1">
        <v>2</v>
      </c>
      <c r="H98" s="1">
        <v>10002</v>
      </c>
      <c r="I98" s="1">
        <v>10002</v>
      </c>
      <c r="J98" s="1">
        <v>10002</v>
      </c>
      <c r="K98" s="1">
        <v>20002</v>
      </c>
      <c r="L98" s="1">
        <v>20002</v>
      </c>
      <c r="M98" s="1">
        <v>20012</v>
      </c>
      <c r="N98" s="1">
        <v>30002</v>
      </c>
      <c r="O98" s="1">
        <v>30012</v>
      </c>
      <c r="P98" s="1">
        <v>30002</v>
      </c>
      <c r="Q98" s="1">
        <v>10002</v>
      </c>
      <c r="R98" s="1">
        <v>10002</v>
      </c>
      <c r="S98" s="1">
        <v>10002</v>
      </c>
      <c r="T98" s="1">
        <v>40052</v>
      </c>
      <c r="U98" s="1">
        <v>40022</v>
      </c>
      <c r="V98" s="1">
        <v>40082</v>
      </c>
    </row>
    <row r="99" spans="1:22" x14ac:dyDescent="0.3">
      <c r="A99" s="1">
        <f t="shared" si="1"/>
        <v>110017</v>
      </c>
      <c r="B99" s="1">
        <v>10000302</v>
      </c>
      <c r="C99" s="1" t="s">
        <v>416</v>
      </c>
      <c r="F99" s="1">
        <v>3</v>
      </c>
      <c r="G99" s="1">
        <v>2</v>
      </c>
      <c r="H99" s="1">
        <v>10003</v>
      </c>
      <c r="I99" s="1">
        <v>10003</v>
      </c>
      <c r="J99" s="1">
        <v>10003</v>
      </c>
      <c r="K99" s="1">
        <v>20003</v>
      </c>
      <c r="L99" s="1">
        <v>20003</v>
      </c>
      <c r="M99" s="1">
        <v>20013</v>
      </c>
      <c r="N99" s="1">
        <v>30003</v>
      </c>
      <c r="O99" s="1">
        <v>30013</v>
      </c>
      <c r="P99" s="1">
        <v>30003</v>
      </c>
      <c r="Q99" s="1">
        <v>10003</v>
      </c>
      <c r="R99" s="1">
        <v>10003</v>
      </c>
      <c r="S99" s="1">
        <v>10003</v>
      </c>
      <c r="T99" s="1">
        <v>40053</v>
      </c>
      <c r="U99" s="1">
        <v>40023</v>
      </c>
      <c r="V99" s="1">
        <v>40083</v>
      </c>
    </row>
    <row r="100" spans="1:22" x14ac:dyDescent="0.3">
      <c r="A100" s="1">
        <f t="shared" si="1"/>
        <v>110018</v>
      </c>
      <c r="B100" s="1">
        <v>10000302</v>
      </c>
      <c r="C100" s="1" t="s">
        <v>416</v>
      </c>
      <c r="F100" s="1">
        <v>4</v>
      </c>
      <c r="G100" s="1">
        <v>2</v>
      </c>
      <c r="H100" s="1">
        <v>10004</v>
      </c>
      <c r="I100" s="1">
        <v>10004</v>
      </c>
      <c r="J100" s="1">
        <v>10004</v>
      </c>
      <c r="K100" s="1">
        <v>20004</v>
      </c>
      <c r="L100" s="1">
        <v>20004</v>
      </c>
      <c r="M100" s="1">
        <v>20014</v>
      </c>
      <c r="N100" s="1">
        <v>30004</v>
      </c>
      <c r="O100" s="1">
        <v>30014</v>
      </c>
      <c r="P100" s="1">
        <v>30004</v>
      </c>
      <c r="Q100" s="1">
        <v>10004</v>
      </c>
      <c r="R100" s="1">
        <v>10004</v>
      </c>
      <c r="S100" s="1">
        <v>10004</v>
      </c>
      <c r="T100" s="1">
        <v>40054</v>
      </c>
      <c r="U100" s="1">
        <v>40024</v>
      </c>
      <c r="V100" s="1">
        <v>40084</v>
      </c>
    </row>
    <row r="101" spans="1:22" x14ac:dyDescent="0.3">
      <c r="A101" s="1">
        <f t="shared" si="1"/>
        <v>110019</v>
      </c>
      <c r="B101" s="1">
        <v>10000302</v>
      </c>
      <c r="C101" s="1" t="s">
        <v>416</v>
      </c>
      <c r="F101" s="1">
        <v>5</v>
      </c>
      <c r="G101" s="1">
        <v>2</v>
      </c>
      <c r="H101" s="1">
        <v>10005</v>
      </c>
      <c r="I101" s="1">
        <v>10005</v>
      </c>
      <c r="J101" s="1">
        <v>10005</v>
      </c>
      <c r="K101" s="1">
        <v>20005</v>
      </c>
      <c r="L101" s="1">
        <v>20005</v>
      </c>
      <c r="M101" s="1">
        <v>20015</v>
      </c>
      <c r="N101" s="1">
        <v>30005</v>
      </c>
      <c r="O101" s="1">
        <v>30015</v>
      </c>
      <c r="P101" s="1">
        <v>30005</v>
      </c>
      <c r="Q101" s="1">
        <v>10005</v>
      </c>
      <c r="R101" s="1">
        <v>10005</v>
      </c>
      <c r="S101" s="1">
        <v>10005</v>
      </c>
      <c r="T101" s="1">
        <v>40055</v>
      </c>
      <c r="U101" s="1">
        <v>40025</v>
      </c>
      <c r="V101" s="1">
        <v>40085</v>
      </c>
    </row>
    <row r="102" spans="1:22" x14ac:dyDescent="0.3">
      <c r="A102" s="1">
        <f t="shared" si="1"/>
        <v>111010</v>
      </c>
      <c r="B102" s="1">
        <v>10000401</v>
      </c>
      <c r="C102" s="1" t="s">
        <v>419</v>
      </c>
      <c r="F102" s="1">
        <v>1</v>
      </c>
      <c r="G102" s="1">
        <v>1</v>
      </c>
      <c r="H102" s="1">
        <v>10001</v>
      </c>
      <c r="I102" s="1">
        <v>10001</v>
      </c>
      <c r="J102" s="2">
        <v>10021</v>
      </c>
      <c r="K102" s="1">
        <v>20001</v>
      </c>
      <c r="L102" s="1">
        <v>20001</v>
      </c>
      <c r="M102" s="1">
        <v>20011</v>
      </c>
      <c r="N102" s="1">
        <v>30001</v>
      </c>
      <c r="O102" s="1">
        <v>30011</v>
      </c>
      <c r="P102" s="1">
        <v>30001</v>
      </c>
      <c r="Q102" s="1">
        <v>30001</v>
      </c>
      <c r="R102" s="1">
        <v>20011</v>
      </c>
      <c r="S102" s="1">
        <v>20001</v>
      </c>
      <c r="T102" s="1">
        <v>40001</v>
      </c>
      <c r="U102" s="1">
        <v>40011</v>
      </c>
      <c r="V102" s="1">
        <v>40081</v>
      </c>
    </row>
    <row r="103" spans="1:22" x14ac:dyDescent="0.3">
      <c r="A103" s="1">
        <f t="shared" si="1"/>
        <v>111011</v>
      </c>
      <c r="B103" s="1">
        <v>10000401</v>
      </c>
      <c r="C103" s="1" t="s">
        <v>419</v>
      </c>
      <c r="F103" s="1">
        <v>2</v>
      </c>
      <c r="G103" s="1">
        <v>1</v>
      </c>
      <c r="H103" s="1">
        <v>10002</v>
      </c>
      <c r="I103" s="1">
        <v>10002</v>
      </c>
      <c r="J103" s="2">
        <v>10022</v>
      </c>
      <c r="K103" s="1">
        <v>20002</v>
      </c>
      <c r="L103" s="1">
        <v>20002</v>
      </c>
      <c r="M103" s="1">
        <v>20012</v>
      </c>
      <c r="N103" s="1">
        <v>30002</v>
      </c>
      <c r="O103" s="1">
        <v>30012</v>
      </c>
      <c r="P103" s="1">
        <v>30002</v>
      </c>
      <c r="Q103" s="1">
        <v>30002</v>
      </c>
      <c r="R103" s="1">
        <v>20012</v>
      </c>
      <c r="S103" s="1">
        <v>20002</v>
      </c>
      <c r="T103" s="1">
        <v>40002</v>
      </c>
      <c r="U103" s="1">
        <v>40012</v>
      </c>
      <c r="V103" s="1">
        <v>40082</v>
      </c>
    </row>
    <row r="104" spans="1:22" x14ac:dyDescent="0.3">
      <c r="A104" s="1">
        <f t="shared" si="1"/>
        <v>111012</v>
      </c>
      <c r="B104" s="1">
        <v>10000401</v>
      </c>
      <c r="C104" s="1" t="s">
        <v>419</v>
      </c>
      <c r="F104" s="1">
        <v>3</v>
      </c>
      <c r="G104" s="1">
        <v>1</v>
      </c>
      <c r="H104" s="1">
        <v>10003</v>
      </c>
      <c r="I104" s="1">
        <v>10003</v>
      </c>
      <c r="J104" s="2">
        <v>10023</v>
      </c>
      <c r="K104" s="1">
        <v>20003</v>
      </c>
      <c r="L104" s="1">
        <v>20003</v>
      </c>
      <c r="M104" s="1">
        <v>20013</v>
      </c>
      <c r="N104" s="1">
        <v>30003</v>
      </c>
      <c r="O104" s="1">
        <v>30013</v>
      </c>
      <c r="P104" s="1">
        <v>30003</v>
      </c>
      <c r="Q104" s="1">
        <v>30003</v>
      </c>
      <c r="R104" s="1">
        <v>20013</v>
      </c>
      <c r="S104" s="1">
        <v>20003</v>
      </c>
      <c r="T104" s="1">
        <v>40003</v>
      </c>
      <c r="U104" s="1">
        <v>40013</v>
      </c>
      <c r="V104" s="1">
        <v>40083</v>
      </c>
    </row>
    <row r="105" spans="1:22" x14ac:dyDescent="0.3">
      <c r="A105" s="1">
        <f t="shared" si="1"/>
        <v>111013</v>
      </c>
      <c r="B105" s="1">
        <v>10000401</v>
      </c>
      <c r="C105" s="1" t="s">
        <v>419</v>
      </c>
      <c r="F105" s="1">
        <v>4</v>
      </c>
      <c r="G105" s="1">
        <v>1</v>
      </c>
      <c r="H105" s="1">
        <v>10004</v>
      </c>
      <c r="I105" s="1">
        <v>10004</v>
      </c>
      <c r="J105" s="2">
        <v>10024</v>
      </c>
      <c r="K105" s="1">
        <v>20004</v>
      </c>
      <c r="L105" s="1">
        <v>20004</v>
      </c>
      <c r="M105" s="1">
        <v>20014</v>
      </c>
      <c r="N105" s="1">
        <v>30004</v>
      </c>
      <c r="O105" s="1">
        <v>30014</v>
      </c>
      <c r="P105" s="1">
        <v>30004</v>
      </c>
      <c r="Q105" s="1">
        <v>30004</v>
      </c>
      <c r="R105" s="1">
        <v>20014</v>
      </c>
      <c r="S105" s="1">
        <v>20004</v>
      </c>
      <c r="T105" s="1">
        <v>40004</v>
      </c>
      <c r="U105" s="1">
        <v>40014</v>
      </c>
      <c r="V105" s="1">
        <v>40084</v>
      </c>
    </row>
    <row r="106" spans="1:22" x14ac:dyDescent="0.3">
      <c r="A106" s="1">
        <f t="shared" si="1"/>
        <v>111014</v>
      </c>
      <c r="B106" s="1">
        <v>10000401</v>
      </c>
      <c r="C106" s="1" t="s">
        <v>419</v>
      </c>
      <c r="F106" s="1">
        <v>5</v>
      </c>
      <c r="G106" s="1">
        <v>1</v>
      </c>
      <c r="H106" s="1">
        <v>10005</v>
      </c>
      <c r="I106" s="1">
        <v>10005</v>
      </c>
      <c r="J106" s="2">
        <v>10025</v>
      </c>
      <c r="K106" s="1">
        <v>20005</v>
      </c>
      <c r="L106" s="1">
        <v>20005</v>
      </c>
      <c r="M106" s="1">
        <v>20015</v>
      </c>
      <c r="N106" s="1">
        <v>30005</v>
      </c>
      <c r="O106" s="1">
        <v>30015</v>
      </c>
      <c r="P106" s="1">
        <v>30005</v>
      </c>
      <c r="Q106" s="1">
        <v>30005</v>
      </c>
      <c r="R106" s="1">
        <v>20015</v>
      </c>
      <c r="S106" s="1">
        <v>20005</v>
      </c>
      <c r="T106" s="1">
        <v>40005</v>
      </c>
      <c r="U106" s="1">
        <v>40015</v>
      </c>
      <c r="V106" s="1">
        <v>40085</v>
      </c>
    </row>
    <row r="107" spans="1:22" x14ac:dyDescent="0.3">
      <c r="A107" s="1">
        <f t="shared" si="1"/>
        <v>111015</v>
      </c>
      <c r="B107" s="1">
        <v>10000401</v>
      </c>
      <c r="C107" s="1" t="s">
        <v>416</v>
      </c>
      <c r="F107" s="1">
        <v>1</v>
      </c>
      <c r="G107" s="1">
        <v>2</v>
      </c>
      <c r="H107" s="1">
        <v>10001</v>
      </c>
      <c r="I107" s="1">
        <v>10001</v>
      </c>
      <c r="J107" s="1">
        <v>10001</v>
      </c>
      <c r="K107" s="1">
        <v>20001</v>
      </c>
      <c r="L107" s="1">
        <v>20001</v>
      </c>
      <c r="M107" s="1">
        <v>20011</v>
      </c>
      <c r="N107" s="1">
        <v>30001</v>
      </c>
      <c r="O107" s="1">
        <v>30011</v>
      </c>
      <c r="P107" s="1">
        <v>30001</v>
      </c>
      <c r="Q107" s="1">
        <v>10001</v>
      </c>
      <c r="R107" s="1">
        <v>10001</v>
      </c>
      <c r="S107" s="1">
        <v>10001</v>
      </c>
      <c r="T107" s="1">
        <v>40051</v>
      </c>
      <c r="U107" s="1">
        <v>40021</v>
      </c>
      <c r="V107" s="1">
        <v>40081</v>
      </c>
    </row>
    <row r="108" spans="1:22" x14ac:dyDescent="0.3">
      <c r="A108" s="1">
        <f t="shared" si="1"/>
        <v>111016</v>
      </c>
      <c r="B108" s="1">
        <v>10000401</v>
      </c>
      <c r="C108" s="1" t="s">
        <v>416</v>
      </c>
      <c r="F108" s="1">
        <v>2</v>
      </c>
      <c r="G108" s="1">
        <v>2</v>
      </c>
      <c r="H108" s="1">
        <v>10002</v>
      </c>
      <c r="I108" s="1">
        <v>10002</v>
      </c>
      <c r="J108" s="1">
        <v>10002</v>
      </c>
      <c r="K108" s="1">
        <v>20002</v>
      </c>
      <c r="L108" s="1">
        <v>20002</v>
      </c>
      <c r="M108" s="1">
        <v>20012</v>
      </c>
      <c r="N108" s="1">
        <v>30002</v>
      </c>
      <c r="O108" s="1">
        <v>30012</v>
      </c>
      <c r="P108" s="1">
        <v>30002</v>
      </c>
      <c r="Q108" s="1">
        <v>10002</v>
      </c>
      <c r="R108" s="1">
        <v>10002</v>
      </c>
      <c r="S108" s="1">
        <v>10002</v>
      </c>
      <c r="T108" s="1">
        <v>40052</v>
      </c>
      <c r="U108" s="1">
        <v>40022</v>
      </c>
      <c r="V108" s="1">
        <v>40082</v>
      </c>
    </row>
    <row r="109" spans="1:22" x14ac:dyDescent="0.3">
      <c r="A109" s="1">
        <f t="shared" si="1"/>
        <v>111017</v>
      </c>
      <c r="B109" s="1">
        <v>10000401</v>
      </c>
      <c r="C109" s="1" t="s">
        <v>416</v>
      </c>
      <c r="F109" s="1">
        <v>3</v>
      </c>
      <c r="G109" s="1">
        <v>2</v>
      </c>
      <c r="H109" s="1">
        <v>10003</v>
      </c>
      <c r="I109" s="1">
        <v>10003</v>
      </c>
      <c r="J109" s="1">
        <v>10003</v>
      </c>
      <c r="K109" s="1">
        <v>20003</v>
      </c>
      <c r="L109" s="1">
        <v>20003</v>
      </c>
      <c r="M109" s="1">
        <v>20013</v>
      </c>
      <c r="N109" s="1">
        <v>30003</v>
      </c>
      <c r="O109" s="1">
        <v>30013</v>
      </c>
      <c r="P109" s="1">
        <v>30003</v>
      </c>
      <c r="Q109" s="1">
        <v>10003</v>
      </c>
      <c r="R109" s="1">
        <v>10003</v>
      </c>
      <c r="S109" s="1">
        <v>10003</v>
      </c>
      <c r="T109" s="1">
        <v>40053</v>
      </c>
      <c r="U109" s="1">
        <v>40023</v>
      </c>
      <c r="V109" s="1">
        <v>40083</v>
      </c>
    </row>
    <row r="110" spans="1:22" x14ac:dyDescent="0.3">
      <c r="A110" s="1">
        <f t="shared" si="1"/>
        <v>111018</v>
      </c>
      <c r="B110" s="1">
        <v>10000401</v>
      </c>
      <c r="C110" s="1" t="s">
        <v>416</v>
      </c>
      <c r="F110" s="1">
        <v>4</v>
      </c>
      <c r="G110" s="1">
        <v>2</v>
      </c>
      <c r="H110" s="1">
        <v>10004</v>
      </c>
      <c r="I110" s="1">
        <v>10004</v>
      </c>
      <c r="J110" s="1">
        <v>10004</v>
      </c>
      <c r="K110" s="1">
        <v>20004</v>
      </c>
      <c r="L110" s="1">
        <v>20004</v>
      </c>
      <c r="M110" s="1">
        <v>20014</v>
      </c>
      <c r="N110" s="1">
        <v>30004</v>
      </c>
      <c r="O110" s="1">
        <v>30014</v>
      </c>
      <c r="P110" s="1">
        <v>30004</v>
      </c>
      <c r="Q110" s="1">
        <v>10004</v>
      </c>
      <c r="R110" s="1">
        <v>10004</v>
      </c>
      <c r="S110" s="1">
        <v>10004</v>
      </c>
      <c r="T110" s="1">
        <v>40054</v>
      </c>
      <c r="U110" s="1">
        <v>40024</v>
      </c>
      <c r="V110" s="1">
        <v>40084</v>
      </c>
    </row>
    <row r="111" spans="1:22" x14ac:dyDescent="0.3">
      <c r="A111" s="1">
        <f t="shared" si="1"/>
        <v>111019</v>
      </c>
      <c r="B111" s="1">
        <v>10000401</v>
      </c>
      <c r="C111" s="1" t="s">
        <v>416</v>
      </c>
      <c r="F111" s="1">
        <v>5</v>
      </c>
      <c r="G111" s="1">
        <v>2</v>
      </c>
      <c r="H111" s="1">
        <v>10005</v>
      </c>
      <c r="I111" s="1">
        <v>10005</v>
      </c>
      <c r="J111" s="1">
        <v>10005</v>
      </c>
      <c r="K111" s="1">
        <v>20005</v>
      </c>
      <c r="L111" s="1">
        <v>20005</v>
      </c>
      <c r="M111" s="1">
        <v>20015</v>
      </c>
      <c r="N111" s="1">
        <v>30005</v>
      </c>
      <c r="O111" s="1">
        <v>30015</v>
      </c>
      <c r="P111" s="1">
        <v>30005</v>
      </c>
      <c r="Q111" s="1">
        <v>10005</v>
      </c>
      <c r="R111" s="1">
        <v>10005</v>
      </c>
      <c r="S111" s="1">
        <v>10005</v>
      </c>
      <c r="T111" s="1">
        <v>40055</v>
      </c>
      <c r="U111" s="1">
        <v>40025</v>
      </c>
      <c r="V111" s="1">
        <v>40085</v>
      </c>
    </row>
    <row r="112" spans="1:22" x14ac:dyDescent="0.3">
      <c r="A112" s="1">
        <f t="shared" si="1"/>
        <v>112010</v>
      </c>
      <c r="B112" s="1">
        <v>10000402</v>
      </c>
      <c r="C112" s="1" t="s">
        <v>419</v>
      </c>
      <c r="F112" s="1">
        <v>1</v>
      </c>
      <c r="G112" s="1">
        <v>1</v>
      </c>
      <c r="H112" s="1">
        <v>10001</v>
      </c>
      <c r="I112" s="1">
        <v>10001</v>
      </c>
      <c r="J112" s="2">
        <v>10021</v>
      </c>
      <c r="K112" s="1">
        <v>20001</v>
      </c>
      <c r="L112" s="1">
        <v>20001</v>
      </c>
      <c r="M112" s="1">
        <v>20011</v>
      </c>
      <c r="N112" s="1">
        <v>30001</v>
      </c>
      <c r="O112" s="1">
        <v>30011</v>
      </c>
      <c r="P112" s="1">
        <v>30001</v>
      </c>
      <c r="Q112" s="1">
        <v>30001</v>
      </c>
      <c r="R112" s="1">
        <v>20011</v>
      </c>
      <c r="S112" s="1">
        <v>20001</v>
      </c>
      <c r="T112" s="1">
        <v>40001</v>
      </c>
      <c r="U112" s="1">
        <v>40011</v>
      </c>
      <c r="V112" s="1">
        <v>40081</v>
      </c>
    </row>
    <row r="113" spans="1:22" x14ac:dyDescent="0.3">
      <c r="A113" s="1">
        <f t="shared" si="1"/>
        <v>112011</v>
      </c>
      <c r="B113" s="1">
        <v>10000402</v>
      </c>
      <c r="C113" s="1" t="s">
        <v>419</v>
      </c>
      <c r="F113" s="1">
        <v>2</v>
      </c>
      <c r="G113" s="1">
        <v>1</v>
      </c>
      <c r="H113" s="1">
        <v>10002</v>
      </c>
      <c r="I113" s="1">
        <v>10002</v>
      </c>
      <c r="J113" s="2">
        <v>10022</v>
      </c>
      <c r="K113" s="1">
        <v>20002</v>
      </c>
      <c r="L113" s="1">
        <v>20002</v>
      </c>
      <c r="M113" s="1">
        <v>20012</v>
      </c>
      <c r="N113" s="1">
        <v>30002</v>
      </c>
      <c r="O113" s="1">
        <v>30012</v>
      </c>
      <c r="P113" s="1">
        <v>30002</v>
      </c>
      <c r="Q113" s="1">
        <v>30002</v>
      </c>
      <c r="R113" s="1">
        <v>20012</v>
      </c>
      <c r="S113" s="1">
        <v>20002</v>
      </c>
      <c r="T113" s="1">
        <v>40002</v>
      </c>
      <c r="U113" s="1">
        <v>40012</v>
      </c>
      <c r="V113" s="1">
        <v>40082</v>
      </c>
    </row>
    <row r="114" spans="1:22" x14ac:dyDescent="0.3">
      <c r="A114" s="1">
        <f t="shared" si="1"/>
        <v>112012</v>
      </c>
      <c r="B114" s="1">
        <v>10000402</v>
      </c>
      <c r="C114" s="1" t="s">
        <v>419</v>
      </c>
      <c r="F114" s="1">
        <v>3</v>
      </c>
      <c r="G114" s="1">
        <v>1</v>
      </c>
      <c r="H114" s="1">
        <v>10003</v>
      </c>
      <c r="I114" s="1">
        <v>10003</v>
      </c>
      <c r="J114" s="2">
        <v>10023</v>
      </c>
      <c r="K114" s="1">
        <v>20003</v>
      </c>
      <c r="L114" s="1">
        <v>20003</v>
      </c>
      <c r="M114" s="1">
        <v>20013</v>
      </c>
      <c r="N114" s="1">
        <v>30003</v>
      </c>
      <c r="O114" s="1">
        <v>30013</v>
      </c>
      <c r="P114" s="1">
        <v>30003</v>
      </c>
      <c r="Q114" s="1">
        <v>30003</v>
      </c>
      <c r="R114" s="1">
        <v>20013</v>
      </c>
      <c r="S114" s="1">
        <v>20003</v>
      </c>
      <c r="T114" s="1">
        <v>40003</v>
      </c>
      <c r="U114" s="1">
        <v>40013</v>
      </c>
      <c r="V114" s="1">
        <v>40083</v>
      </c>
    </row>
    <row r="115" spans="1:22" x14ac:dyDescent="0.3">
      <c r="A115" s="1">
        <f t="shared" si="1"/>
        <v>112013</v>
      </c>
      <c r="B115" s="1">
        <v>10000402</v>
      </c>
      <c r="C115" s="1" t="s">
        <v>419</v>
      </c>
      <c r="F115" s="1">
        <v>4</v>
      </c>
      <c r="G115" s="1">
        <v>1</v>
      </c>
      <c r="H115" s="1">
        <v>10004</v>
      </c>
      <c r="I115" s="1">
        <v>10004</v>
      </c>
      <c r="J115" s="2">
        <v>10024</v>
      </c>
      <c r="K115" s="1">
        <v>20004</v>
      </c>
      <c r="L115" s="1">
        <v>20004</v>
      </c>
      <c r="M115" s="1">
        <v>20014</v>
      </c>
      <c r="N115" s="1">
        <v>30004</v>
      </c>
      <c r="O115" s="1">
        <v>30014</v>
      </c>
      <c r="P115" s="1">
        <v>30004</v>
      </c>
      <c r="Q115" s="1">
        <v>30004</v>
      </c>
      <c r="R115" s="1">
        <v>20014</v>
      </c>
      <c r="S115" s="1">
        <v>20004</v>
      </c>
      <c r="T115" s="1">
        <v>40004</v>
      </c>
      <c r="U115" s="1">
        <v>40014</v>
      </c>
      <c r="V115" s="1">
        <v>40084</v>
      </c>
    </row>
    <row r="116" spans="1:22" x14ac:dyDescent="0.3">
      <c r="A116" s="1">
        <f t="shared" si="1"/>
        <v>112014</v>
      </c>
      <c r="B116" s="1">
        <v>10000402</v>
      </c>
      <c r="C116" s="1" t="s">
        <v>419</v>
      </c>
      <c r="F116" s="1">
        <v>5</v>
      </c>
      <c r="G116" s="1">
        <v>1</v>
      </c>
      <c r="H116" s="1">
        <v>10005</v>
      </c>
      <c r="I116" s="1">
        <v>10005</v>
      </c>
      <c r="J116" s="2">
        <v>10025</v>
      </c>
      <c r="K116" s="1">
        <v>20005</v>
      </c>
      <c r="L116" s="1">
        <v>20005</v>
      </c>
      <c r="M116" s="1">
        <v>20015</v>
      </c>
      <c r="N116" s="1">
        <v>30005</v>
      </c>
      <c r="O116" s="1">
        <v>30015</v>
      </c>
      <c r="P116" s="1">
        <v>30005</v>
      </c>
      <c r="Q116" s="1">
        <v>30005</v>
      </c>
      <c r="R116" s="1">
        <v>20015</v>
      </c>
      <c r="S116" s="1">
        <v>20005</v>
      </c>
      <c r="T116" s="1">
        <v>40005</v>
      </c>
      <c r="U116" s="1">
        <v>40015</v>
      </c>
      <c r="V116" s="1">
        <v>40085</v>
      </c>
    </row>
    <row r="117" spans="1:22" x14ac:dyDescent="0.3">
      <c r="A117" s="1">
        <f t="shared" si="1"/>
        <v>112015</v>
      </c>
      <c r="B117" s="1">
        <v>10000402</v>
      </c>
      <c r="C117" s="1" t="s">
        <v>416</v>
      </c>
      <c r="F117" s="1">
        <v>1</v>
      </c>
      <c r="G117" s="1">
        <v>2</v>
      </c>
      <c r="H117" s="1">
        <v>10001</v>
      </c>
      <c r="I117" s="1">
        <v>10001</v>
      </c>
      <c r="J117" s="1">
        <v>10001</v>
      </c>
      <c r="K117" s="1">
        <v>20001</v>
      </c>
      <c r="L117" s="1">
        <v>20001</v>
      </c>
      <c r="M117" s="1">
        <v>20011</v>
      </c>
      <c r="N117" s="1">
        <v>30001</v>
      </c>
      <c r="O117" s="1">
        <v>30011</v>
      </c>
      <c r="P117" s="1">
        <v>30001</v>
      </c>
      <c r="Q117" s="1">
        <v>10001</v>
      </c>
      <c r="R117" s="1">
        <v>10001</v>
      </c>
      <c r="S117" s="1">
        <v>10001</v>
      </c>
      <c r="T117" s="1">
        <v>40051</v>
      </c>
      <c r="U117" s="1">
        <v>40021</v>
      </c>
      <c r="V117" s="1">
        <v>40081</v>
      </c>
    </row>
    <row r="118" spans="1:22" x14ac:dyDescent="0.3">
      <c r="A118" s="1">
        <f t="shared" si="1"/>
        <v>112016</v>
      </c>
      <c r="B118" s="1">
        <v>10000402</v>
      </c>
      <c r="C118" s="1" t="s">
        <v>416</v>
      </c>
      <c r="F118" s="1">
        <v>2</v>
      </c>
      <c r="G118" s="1">
        <v>2</v>
      </c>
      <c r="H118" s="1">
        <v>10002</v>
      </c>
      <c r="I118" s="1">
        <v>10002</v>
      </c>
      <c r="J118" s="1">
        <v>10002</v>
      </c>
      <c r="K118" s="1">
        <v>20002</v>
      </c>
      <c r="L118" s="1">
        <v>20002</v>
      </c>
      <c r="M118" s="1">
        <v>20012</v>
      </c>
      <c r="N118" s="1">
        <v>30002</v>
      </c>
      <c r="O118" s="1">
        <v>30012</v>
      </c>
      <c r="P118" s="1">
        <v>30002</v>
      </c>
      <c r="Q118" s="1">
        <v>10002</v>
      </c>
      <c r="R118" s="1">
        <v>10002</v>
      </c>
      <c r="S118" s="1">
        <v>10002</v>
      </c>
      <c r="T118" s="1">
        <v>40052</v>
      </c>
      <c r="U118" s="1">
        <v>40022</v>
      </c>
      <c r="V118" s="1">
        <v>40082</v>
      </c>
    </row>
    <row r="119" spans="1:22" x14ac:dyDescent="0.3">
      <c r="A119" s="1">
        <f t="shared" si="1"/>
        <v>112017</v>
      </c>
      <c r="B119" s="1">
        <v>10000402</v>
      </c>
      <c r="C119" s="1" t="s">
        <v>416</v>
      </c>
      <c r="F119" s="1">
        <v>3</v>
      </c>
      <c r="G119" s="1">
        <v>2</v>
      </c>
      <c r="H119" s="1">
        <v>10003</v>
      </c>
      <c r="I119" s="1">
        <v>10003</v>
      </c>
      <c r="J119" s="1">
        <v>10003</v>
      </c>
      <c r="K119" s="1">
        <v>20003</v>
      </c>
      <c r="L119" s="1">
        <v>20003</v>
      </c>
      <c r="M119" s="1">
        <v>20013</v>
      </c>
      <c r="N119" s="1">
        <v>30003</v>
      </c>
      <c r="O119" s="1">
        <v>30013</v>
      </c>
      <c r="P119" s="1">
        <v>30003</v>
      </c>
      <c r="Q119" s="1">
        <v>10003</v>
      </c>
      <c r="R119" s="1">
        <v>10003</v>
      </c>
      <c r="S119" s="1">
        <v>10003</v>
      </c>
      <c r="T119" s="1">
        <v>40053</v>
      </c>
      <c r="U119" s="1">
        <v>40023</v>
      </c>
      <c r="V119" s="1">
        <v>40083</v>
      </c>
    </row>
    <row r="120" spans="1:22" x14ac:dyDescent="0.3">
      <c r="A120" s="1">
        <f t="shared" si="1"/>
        <v>112018</v>
      </c>
      <c r="B120" s="1">
        <v>10000402</v>
      </c>
      <c r="C120" s="1" t="s">
        <v>416</v>
      </c>
      <c r="F120" s="1">
        <v>4</v>
      </c>
      <c r="G120" s="1">
        <v>2</v>
      </c>
      <c r="H120" s="1">
        <v>10004</v>
      </c>
      <c r="I120" s="1">
        <v>10004</v>
      </c>
      <c r="J120" s="1">
        <v>10004</v>
      </c>
      <c r="K120" s="1">
        <v>20004</v>
      </c>
      <c r="L120" s="1">
        <v>20004</v>
      </c>
      <c r="M120" s="1">
        <v>20014</v>
      </c>
      <c r="N120" s="1">
        <v>30004</v>
      </c>
      <c r="O120" s="1">
        <v>30014</v>
      </c>
      <c r="P120" s="1">
        <v>30004</v>
      </c>
      <c r="Q120" s="1">
        <v>10004</v>
      </c>
      <c r="R120" s="1">
        <v>10004</v>
      </c>
      <c r="S120" s="1">
        <v>10004</v>
      </c>
      <c r="T120" s="1">
        <v>40054</v>
      </c>
      <c r="U120" s="1">
        <v>40024</v>
      </c>
      <c r="V120" s="1">
        <v>40084</v>
      </c>
    </row>
    <row r="121" spans="1:22" x14ac:dyDescent="0.3">
      <c r="A121" s="1">
        <f t="shared" si="1"/>
        <v>112019</v>
      </c>
      <c r="B121" s="1">
        <v>10000402</v>
      </c>
      <c r="C121" s="1" t="s">
        <v>416</v>
      </c>
      <c r="F121" s="1">
        <v>5</v>
      </c>
      <c r="G121" s="1">
        <v>2</v>
      </c>
      <c r="H121" s="1">
        <v>10005</v>
      </c>
      <c r="I121" s="1">
        <v>10005</v>
      </c>
      <c r="J121" s="1">
        <v>10005</v>
      </c>
      <c r="K121" s="1">
        <v>20005</v>
      </c>
      <c r="L121" s="1">
        <v>20005</v>
      </c>
      <c r="M121" s="1">
        <v>20015</v>
      </c>
      <c r="N121" s="1">
        <v>30005</v>
      </c>
      <c r="O121" s="1">
        <v>30015</v>
      </c>
      <c r="P121" s="1">
        <v>30005</v>
      </c>
      <c r="Q121" s="1">
        <v>10005</v>
      </c>
      <c r="R121" s="1">
        <v>10005</v>
      </c>
      <c r="S121" s="1">
        <v>10005</v>
      </c>
      <c r="T121" s="1">
        <v>40055</v>
      </c>
      <c r="U121" s="1">
        <v>40025</v>
      </c>
      <c r="V121" s="1">
        <v>40085</v>
      </c>
    </row>
    <row r="122" spans="1:22" x14ac:dyDescent="0.3">
      <c r="A122" s="1">
        <f t="shared" si="1"/>
        <v>113010</v>
      </c>
      <c r="B122" s="1">
        <v>10000403</v>
      </c>
      <c r="C122" s="1" t="s">
        <v>419</v>
      </c>
      <c r="F122" s="1">
        <v>1</v>
      </c>
      <c r="G122" s="1">
        <v>1</v>
      </c>
      <c r="H122" s="1">
        <v>10001</v>
      </c>
      <c r="I122" s="1">
        <v>10001</v>
      </c>
      <c r="J122" s="2">
        <v>10021</v>
      </c>
      <c r="K122" s="1">
        <v>20001</v>
      </c>
      <c r="L122" s="1">
        <v>20001</v>
      </c>
      <c r="M122" s="1">
        <v>20011</v>
      </c>
      <c r="N122" s="1">
        <v>30001</v>
      </c>
      <c r="O122" s="1">
        <v>30011</v>
      </c>
      <c r="P122" s="1">
        <v>30001</v>
      </c>
      <c r="Q122" s="1">
        <v>30001</v>
      </c>
      <c r="R122" s="1">
        <v>20011</v>
      </c>
      <c r="S122" s="1">
        <v>20001</v>
      </c>
      <c r="T122" s="1">
        <v>40051</v>
      </c>
      <c r="U122" s="1">
        <v>40021</v>
      </c>
      <c r="V122" s="1">
        <v>40081</v>
      </c>
    </row>
    <row r="123" spans="1:22" x14ac:dyDescent="0.3">
      <c r="A123" s="1">
        <f t="shared" si="1"/>
        <v>113011</v>
      </c>
      <c r="B123" s="1">
        <v>10000403</v>
      </c>
      <c r="C123" s="1" t="s">
        <v>419</v>
      </c>
      <c r="F123" s="1">
        <v>2</v>
      </c>
      <c r="G123" s="1">
        <v>1</v>
      </c>
      <c r="H123" s="1">
        <v>10002</v>
      </c>
      <c r="I123" s="1">
        <v>10002</v>
      </c>
      <c r="J123" s="2">
        <v>10022</v>
      </c>
      <c r="K123" s="1">
        <v>20002</v>
      </c>
      <c r="L123" s="1">
        <v>20002</v>
      </c>
      <c r="M123" s="1">
        <v>20012</v>
      </c>
      <c r="N123" s="1">
        <v>30002</v>
      </c>
      <c r="O123" s="1">
        <v>30012</v>
      </c>
      <c r="P123" s="1">
        <v>30002</v>
      </c>
      <c r="Q123" s="1">
        <v>30002</v>
      </c>
      <c r="R123" s="1">
        <v>20012</v>
      </c>
      <c r="S123" s="1">
        <v>20002</v>
      </c>
      <c r="T123" s="1">
        <v>40052</v>
      </c>
      <c r="U123" s="1">
        <v>40022</v>
      </c>
      <c r="V123" s="1">
        <v>40082</v>
      </c>
    </row>
    <row r="124" spans="1:22" x14ac:dyDescent="0.3">
      <c r="A124" s="1">
        <f t="shared" si="1"/>
        <v>113012</v>
      </c>
      <c r="B124" s="1">
        <v>10000403</v>
      </c>
      <c r="C124" s="1" t="s">
        <v>419</v>
      </c>
      <c r="F124" s="1">
        <v>3</v>
      </c>
      <c r="G124" s="1">
        <v>1</v>
      </c>
      <c r="H124" s="1">
        <v>10003</v>
      </c>
      <c r="I124" s="1">
        <v>10003</v>
      </c>
      <c r="J124" s="2">
        <v>10023</v>
      </c>
      <c r="K124" s="1">
        <v>20003</v>
      </c>
      <c r="L124" s="1">
        <v>20003</v>
      </c>
      <c r="M124" s="1">
        <v>20013</v>
      </c>
      <c r="N124" s="1">
        <v>30003</v>
      </c>
      <c r="O124" s="1">
        <v>30013</v>
      </c>
      <c r="P124" s="1">
        <v>30003</v>
      </c>
      <c r="Q124" s="1">
        <v>30003</v>
      </c>
      <c r="R124" s="1">
        <v>20013</v>
      </c>
      <c r="S124" s="1">
        <v>20003</v>
      </c>
      <c r="T124" s="1">
        <v>40053</v>
      </c>
      <c r="U124" s="1">
        <v>40023</v>
      </c>
      <c r="V124" s="1">
        <v>40083</v>
      </c>
    </row>
    <row r="125" spans="1:22" x14ac:dyDescent="0.3">
      <c r="A125" s="1">
        <f t="shared" si="1"/>
        <v>113013</v>
      </c>
      <c r="B125" s="1">
        <v>10000403</v>
      </c>
      <c r="C125" s="1" t="s">
        <v>419</v>
      </c>
      <c r="F125" s="1">
        <v>4</v>
      </c>
      <c r="G125" s="1">
        <v>1</v>
      </c>
      <c r="H125" s="1">
        <v>10004</v>
      </c>
      <c r="I125" s="1">
        <v>10004</v>
      </c>
      <c r="J125" s="2">
        <v>10024</v>
      </c>
      <c r="K125" s="1">
        <v>20004</v>
      </c>
      <c r="L125" s="1">
        <v>20004</v>
      </c>
      <c r="M125" s="1">
        <v>20014</v>
      </c>
      <c r="N125" s="1">
        <v>30004</v>
      </c>
      <c r="O125" s="1">
        <v>30014</v>
      </c>
      <c r="P125" s="1">
        <v>30004</v>
      </c>
      <c r="Q125" s="1">
        <v>30004</v>
      </c>
      <c r="R125" s="1">
        <v>20014</v>
      </c>
      <c r="S125" s="1">
        <v>20004</v>
      </c>
      <c r="T125" s="1">
        <v>40054</v>
      </c>
      <c r="U125" s="1">
        <v>40024</v>
      </c>
      <c r="V125" s="1">
        <v>40084</v>
      </c>
    </row>
    <row r="126" spans="1:22" x14ac:dyDescent="0.3">
      <c r="A126" s="1">
        <f t="shared" si="1"/>
        <v>113014</v>
      </c>
      <c r="B126" s="1">
        <v>10000403</v>
      </c>
      <c r="C126" s="1" t="s">
        <v>419</v>
      </c>
      <c r="F126" s="1">
        <v>5</v>
      </c>
      <c r="G126" s="1">
        <v>1</v>
      </c>
      <c r="H126" s="1">
        <v>10005</v>
      </c>
      <c r="I126" s="1">
        <v>10005</v>
      </c>
      <c r="J126" s="2">
        <v>10025</v>
      </c>
      <c r="K126" s="1">
        <v>20005</v>
      </c>
      <c r="L126" s="1">
        <v>20005</v>
      </c>
      <c r="M126" s="1">
        <v>20015</v>
      </c>
      <c r="N126" s="1">
        <v>30005</v>
      </c>
      <c r="O126" s="1">
        <v>30015</v>
      </c>
      <c r="P126" s="1">
        <v>30005</v>
      </c>
      <c r="Q126" s="1">
        <v>30005</v>
      </c>
      <c r="R126" s="1">
        <v>20015</v>
      </c>
      <c r="S126" s="1">
        <v>20005</v>
      </c>
      <c r="T126" s="1">
        <v>40055</v>
      </c>
      <c r="U126" s="1">
        <v>40025</v>
      </c>
      <c r="V126" s="1">
        <v>40085</v>
      </c>
    </row>
    <row r="127" spans="1:22" x14ac:dyDescent="0.3">
      <c r="A127" s="1">
        <f t="shared" si="1"/>
        <v>113015</v>
      </c>
      <c r="B127" s="1">
        <v>10000403</v>
      </c>
      <c r="C127" s="1" t="s">
        <v>424</v>
      </c>
      <c r="F127" s="1">
        <v>1</v>
      </c>
      <c r="G127" s="1">
        <v>2</v>
      </c>
      <c r="H127" s="1">
        <v>10001</v>
      </c>
      <c r="I127" s="1">
        <v>10001</v>
      </c>
      <c r="J127" s="1">
        <v>10001</v>
      </c>
      <c r="K127" s="1">
        <v>20001</v>
      </c>
      <c r="L127" s="1">
        <v>20001</v>
      </c>
      <c r="M127" s="1">
        <v>20011</v>
      </c>
      <c r="N127" s="1">
        <v>30001</v>
      </c>
      <c r="O127" s="1">
        <v>30001</v>
      </c>
      <c r="P127" s="1">
        <v>30001</v>
      </c>
      <c r="Q127" s="1">
        <v>20001</v>
      </c>
      <c r="R127" s="1">
        <v>20011</v>
      </c>
      <c r="S127" s="1">
        <v>30001</v>
      </c>
      <c r="T127" s="1">
        <v>40001</v>
      </c>
      <c r="U127" s="1">
        <v>40011</v>
      </c>
      <c r="V127" s="1">
        <v>40081</v>
      </c>
    </row>
    <row r="128" spans="1:22" x14ac:dyDescent="0.3">
      <c r="A128" s="1">
        <f t="shared" si="1"/>
        <v>113016</v>
      </c>
      <c r="B128" s="1">
        <v>10000403</v>
      </c>
      <c r="C128" s="1" t="s">
        <v>424</v>
      </c>
      <c r="F128" s="1">
        <v>2</v>
      </c>
      <c r="G128" s="1">
        <v>2</v>
      </c>
      <c r="H128" s="1">
        <v>10002</v>
      </c>
      <c r="I128" s="1">
        <v>10002</v>
      </c>
      <c r="J128" s="1">
        <v>10001</v>
      </c>
      <c r="K128" s="1">
        <v>20002</v>
      </c>
      <c r="L128" s="1">
        <v>20002</v>
      </c>
      <c r="M128" s="1">
        <v>20012</v>
      </c>
      <c r="N128" s="1">
        <v>30002</v>
      </c>
      <c r="O128" s="1">
        <v>30002</v>
      </c>
      <c r="P128" s="1">
        <v>30002</v>
      </c>
      <c r="Q128" s="1">
        <v>20002</v>
      </c>
      <c r="R128" s="1">
        <v>20012</v>
      </c>
      <c r="S128" s="1">
        <v>30002</v>
      </c>
      <c r="T128" s="1">
        <v>40002</v>
      </c>
      <c r="U128" s="1">
        <v>40012</v>
      </c>
      <c r="V128" s="1">
        <v>40082</v>
      </c>
    </row>
    <row r="129" spans="1:22" x14ac:dyDescent="0.3">
      <c r="A129" s="1">
        <f t="shared" si="1"/>
        <v>113017</v>
      </c>
      <c r="B129" s="1">
        <v>10000403</v>
      </c>
      <c r="C129" s="1" t="s">
        <v>424</v>
      </c>
      <c r="F129" s="1">
        <v>3</v>
      </c>
      <c r="G129" s="1">
        <v>2</v>
      </c>
      <c r="H129" s="1">
        <v>10003</v>
      </c>
      <c r="I129" s="1">
        <v>10003</v>
      </c>
      <c r="J129" s="1">
        <v>10001</v>
      </c>
      <c r="K129" s="1">
        <v>20003</v>
      </c>
      <c r="L129" s="1">
        <v>20003</v>
      </c>
      <c r="M129" s="1">
        <v>20013</v>
      </c>
      <c r="N129" s="1">
        <v>30003</v>
      </c>
      <c r="O129" s="1">
        <v>30003</v>
      </c>
      <c r="P129" s="1">
        <v>30003</v>
      </c>
      <c r="Q129" s="1">
        <v>20003</v>
      </c>
      <c r="R129" s="1">
        <v>20013</v>
      </c>
      <c r="S129" s="1">
        <v>30003</v>
      </c>
      <c r="T129" s="1">
        <v>40003</v>
      </c>
      <c r="U129" s="1">
        <v>40013</v>
      </c>
      <c r="V129" s="1">
        <v>40083</v>
      </c>
    </row>
    <row r="130" spans="1:22" x14ac:dyDescent="0.3">
      <c r="A130" s="1">
        <f t="shared" si="1"/>
        <v>113018</v>
      </c>
      <c r="B130" s="1">
        <v>10000403</v>
      </c>
      <c r="C130" s="1" t="s">
        <v>424</v>
      </c>
      <c r="F130" s="1">
        <v>4</v>
      </c>
      <c r="G130" s="1">
        <v>2</v>
      </c>
      <c r="H130" s="1">
        <v>10004</v>
      </c>
      <c r="I130" s="1">
        <v>10004</v>
      </c>
      <c r="J130" s="1">
        <v>10001</v>
      </c>
      <c r="K130" s="1">
        <v>20004</v>
      </c>
      <c r="L130" s="1">
        <v>20004</v>
      </c>
      <c r="M130" s="1">
        <v>20014</v>
      </c>
      <c r="N130" s="1">
        <v>30004</v>
      </c>
      <c r="O130" s="1">
        <v>30004</v>
      </c>
      <c r="P130" s="1">
        <v>30004</v>
      </c>
      <c r="Q130" s="1">
        <v>20004</v>
      </c>
      <c r="R130" s="1">
        <v>20014</v>
      </c>
      <c r="S130" s="1">
        <v>30004</v>
      </c>
      <c r="T130" s="1">
        <v>40004</v>
      </c>
      <c r="U130" s="1">
        <v>40014</v>
      </c>
      <c r="V130" s="1">
        <v>40084</v>
      </c>
    </row>
    <row r="131" spans="1:22" x14ac:dyDescent="0.3">
      <c r="A131" s="1">
        <f t="shared" si="1"/>
        <v>113019</v>
      </c>
      <c r="B131" s="1">
        <v>10000403</v>
      </c>
      <c r="C131" s="1" t="s">
        <v>424</v>
      </c>
      <c r="F131" s="1">
        <v>5</v>
      </c>
      <c r="G131" s="1">
        <v>2</v>
      </c>
      <c r="H131" s="1">
        <v>10005</v>
      </c>
      <c r="I131" s="1">
        <v>10005</v>
      </c>
      <c r="J131" s="1">
        <v>10001</v>
      </c>
      <c r="K131" s="1">
        <v>20005</v>
      </c>
      <c r="L131" s="1">
        <v>20005</v>
      </c>
      <c r="M131" s="1">
        <v>20015</v>
      </c>
      <c r="N131" s="1">
        <v>30005</v>
      </c>
      <c r="O131" s="1">
        <v>30005</v>
      </c>
      <c r="P131" s="1">
        <v>30005</v>
      </c>
      <c r="Q131" s="1">
        <v>20005</v>
      </c>
      <c r="R131" s="1">
        <v>20015</v>
      </c>
      <c r="S131" s="1">
        <v>30005</v>
      </c>
      <c r="T131" s="1">
        <v>40005</v>
      </c>
      <c r="U131" s="1">
        <v>40015</v>
      </c>
      <c r="V131" s="1">
        <v>40085</v>
      </c>
    </row>
    <row r="132" spans="1:22" x14ac:dyDescent="0.3">
      <c r="A132" s="1">
        <f t="shared" si="1"/>
        <v>114010</v>
      </c>
      <c r="B132" s="1">
        <f>+B122+1</f>
        <v>10000404</v>
      </c>
      <c r="C132" s="1" t="s">
        <v>423</v>
      </c>
      <c r="F132" s="1">
        <v>1</v>
      </c>
      <c r="G132" s="1">
        <v>1</v>
      </c>
      <c r="H132" s="2">
        <v>10021</v>
      </c>
      <c r="I132" s="2">
        <v>10021</v>
      </c>
      <c r="J132" s="2">
        <v>10021</v>
      </c>
      <c r="K132" s="1">
        <v>20001</v>
      </c>
      <c r="L132" s="1">
        <v>20001</v>
      </c>
      <c r="M132" s="1">
        <v>20011</v>
      </c>
      <c r="N132" s="1">
        <v>30001</v>
      </c>
      <c r="O132" s="1">
        <v>30011</v>
      </c>
      <c r="P132" s="1">
        <v>30001</v>
      </c>
      <c r="Q132" s="2">
        <v>10021</v>
      </c>
      <c r="R132" s="2">
        <v>10021</v>
      </c>
      <c r="S132" s="2">
        <v>10021</v>
      </c>
      <c r="T132" s="1">
        <v>40031</v>
      </c>
      <c r="U132" s="1">
        <v>40041</v>
      </c>
      <c r="V132" s="1">
        <v>40051</v>
      </c>
    </row>
    <row r="133" spans="1:22" x14ac:dyDescent="0.3">
      <c r="A133" s="1">
        <f t="shared" si="1"/>
        <v>114011</v>
      </c>
      <c r="B133" s="1">
        <f t="shared" ref="B133:B196" si="2">+B123+1</f>
        <v>10000404</v>
      </c>
      <c r="C133" s="1" t="s">
        <v>423</v>
      </c>
      <c r="F133" s="1">
        <v>2</v>
      </c>
      <c r="G133" s="1">
        <v>1</v>
      </c>
      <c r="H133" s="2">
        <v>10022</v>
      </c>
      <c r="I133" s="2">
        <v>10022</v>
      </c>
      <c r="J133" s="2">
        <v>10022</v>
      </c>
      <c r="K133" s="1">
        <v>20002</v>
      </c>
      <c r="L133" s="1">
        <v>20002</v>
      </c>
      <c r="M133" s="1">
        <v>20012</v>
      </c>
      <c r="N133" s="1">
        <v>30002</v>
      </c>
      <c r="O133" s="1">
        <v>30012</v>
      </c>
      <c r="P133" s="1">
        <v>30002</v>
      </c>
      <c r="Q133" s="2">
        <v>10022</v>
      </c>
      <c r="R133" s="2">
        <v>10022</v>
      </c>
      <c r="S133" s="2">
        <v>10022</v>
      </c>
      <c r="T133" s="1">
        <v>40032</v>
      </c>
      <c r="U133" s="1">
        <v>40042</v>
      </c>
      <c r="V133" s="1">
        <v>40052</v>
      </c>
    </row>
    <row r="134" spans="1:22" x14ac:dyDescent="0.3">
      <c r="A134" s="1">
        <f t="shared" si="1"/>
        <v>114012</v>
      </c>
      <c r="B134" s="1">
        <f t="shared" si="2"/>
        <v>10000404</v>
      </c>
      <c r="C134" s="1" t="s">
        <v>423</v>
      </c>
      <c r="F134" s="1">
        <v>3</v>
      </c>
      <c r="G134" s="1">
        <v>1</v>
      </c>
      <c r="H134" s="2">
        <v>10023</v>
      </c>
      <c r="I134" s="2">
        <v>10023</v>
      </c>
      <c r="J134" s="2">
        <v>10023</v>
      </c>
      <c r="K134" s="1">
        <v>20003</v>
      </c>
      <c r="L134" s="1">
        <v>20003</v>
      </c>
      <c r="M134" s="1">
        <v>20013</v>
      </c>
      <c r="N134" s="1">
        <v>30003</v>
      </c>
      <c r="O134" s="1">
        <v>30013</v>
      </c>
      <c r="P134" s="1">
        <v>30003</v>
      </c>
      <c r="Q134" s="2">
        <v>10023</v>
      </c>
      <c r="R134" s="2">
        <v>10023</v>
      </c>
      <c r="S134" s="2">
        <v>10023</v>
      </c>
      <c r="T134" s="1">
        <v>40033</v>
      </c>
      <c r="U134" s="1">
        <v>40043</v>
      </c>
      <c r="V134" s="1">
        <v>40053</v>
      </c>
    </row>
    <row r="135" spans="1:22" x14ac:dyDescent="0.3">
      <c r="A135" s="1">
        <f t="shared" si="1"/>
        <v>114013</v>
      </c>
      <c r="B135" s="1">
        <f t="shared" si="2"/>
        <v>10000404</v>
      </c>
      <c r="C135" s="1" t="s">
        <v>423</v>
      </c>
      <c r="F135" s="1">
        <v>4</v>
      </c>
      <c r="G135" s="1">
        <v>1</v>
      </c>
      <c r="H135" s="2">
        <v>10024</v>
      </c>
      <c r="I135" s="2">
        <v>10024</v>
      </c>
      <c r="J135" s="2">
        <v>10024</v>
      </c>
      <c r="K135" s="1">
        <v>20004</v>
      </c>
      <c r="L135" s="1">
        <v>20004</v>
      </c>
      <c r="M135" s="1">
        <v>20014</v>
      </c>
      <c r="N135" s="1">
        <v>30004</v>
      </c>
      <c r="O135" s="1">
        <v>30014</v>
      </c>
      <c r="P135" s="1">
        <v>30004</v>
      </c>
      <c r="Q135" s="2">
        <v>10024</v>
      </c>
      <c r="R135" s="2">
        <v>10024</v>
      </c>
      <c r="S135" s="2">
        <v>10024</v>
      </c>
      <c r="T135" s="1">
        <v>40034</v>
      </c>
      <c r="U135" s="1">
        <v>40044</v>
      </c>
      <c r="V135" s="1">
        <v>40054</v>
      </c>
    </row>
    <row r="136" spans="1:22" x14ac:dyDescent="0.3">
      <c r="A136" s="1">
        <f t="shared" si="1"/>
        <v>114014</v>
      </c>
      <c r="B136" s="1">
        <f t="shared" si="2"/>
        <v>10000404</v>
      </c>
      <c r="C136" s="1" t="s">
        <v>423</v>
      </c>
      <c r="F136" s="1">
        <v>5</v>
      </c>
      <c r="G136" s="1">
        <v>1</v>
      </c>
      <c r="H136" s="2">
        <v>10025</v>
      </c>
      <c r="I136" s="2">
        <v>10025</v>
      </c>
      <c r="J136" s="2">
        <v>10025</v>
      </c>
      <c r="K136" s="1">
        <v>20005</v>
      </c>
      <c r="L136" s="1">
        <v>20005</v>
      </c>
      <c r="M136" s="1">
        <v>20015</v>
      </c>
      <c r="N136" s="1">
        <v>30005</v>
      </c>
      <c r="O136" s="1">
        <v>30015</v>
      </c>
      <c r="P136" s="1">
        <v>30005</v>
      </c>
      <c r="Q136" s="2">
        <v>10025</v>
      </c>
      <c r="R136" s="2">
        <v>10025</v>
      </c>
      <c r="S136" s="2">
        <v>10025</v>
      </c>
      <c r="T136" s="1">
        <v>40035</v>
      </c>
      <c r="U136" s="1">
        <v>40045</v>
      </c>
      <c r="V136" s="1">
        <v>40055</v>
      </c>
    </row>
    <row r="137" spans="1:22" x14ac:dyDescent="0.3">
      <c r="A137" s="1">
        <f t="shared" si="1"/>
        <v>114015</v>
      </c>
      <c r="B137" s="1">
        <f t="shared" si="2"/>
        <v>10000404</v>
      </c>
      <c r="C137" s="1" t="s">
        <v>416</v>
      </c>
      <c r="F137" s="1">
        <v>1</v>
      </c>
      <c r="G137" s="1">
        <v>2</v>
      </c>
      <c r="H137" s="1">
        <v>10001</v>
      </c>
      <c r="I137" s="1">
        <v>10001</v>
      </c>
      <c r="J137" s="1">
        <v>10001</v>
      </c>
      <c r="K137" s="1">
        <v>20001</v>
      </c>
      <c r="L137" s="1">
        <v>20001</v>
      </c>
      <c r="M137" s="1">
        <v>20011</v>
      </c>
      <c r="N137" s="1">
        <v>30001</v>
      </c>
      <c r="O137" s="1">
        <v>30011</v>
      </c>
      <c r="P137" s="1">
        <v>30001</v>
      </c>
      <c r="Q137" s="1">
        <v>10001</v>
      </c>
      <c r="R137" s="1">
        <v>10001</v>
      </c>
      <c r="S137" s="1">
        <v>10001</v>
      </c>
      <c r="T137" s="1">
        <v>40051</v>
      </c>
      <c r="U137" s="1">
        <v>40021</v>
      </c>
      <c r="V137" s="1">
        <v>40081</v>
      </c>
    </row>
    <row r="138" spans="1:22" x14ac:dyDescent="0.3">
      <c r="A138" s="1">
        <f t="shared" si="1"/>
        <v>114016</v>
      </c>
      <c r="B138" s="1">
        <f t="shared" si="2"/>
        <v>10000404</v>
      </c>
      <c r="C138" s="1" t="s">
        <v>416</v>
      </c>
      <c r="F138" s="1">
        <v>2</v>
      </c>
      <c r="G138" s="1">
        <v>2</v>
      </c>
      <c r="H138" s="1">
        <v>10002</v>
      </c>
      <c r="I138" s="1">
        <v>10002</v>
      </c>
      <c r="J138" s="1">
        <v>10002</v>
      </c>
      <c r="K138" s="1">
        <v>20002</v>
      </c>
      <c r="L138" s="1">
        <v>20002</v>
      </c>
      <c r="M138" s="1">
        <v>20012</v>
      </c>
      <c r="N138" s="1">
        <v>30002</v>
      </c>
      <c r="O138" s="1">
        <v>30012</v>
      </c>
      <c r="P138" s="1">
        <v>30002</v>
      </c>
      <c r="Q138" s="1">
        <v>10002</v>
      </c>
      <c r="R138" s="1">
        <v>10002</v>
      </c>
      <c r="S138" s="1">
        <v>10002</v>
      </c>
      <c r="T138" s="1">
        <v>40052</v>
      </c>
      <c r="U138" s="1">
        <v>40022</v>
      </c>
      <c r="V138" s="1">
        <v>40082</v>
      </c>
    </row>
    <row r="139" spans="1:22" x14ac:dyDescent="0.3">
      <c r="A139" s="1">
        <f t="shared" si="1"/>
        <v>114017</v>
      </c>
      <c r="B139" s="1">
        <f t="shared" si="2"/>
        <v>10000404</v>
      </c>
      <c r="C139" s="1" t="s">
        <v>416</v>
      </c>
      <c r="F139" s="1">
        <v>3</v>
      </c>
      <c r="G139" s="1">
        <v>2</v>
      </c>
      <c r="H139" s="1">
        <v>10003</v>
      </c>
      <c r="I139" s="1">
        <v>10003</v>
      </c>
      <c r="J139" s="1">
        <v>10003</v>
      </c>
      <c r="K139" s="1">
        <v>20003</v>
      </c>
      <c r="L139" s="1">
        <v>20003</v>
      </c>
      <c r="M139" s="1">
        <v>20013</v>
      </c>
      <c r="N139" s="1">
        <v>30003</v>
      </c>
      <c r="O139" s="1">
        <v>30013</v>
      </c>
      <c r="P139" s="1">
        <v>30003</v>
      </c>
      <c r="Q139" s="1">
        <v>10003</v>
      </c>
      <c r="R139" s="1">
        <v>10003</v>
      </c>
      <c r="S139" s="1">
        <v>10003</v>
      </c>
      <c r="T139" s="1">
        <v>40053</v>
      </c>
      <c r="U139" s="1">
        <v>40023</v>
      </c>
      <c r="V139" s="1">
        <v>40083</v>
      </c>
    </row>
    <row r="140" spans="1:22" x14ac:dyDescent="0.3">
      <c r="A140" s="1">
        <f t="shared" si="1"/>
        <v>114018</v>
      </c>
      <c r="B140" s="1">
        <f t="shared" si="2"/>
        <v>10000404</v>
      </c>
      <c r="C140" s="1" t="s">
        <v>416</v>
      </c>
      <c r="F140" s="1">
        <v>4</v>
      </c>
      <c r="G140" s="1">
        <v>2</v>
      </c>
      <c r="H140" s="1">
        <v>10004</v>
      </c>
      <c r="I140" s="1">
        <v>10004</v>
      </c>
      <c r="J140" s="1">
        <v>10004</v>
      </c>
      <c r="K140" s="1">
        <v>20004</v>
      </c>
      <c r="L140" s="1">
        <v>20004</v>
      </c>
      <c r="M140" s="1">
        <v>20014</v>
      </c>
      <c r="N140" s="1">
        <v>30004</v>
      </c>
      <c r="O140" s="1">
        <v>30014</v>
      </c>
      <c r="P140" s="1">
        <v>30004</v>
      </c>
      <c r="Q140" s="1">
        <v>10004</v>
      </c>
      <c r="R140" s="1">
        <v>10004</v>
      </c>
      <c r="S140" s="1">
        <v>10004</v>
      </c>
      <c r="T140" s="1">
        <v>40054</v>
      </c>
      <c r="U140" s="1">
        <v>40024</v>
      </c>
      <c r="V140" s="1">
        <v>40084</v>
      </c>
    </row>
    <row r="141" spans="1:22" x14ac:dyDescent="0.3">
      <c r="A141" s="1">
        <f t="shared" ref="A141:A204" si="3">A131+1000</f>
        <v>114019</v>
      </c>
      <c r="B141" s="1">
        <f t="shared" si="2"/>
        <v>10000404</v>
      </c>
      <c r="C141" s="1" t="s">
        <v>416</v>
      </c>
      <c r="F141" s="1">
        <v>5</v>
      </c>
      <c r="G141" s="1">
        <v>2</v>
      </c>
      <c r="H141" s="1">
        <v>10005</v>
      </c>
      <c r="I141" s="1">
        <v>10005</v>
      </c>
      <c r="J141" s="1">
        <v>10005</v>
      </c>
      <c r="K141" s="1">
        <v>20005</v>
      </c>
      <c r="L141" s="1">
        <v>20005</v>
      </c>
      <c r="M141" s="1">
        <v>20015</v>
      </c>
      <c r="N141" s="1">
        <v>30005</v>
      </c>
      <c r="O141" s="1">
        <v>30015</v>
      </c>
      <c r="P141" s="1">
        <v>30005</v>
      </c>
      <c r="Q141" s="1">
        <v>10005</v>
      </c>
      <c r="R141" s="1">
        <v>10005</v>
      </c>
      <c r="S141" s="1">
        <v>10005</v>
      </c>
      <c r="T141" s="1">
        <v>40055</v>
      </c>
      <c r="U141" s="1">
        <v>40025</v>
      </c>
      <c r="V141" s="1">
        <v>40085</v>
      </c>
    </row>
    <row r="142" spans="1:22" x14ac:dyDescent="0.3">
      <c r="A142" s="1">
        <f t="shared" si="3"/>
        <v>115010</v>
      </c>
      <c r="B142" s="1">
        <f t="shared" si="2"/>
        <v>10000405</v>
      </c>
      <c r="C142" s="1" t="s">
        <v>420</v>
      </c>
      <c r="F142" s="1">
        <v>1</v>
      </c>
      <c r="G142" s="1">
        <v>1</v>
      </c>
      <c r="H142" s="1">
        <v>10021</v>
      </c>
      <c r="I142" s="1">
        <v>10021</v>
      </c>
      <c r="J142" s="1">
        <v>10021</v>
      </c>
      <c r="K142" s="1">
        <v>20001</v>
      </c>
      <c r="L142" s="1">
        <v>20001</v>
      </c>
      <c r="M142" s="1">
        <v>20011</v>
      </c>
      <c r="N142" s="1">
        <v>30001</v>
      </c>
      <c r="O142" s="1">
        <v>30011</v>
      </c>
      <c r="P142" s="1">
        <v>30001</v>
      </c>
      <c r="Q142" s="1">
        <v>10011</v>
      </c>
      <c r="R142" s="1">
        <v>10021</v>
      </c>
      <c r="S142" s="1">
        <v>10021</v>
      </c>
      <c r="T142" s="1">
        <v>40061</v>
      </c>
      <c r="U142" s="1">
        <v>40071</v>
      </c>
      <c r="V142" s="1">
        <v>40041</v>
      </c>
    </row>
    <row r="143" spans="1:22" x14ac:dyDescent="0.3">
      <c r="A143" s="1">
        <f t="shared" si="3"/>
        <v>115011</v>
      </c>
      <c r="B143" s="1">
        <f t="shared" si="2"/>
        <v>10000405</v>
      </c>
      <c r="C143" s="1" t="s">
        <v>420</v>
      </c>
      <c r="F143" s="1">
        <v>2</v>
      </c>
      <c r="G143" s="1">
        <v>1</v>
      </c>
      <c r="H143" s="1">
        <v>10022</v>
      </c>
      <c r="I143" s="1">
        <v>10022</v>
      </c>
      <c r="J143" s="1">
        <v>10022</v>
      </c>
      <c r="K143" s="1">
        <v>20002</v>
      </c>
      <c r="L143" s="1">
        <v>20002</v>
      </c>
      <c r="M143" s="1">
        <v>20012</v>
      </c>
      <c r="N143" s="1">
        <v>30002</v>
      </c>
      <c r="O143" s="1">
        <v>30012</v>
      </c>
      <c r="P143" s="1">
        <v>30002</v>
      </c>
      <c r="Q143" s="1">
        <v>10012</v>
      </c>
      <c r="R143" s="1">
        <v>10022</v>
      </c>
      <c r="S143" s="1">
        <v>10022</v>
      </c>
      <c r="T143" s="1">
        <v>40062</v>
      </c>
      <c r="U143" s="1">
        <v>40072</v>
      </c>
      <c r="V143" s="1">
        <v>40042</v>
      </c>
    </row>
    <row r="144" spans="1:22" x14ac:dyDescent="0.3">
      <c r="A144" s="1">
        <f t="shared" si="3"/>
        <v>115012</v>
      </c>
      <c r="B144" s="1">
        <f t="shared" si="2"/>
        <v>10000405</v>
      </c>
      <c r="C144" s="1" t="s">
        <v>420</v>
      </c>
      <c r="F144" s="1">
        <v>3</v>
      </c>
      <c r="G144" s="1">
        <v>1</v>
      </c>
      <c r="H144" s="1">
        <v>10023</v>
      </c>
      <c r="I144" s="1">
        <v>10023</v>
      </c>
      <c r="J144" s="1">
        <v>10023</v>
      </c>
      <c r="K144" s="1">
        <v>20003</v>
      </c>
      <c r="L144" s="1">
        <v>20003</v>
      </c>
      <c r="M144" s="1">
        <v>20013</v>
      </c>
      <c r="N144" s="1">
        <v>30003</v>
      </c>
      <c r="O144" s="1">
        <v>30013</v>
      </c>
      <c r="P144" s="1">
        <v>30003</v>
      </c>
      <c r="Q144" s="1">
        <v>10013</v>
      </c>
      <c r="R144" s="1">
        <v>10023</v>
      </c>
      <c r="S144" s="1">
        <v>10023</v>
      </c>
      <c r="T144" s="1">
        <v>40063</v>
      </c>
      <c r="U144" s="1">
        <v>40073</v>
      </c>
      <c r="V144" s="1">
        <v>40043</v>
      </c>
    </row>
    <row r="145" spans="1:22" x14ac:dyDescent="0.3">
      <c r="A145" s="1">
        <f t="shared" si="3"/>
        <v>115013</v>
      </c>
      <c r="B145" s="1">
        <f t="shared" si="2"/>
        <v>10000405</v>
      </c>
      <c r="C145" s="1" t="s">
        <v>420</v>
      </c>
      <c r="F145" s="1">
        <v>4</v>
      </c>
      <c r="G145" s="1">
        <v>1</v>
      </c>
      <c r="H145" s="1">
        <v>10024</v>
      </c>
      <c r="I145" s="1">
        <v>10024</v>
      </c>
      <c r="J145" s="1">
        <v>10024</v>
      </c>
      <c r="K145" s="1">
        <v>20004</v>
      </c>
      <c r="L145" s="1">
        <v>20004</v>
      </c>
      <c r="M145" s="1">
        <v>20014</v>
      </c>
      <c r="N145" s="1">
        <v>30004</v>
      </c>
      <c r="O145" s="1">
        <v>30014</v>
      </c>
      <c r="P145" s="1">
        <v>30004</v>
      </c>
      <c r="Q145" s="1">
        <v>10014</v>
      </c>
      <c r="R145" s="1">
        <v>10024</v>
      </c>
      <c r="S145" s="1">
        <v>10024</v>
      </c>
      <c r="T145" s="1">
        <v>40064</v>
      </c>
      <c r="U145" s="1">
        <v>40074</v>
      </c>
      <c r="V145" s="1">
        <v>40044</v>
      </c>
    </row>
    <row r="146" spans="1:22" x14ac:dyDescent="0.3">
      <c r="A146" s="1">
        <f t="shared" si="3"/>
        <v>115014</v>
      </c>
      <c r="B146" s="1">
        <f t="shared" si="2"/>
        <v>10000405</v>
      </c>
      <c r="C146" s="1" t="s">
        <v>420</v>
      </c>
      <c r="F146" s="1">
        <v>5</v>
      </c>
      <c r="G146" s="1">
        <v>1</v>
      </c>
      <c r="H146" s="1">
        <v>10025</v>
      </c>
      <c r="I146" s="1">
        <v>10025</v>
      </c>
      <c r="J146" s="1">
        <v>10025</v>
      </c>
      <c r="K146" s="1">
        <v>20005</v>
      </c>
      <c r="L146" s="1">
        <v>20005</v>
      </c>
      <c r="M146" s="1">
        <v>20015</v>
      </c>
      <c r="N146" s="1">
        <v>30005</v>
      </c>
      <c r="O146" s="1">
        <v>30015</v>
      </c>
      <c r="P146" s="1">
        <v>30005</v>
      </c>
      <c r="Q146" s="1">
        <v>10015</v>
      </c>
      <c r="R146" s="1">
        <v>10025</v>
      </c>
      <c r="S146" s="1">
        <v>10025</v>
      </c>
      <c r="T146" s="1">
        <v>40065</v>
      </c>
      <c r="U146" s="1">
        <v>40075</v>
      </c>
      <c r="V146" s="1">
        <v>40045</v>
      </c>
    </row>
    <row r="147" spans="1:22" x14ac:dyDescent="0.3">
      <c r="A147" s="1">
        <f t="shared" si="3"/>
        <v>115015</v>
      </c>
      <c r="B147" s="1">
        <f t="shared" si="2"/>
        <v>10000405</v>
      </c>
      <c r="C147" s="1" t="s">
        <v>421</v>
      </c>
      <c r="F147" s="1">
        <v>1</v>
      </c>
      <c r="G147" s="1">
        <v>2</v>
      </c>
      <c r="H147" s="1">
        <v>10011</v>
      </c>
      <c r="I147" s="1">
        <v>10011</v>
      </c>
      <c r="J147" s="2">
        <v>10021</v>
      </c>
      <c r="K147" s="1">
        <v>20001</v>
      </c>
      <c r="L147" s="1">
        <v>20001</v>
      </c>
      <c r="M147" s="1">
        <v>20011</v>
      </c>
      <c r="N147" s="1">
        <v>30001</v>
      </c>
      <c r="O147" s="1">
        <v>30011</v>
      </c>
      <c r="P147" s="1">
        <v>30001</v>
      </c>
      <c r="Q147" s="1">
        <v>10011</v>
      </c>
      <c r="R147" s="1">
        <v>10011</v>
      </c>
      <c r="S147" s="1">
        <v>10021</v>
      </c>
      <c r="T147" s="1">
        <v>40041</v>
      </c>
      <c r="U147" s="1">
        <v>40061</v>
      </c>
      <c r="V147" s="1">
        <v>40081</v>
      </c>
    </row>
    <row r="148" spans="1:22" x14ac:dyDescent="0.3">
      <c r="A148" s="1">
        <f t="shared" si="3"/>
        <v>115016</v>
      </c>
      <c r="B148" s="1">
        <f t="shared" si="2"/>
        <v>10000405</v>
      </c>
      <c r="C148" s="1" t="s">
        <v>421</v>
      </c>
      <c r="F148" s="1">
        <v>2</v>
      </c>
      <c r="G148" s="1">
        <v>2</v>
      </c>
      <c r="H148" s="1">
        <v>10012</v>
      </c>
      <c r="I148" s="1">
        <v>10012</v>
      </c>
      <c r="J148" s="2">
        <v>10022</v>
      </c>
      <c r="K148" s="1">
        <v>20002</v>
      </c>
      <c r="L148" s="1">
        <v>20002</v>
      </c>
      <c r="M148" s="1">
        <v>20012</v>
      </c>
      <c r="N148" s="1">
        <v>30002</v>
      </c>
      <c r="O148" s="1">
        <v>30012</v>
      </c>
      <c r="P148" s="1">
        <v>30002</v>
      </c>
      <c r="Q148" s="1">
        <v>10012</v>
      </c>
      <c r="R148" s="1">
        <v>10012</v>
      </c>
      <c r="S148" s="1">
        <v>10022</v>
      </c>
      <c r="T148" s="1">
        <v>40042</v>
      </c>
      <c r="U148" s="1">
        <v>40062</v>
      </c>
      <c r="V148" s="1">
        <v>40082</v>
      </c>
    </row>
    <row r="149" spans="1:22" x14ac:dyDescent="0.3">
      <c r="A149" s="1">
        <f t="shared" si="3"/>
        <v>115017</v>
      </c>
      <c r="B149" s="1">
        <f t="shared" si="2"/>
        <v>10000405</v>
      </c>
      <c r="C149" s="1" t="s">
        <v>421</v>
      </c>
      <c r="F149" s="1">
        <v>3</v>
      </c>
      <c r="G149" s="1">
        <v>2</v>
      </c>
      <c r="H149" s="1">
        <v>10013</v>
      </c>
      <c r="I149" s="1">
        <v>10013</v>
      </c>
      <c r="J149" s="2">
        <v>10023</v>
      </c>
      <c r="K149" s="1">
        <v>20003</v>
      </c>
      <c r="L149" s="1">
        <v>20003</v>
      </c>
      <c r="M149" s="1">
        <v>20013</v>
      </c>
      <c r="N149" s="1">
        <v>30003</v>
      </c>
      <c r="O149" s="1">
        <v>30013</v>
      </c>
      <c r="P149" s="1">
        <v>30003</v>
      </c>
      <c r="Q149" s="1">
        <v>10013</v>
      </c>
      <c r="R149" s="1">
        <v>10013</v>
      </c>
      <c r="S149" s="1">
        <v>10023</v>
      </c>
      <c r="T149" s="1">
        <v>40043</v>
      </c>
      <c r="U149" s="1">
        <v>40063</v>
      </c>
      <c r="V149" s="1">
        <v>40083</v>
      </c>
    </row>
    <row r="150" spans="1:22" x14ac:dyDescent="0.3">
      <c r="A150" s="1">
        <f t="shared" si="3"/>
        <v>115018</v>
      </c>
      <c r="B150" s="1">
        <f t="shared" si="2"/>
        <v>10000405</v>
      </c>
      <c r="C150" s="1" t="s">
        <v>421</v>
      </c>
      <c r="F150" s="1">
        <v>4</v>
      </c>
      <c r="G150" s="1">
        <v>2</v>
      </c>
      <c r="H150" s="1">
        <v>10014</v>
      </c>
      <c r="I150" s="1">
        <v>10014</v>
      </c>
      <c r="J150" s="2">
        <v>10024</v>
      </c>
      <c r="K150" s="1">
        <v>20004</v>
      </c>
      <c r="L150" s="1">
        <v>20004</v>
      </c>
      <c r="M150" s="1">
        <v>20014</v>
      </c>
      <c r="N150" s="1">
        <v>30004</v>
      </c>
      <c r="O150" s="1">
        <v>30014</v>
      </c>
      <c r="P150" s="1">
        <v>30004</v>
      </c>
      <c r="Q150" s="1">
        <v>10014</v>
      </c>
      <c r="R150" s="1">
        <v>10014</v>
      </c>
      <c r="S150" s="1">
        <v>10024</v>
      </c>
      <c r="T150" s="1">
        <v>40044</v>
      </c>
      <c r="U150" s="1">
        <v>40064</v>
      </c>
      <c r="V150" s="1">
        <v>40084</v>
      </c>
    </row>
    <row r="151" spans="1:22" x14ac:dyDescent="0.3">
      <c r="A151" s="1">
        <f t="shared" si="3"/>
        <v>115019</v>
      </c>
      <c r="B151" s="1">
        <f t="shared" si="2"/>
        <v>10000405</v>
      </c>
      <c r="C151" s="1" t="s">
        <v>421</v>
      </c>
      <c r="F151" s="1">
        <v>5</v>
      </c>
      <c r="G151" s="1">
        <v>2</v>
      </c>
      <c r="H151" s="1">
        <v>10015</v>
      </c>
      <c r="I151" s="1">
        <v>10015</v>
      </c>
      <c r="J151" s="2">
        <v>10025</v>
      </c>
      <c r="K151" s="1">
        <v>20005</v>
      </c>
      <c r="L151" s="1">
        <v>20005</v>
      </c>
      <c r="M151" s="1">
        <v>20015</v>
      </c>
      <c r="N151" s="1">
        <v>30005</v>
      </c>
      <c r="O151" s="1">
        <v>30015</v>
      </c>
      <c r="P151" s="1">
        <v>30005</v>
      </c>
      <c r="Q151" s="1">
        <v>10015</v>
      </c>
      <c r="R151" s="1">
        <v>10015</v>
      </c>
      <c r="S151" s="1">
        <v>10025</v>
      </c>
      <c r="T151" s="1">
        <v>40045</v>
      </c>
      <c r="U151" s="1">
        <v>40065</v>
      </c>
      <c r="V151" s="1">
        <v>40085</v>
      </c>
    </row>
    <row r="152" spans="1:22" x14ac:dyDescent="0.3">
      <c r="A152" s="1">
        <f t="shared" si="3"/>
        <v>116010</v>
      </c>
      <c r="B152" s="1">
        <f t="shared" si="2"/>
        <v>10000406</v>
      </c>
      <c r="C152" s="1" t="s">
        <v>419</v>
      </c>
      <c r="F152" s="1">
        <v>1</v>
      </c>
      <c r="G152" s="1">
        <v>1</v>
      </c>
      <c r="H152" s="1">
        <v>10001</v>
      </c>
      <c r="I152" s="1">
        <v>10001</v>
      </c>
      <c r="J152" s="2">
        <v>10021</v>
      </c>
      <c r="K152" s="1">
        <v>20001</v>
      </c>
      <c r="L152" s="1">
        <v>20001</v>
      </c>
      <c r="M152" s="1">
        <v>20011</v>
      </c>
      <c r="N152" s="1">
        <v>30001</v>
      </c>
      <c r="O152" s="1">
        <v>30011</v>
      </c>
      <c r="P152" s="1">
        <v>30001</v>
      </c>
      <c r="Q152" s="1">
        <v>30001</v>
      </c>
      <c r="R152" s="1">
        <v>20011</v>
      </c>
      <c r="S152" s="1">
        <v>20001</v>
      </c>
      <c r="T152" s="1">
        <v>40051</v>
      </c>
      <c r="U152" s="1">
        <v>40021</v>
      </c>
      <c r="V152" s="1">
        <v>40081</v>
      </c>
    </row>
    <row r="153" spans="1:22" x14ac:dyDescent="0.3">
      <c r="A153" s="1">
        <f t="shared" si="3"/>
        <v>116011</v>
      </c>
      <c r="B153" s="1">
        <f t="shared" si="2"/>
        <v>10000406</v>
      </c>
      <c r="C153" s="1" t="s">
        <v>419</v>
      </c>
      <c r="F153" s="1">
        <v>2</v>
      </c>
      <c r="G153" s="1">
        <v>1</v>
      </c>
      <c r="H153" s="1">
        <v>10002</v>
      </c>
      <c r="I153" s="1">
        <v>10002</v>
      </c>
      <c r="J153" s="2">
        <v>10022</v>
      </c>
      <c r="K153" s="1">
        <v>20002</v>
      </c>
      <c r="L153" s="1">
        <v>20002</v>
      </c>
      <c r="M153" s="1">
        <v>20012</v>
      </c>
      <c r="N153" s="1">
        <v>30002</v>
      </c>
      <c r="O153" s="1">
        <v>30012</v>
      </c>
      <c r="P153" s="1">
        <v>30002</v>
      </c>
      <c r="Q153" s="1">
        <v>30002</v>
      </c>
      <c r="R153" s="1">
        <v>20012</v>
      </c>
      <c r="S153" s="1">
        <v>20002</v>
      </c>
      <c r="T153" s="1">
        <v>40052</v>
      </c>
      <c r="U153" s="1">
        <v>40022</v>
      </c>
      <c r="V153" s="1">
        <v>40082</v>
      </c>
    </row>
    <row r="154" spans="1:22" x14ac:dyDescent="0.3">
      <c r="A154" s="1">
        <f t="shared" si="3"/>
        <v>116012</v>
      </c>
      <c r="B154" s="1">
        <f t="shared" si="2"/>
        <v>10000406</v>
      </c>
      <c r="C154" s="1" t="s">
        <v>419</v>
      </c>
      <c r="F154" s="1">
        <v>3</v>
      </c>
      <c r="G154" s="1">
        <v>1</v>
      </c>
      <c r="H154" s="1">
        <v>10003</v>
      </c>
      <c r="I154" s="1">
        <v>10003</v>
      </c>
      <c r="J154" s="2">
        <v>10023</v>
      </c>
      <c r="K154" s="1">
        <v>20003</v>
      </c>
      <c r="L154" s="1">
        <v>20003</v>
      </c>
      <c r="M154" s="1">
        <v>20013</v>
      </c>
      <c r="N154" s="1">
        <v>30003</v>
      </c>
      <c r="O154" s="1">
        <v>30013</v>
      </c>
      <c r="P154" s="1">
        <v>30003</v>
      </c>
      <c r="Q154" s="1">
        <v>30003</v>
      </c>
      <c r="R154" s="1">
        <v>20013</v>
      </c>
      <c r="S154" s="1">
        <v>20003</v>
      </c>
      <c r="T154" s="1">
        <v>40053</v>
      </c>
      <c r="U154" s="1">
        <v>40023</v>
      </c>
      <c r="V154" s="1">
        <v>40083</v>
      </c>
    </row>
    <row r="155" spans="1:22" x14ac:dyDescent="0.3">
      <c r="A155" s="1">
        <f t="shared" si="3"/>
        <v>116013</v>
      </c>
      <c r="B155" s="1">
        <f t="shared" si="2"/>
        <v>10000406</v>
      </c>
      <c r="C155" s="1" t="s">
        <v>419</v>
      </c>
      <c r="F155" s="1">
        <v>4</v>
      </c>
      <c r="G155" s="1">
        <v>1</v>
      </c>
      <c r="H155" s="1">
        <v>10004</v>
      </c>
      <c r="I155" s="1">
        <v>10004</v>
      </c>
      <c r="J155" s="2">
        <v>10024</v>
      </c>
      <c r="K155" s="1">
        <v>20004</v>
      </c>
      <c r="L155" s="1">
        <v>20004</v>
      </c>
      <c r="M155" s="1">
        <v>20014</v>
      </c>
      <c r="N155" s="1">
        <v>30004</v>
      </c>
      <c r="O155" s="1">
        <v>30014</v>
      </c>
      <c r="P155" s="1">
        <v>30004</v>
      </c>
      <c r="Q155" s="1">
        <v>30004</v>
      </c>
      <c r="R155" s="1">
        <v>20014</v>
      </c>
      <c r="S155" s="1">
        <v>20004</v>
      </c>
      <c r="T155" s="1">
        <v>40054</v>
      </c>
      <c r="U155" s="1">
        <v>40024</v>
      </c>
      <c r="V155" s="1">
        <v>40084</v>
      </c>
    </row>
    <row r="156" spans="1:22" x14ac:dyDescent="0.3">
      <c r="A156" s="1">
        <f t="shared" si="3"/>
        <v>116014</v>
      </c>
      <c r="B156" s="1">
        <f t="shared" si="2"/>
        <v>10000406</v>
      </c>
      <c r="C156" s="1" t="s">
        <v>419</v>
      </c>
      <c r="F156" s="1">
        <v>5</v>
      </c>
      <c r="G156" s="1">
        <v>1</v>
      </c>
      <c r="H156" s="1">
        <v>10005</v>
      </c>
      <c r="I156" s="1">
        <v>10005</v>
      </c>
      <c r="J156" s="2">
        <v>10025</v>
      </c>
      <c r="K156" s="1">
        <v>20005</v>
      </c>
      <c r="L156" s="1">
        <v>20005</v>
      </c>
      <c r="M156" s="1">
        <v>20015</v>
      </c>
      <c r="N156" s="1">
        <v>30005</v>
      </c>
      <c r="O156" s="1">
        <v>30015</v>
      </c>
      <c r="P156" s="1">
        <v>30005</v>
      </c>
      <c r="Q156" s="1">
        <v>30005</v>
      </c>
      <c r="R156" s="1">
        <v>20015</v>
      </c>
      <c r="S156" s="1">
        <v>20005</v>
      </c>
      <c r="T156" s="1">
        <v>40055</v>
      </c>
      <c r="U156" s="1">
        <v>40025</v>
      </c>
      <c r="V156" s="1">
        <v>40085</v>
      </c>
    </row>
    <row r="157" spans="1:22" x14ac:dyDescent="0.3">
      <c r="A157" s="1">
        <f t="shared" si="3"/>
        <v>116015</v>
      </c>
      <c r="B157" s="1">
        <f t="shared" si="2"/>
        <v>10000406</v>
      </c>
      <c r="C157" s="1" t="s">
        <v>424</v>
      </c>
      <c r="F157" s="1">
        <v>1</v>
      </c>
      <c r="G157" s="1">
        <v>2</v>
      </c>
      <c r="H157" s="1">
        <v>10001</v>
      </c>
      <c r="I157" s="1">
        <v>10001</v>
      </c>
      <c r="J157" s="1">
        <v>10001</v>
      </c>
      <c r="K157" s="1">
        <v>20001</v>
      </c>
      <c r="L157" s="1">
        <v>20001</v>
      </c>
      <c r="M157" s="1">
        <v>20011</v>
      </c>
      <c r="N157" s="1">
        <v>30001</v>
      </c>
      <c r="O157" s="1">
        <v>30001</v>
      </c>
      <c r="P157" s="1">
        <v>30001</v>
      </c>
      <c r="Q157" s="1">
        <v>20001</v>
      </c>
      <c r="R157" s="1">
        <v>20011</v>
      </c>
      <c r="S157" s="1">
        <v>30001</v>
      </c>
      <c r="T157" s="1">
        <v>40001</v>
      </c>
      <c r="U157" s="1">
        <v>40011</v>
      </c>
      <c r="V157" s="1">
        <v>40081</v>
      </c>
    </row>
    <row r="158" spans="1:22" x14ac:dyDescent="0.3">
      <c r="A158" s="1">
        <f t="shared" si="3"/>
        <v>116016</v>
      </c>
      <c r="B158" s="1">
        <f t="shared" si="2"/>
        <v>10000406</v>
      </c>
      <c r="C158" s="1" t="s">
        <v>424</v>
      </c>
      <c r="F158" s="1">
        <v>2</v>
      </c>
      <c r="G158" s="1">
        <v>2</v>
      </c>
      <c r="H158" s="1">
        <v>10002</v>
      </c>
      <c r="I158" s="1">
        <v>10002</v>
      </c>
      <c r="J158" s="1">
        <v>10001</v>
      </c>
      <c r="K158" s="1">
        <v>20002</v>
      </c>
      <c r="L158" s="1">
        <v>20002</v>
      </c>
      <c r="M158" s="1">
        <v>20012</v>
      </c>
      <c r="N158" s="1">
        <v>30002</v>
      </c>
      <c r="O158" s="1">
        <v>30002</v>
      </c>
      <c r="P158" s="1">
        <v>30002</v>
      </c>
      <c r="Q158" s="1">
        <v>20002</v>
      </c>
      <c r="R158" s="1">
        <v>20012</v>
      </c>
      <c r="S158" s="1">
        <v>30002</v>
      </c>
      <c r="T158" s="1">
        <v>40002</v>
      </c>
      <c r="U158" s="1">
        <v>40012</v>
      </c>
      <c r="V158" s="1">
        <v>40082</v>
      </c>
    </row>
    <row r="159" spans="1:22" x14ac:dyDescent="0.3">
      <c r="A159" s="1">
        <f t="shared" si="3"/>
        <v>116017</v>
      </c>
      <c r="B159" s="1">
        <f t="shared" si="2"/>
        <v>10000406</v>
      </c>
      <c r="C159" s="1" t="s">
        <v>424</v>
      </c>
      <c r="F159" s="1">
        <v>3</v>
      </c>
      <c r="G159" s="1">
        <v>2</v>
      </c>
      <c r="H159" s="1">
        <v>10003</v>
      </c>
      <c r="I159" s="1">
        <v>10003</v>
      </c>
      <c r="J159" s="1">
        <v>10001</v>
      </c>
      <c r="K159" s="1">
        <v>20003</v>
      </c>
      <c r="L159" s="1">
        <v>20003</v>
      </c>
      <c r="M159" s="1">
        <v>20013</v>
      </c>
      <c r="N159" s="1">
        <v>30003</v>
      </c>
      <c r="O159" s="1">
        <v>30003</v>
      </c>
      <c r="P159" s="1">
        <v>30003</v>
      </c>
      <c r="Q159" s="1">
        <v>20003</v>
      </c>
      <c r="R159" s="1">
        <v>20013</v>
      </c>
      <c r="S159" s="1">
        <v>30003</v>
      </c>
      <c r="T159" s="1">
        <v>40003</v>
      </c>
      <c r="U159" s="1">
        <v>40013</v>
      </c>
      <c r="V159" s="1">
        <v>40083</v>
      </c>
    </row>
    <row r="160" spans="1:22" x14ac:dyDescent="0.3">
      <c r="A160" s="1">
        <f t="shared" si="3"/>
        <v>116018</v>
      </c>
      <c r="B160" s="1">
        <f t="shared" si="2"/>
        <v>10000406</v>
      </c>
      <c r="C160" s="1" t="s">
        <v>424</v>
      </c>
      <c r="F160" s="1">
        <v>4</v>
      </c>
      <c r="G160" s="1">
        <v>2</v>
      </c>
      <c r="H160" s="1">
        <v>10004</v>
      </c>
      <c r="I160" s="1">
        <v>10004</v>
      </c>
      <c r="J160" s="1">
        <v>10001</v>
      </c>
      <c r="K160" s="1">
        <v>20004</v>
      </c>
      <c r="L160" s="1">
        <v>20004</v>
      </c>
      <c r="M160" s="1">
        <v>20014</v>
      </c>
      <c r="N160" s="1">
        <v>30004</v>
      </c>
      <c r="O160" s="1">
        <v>30004</v>
      </c>
      <c r="P160" s="1">
        <v>30004</v>
      </c>
      <c r="Q160" s="1">
        <v>20004</v>
      </c>
      <c r="R160" s="1">
        <v>20014</v>
      </c>
      <c r="S160" s="1">
        <v>30004</v>
      </c>
      <c r="T160" s="1">
        <v>40004</v>
      </c>
      <c r="U160" s="1">
        <v>40014</v>
      </c>
      <c r="V160" s="1">
        <v>40084</v>
      </c>
    </row>
    <row r="161" spans="1:22" x14ac:dyDescent="0.3">
      <c r="A161" s="1">
        <f t="shared" si="3"/>
        <v>116019</v>
      </c>
      <c r="B161" s="1">
        <f t="shared" si="2"/>
        <v>10000406</v>
      </c>
      <c r="C161" s="1" t="s">
        <v>424</v>
      </c>
      <c r="F161" s="1">
        <v>5</v>
      </c>
      <c r="G161" s="1">
        <v>2</v>
      </c>
      <c r="H161" s="1">
        <v>10005</v>
      </c>
      <c r="I161" s="1">
        <v>10005</v>
      </c>
      <c r="J161" s="1">
        <v>10001</v>
      </c>
      <c r="K161" s="1">
        <v>20005</v>
      </c>
      <c r="L161" s="1">
        <v>20005</v>
      </c>
      <c r="M161" s="1">
        <v>20015</v>
      </c>
      <c r="N161" s="1">
        <v>30005</v>
      </c>
      <c r="O161" s="1">
        <v>30005</v>
      </c>
      <c r="P161" s="1">
        <v>30005</v>
      </c>
      <c r="Q161" s="1">
        <v>20005</v>
      </c>
      <c r="R161" s="1">
        <v>20015</v>
      </c>
      <c r="S161" s="1">
        <v>30005</v>
      </c>
      <c r="T161" s="1">
        <v>40005</v>
      </c>
      <c r="U161" s="1">
        <v>40015</v>
      </c>
      <c r="V161" s="1">
        <v>40085</v>
      </c>
    </row>
    <row r="162" spans="1:22" x14ac:dyDescent="0.3">
      <c r="A162" s="1">
        <f t="shared" si="3"/>
        <v>117010</v>
      </c>
      <c r="B162" s="1">
        <f t="shared" si="2"/>
        <v>10000407</v>
      </c>
      <c r="C162" s="1" t="s">
        <v>419</v>
      </c>
      <c r="F162" s="1">
        <v>1</v>
      </c>
      <c r="G162" s="1">
        <v>1</v>
      </c>
      <c r="H162" s="1">
        <v>10001</v>
      </c>
      <c r="I162" s="1">
        <v>10001</v>
      </c>
      <c r="J162" s="2">
        <v>10021</v>
      </c>
      <c r="K162" s="1">
        <v>20001</v>
      </c>
      <c r="L162" s="1">
        <v>20001</v>
      </c>
      <c r="M162" s="1">
        <v>20011</v>
      </c>
      <c r="N162" s="1">
        <v>30001</v>
      </c>
      <c r="O162" s="1">
        <v>30011</v>
      </c>
      <c r="P162" s="1">
        <v>30001</v>
      </c>
      <c r="Q162" s="1">
        <v>30001</v>
      </c>
      <c r="R162" s="1">
        <v>20011</v>
      </c>
      <c r="S162" s="1">
        <v>20001</v>
      </c>
      <c r="T162" s="1">
        <v>40001</v>
      </c>
      <c r="U162" s="1">
        <v>40011</v>
      </c>
      <c r="V162" s="1">
        <v>40081</v>
      </c>
    </row>
    <row r="163" spans="1:22" x14ac:dyDescent="0.3">
      <c r="A163" s="1">
        <f t="shared" si="3"/>
        <v>117011</v>
      </c>
      <c r="B163" s="1">
        <f t="shared" si="2"/>
        <v>10000407</v>
      </c>
      <c r="C163" s="1" t="s">
        <v>419</v>
      </c>
      <c r="F163" s="1">
        <v>2</v>
      </c>
      <c r="G163" s="1">
        <v>1</v>
      </c>
      <c r="H163" s="1">
        <v>10002</v>
      </c>
      <c r="I163" s="1">
        <v>10002</v>
      </c>
      <c r="J163" s="2">
        <v>10022</v>
      </c>
      <c r="K163" s="1">
        <v>20002</v>
      </c>
      <c r="L163" s="1">
        <v>20002</v>
      </c>
      <c r="M163" s="1">
        <v>20012</v>
      </c>
      <c r="N163" s="1">
        <v>30002</v>
      </c>
      <c r="O163" s="1">
        <v>30012</v>
      </c>
      <c r="P163" s="1">
        <v>30002</v>
      </c>
      <c r="Q163" s="1">
        <v>30002</v>
      </c>
      <c r="R163" s="1">
        <v>20012</v>
      </c>
      <c r="S163" s="1">
        <v>20002</v>
      </c>
      <c r="T163" s="1">
        <v>40002</v>
      </c>
      <c r="U163" s="1">
        <v>40012</v>
      </c>
      <c r="V163" s="1">
        <v>40082</v>
      </c>
    </row>
    <row r="164" spans="1:22" x14ac:dyDescent="0.3">
      <c r="A164" s="1">
        <f t="shared" si="3"/>
        <v>117012</v>
      </c>
      <c r="B164" s="1">
        <f t="shared" si="2"/>
        <v>10000407</v>
      </c>
      <c r="C164" s="1" t="s">
        <v>419</v>
      </c>
      <c r="F164" s="1">
        <v>3</v>
      </c>
      <c r="G164" s="1">
        <v>1</v>
      </c>
      <c r="H164" s="1">
        <v>10003</v>
      </c>
      <c r="I164" s="1">
        <v>10003</v>
      </c>
      <c r="J164" s="2">
        <v>10023</v>
      </c>
      <c r="K164" s="1">
        <v>20003</v>
      </c>
      <c r="L164" s="1">
        <v>20003</v>
      </c>
      <c r="M164" s="1">
        <v>20013</v>
      </c>
      <c r="N164" s="1">
        <v>30003</v>
      </c>
      <c r="O164" s="1">
        <v>30013</v>
      </c>
      <c r="P164" s="1">
        <v>30003</v>
      </c>
      <c r="Q164" s="1">
        <v>30003</v>
      </c>
      <c r="R164" s="1">
        <v>20013</v>
      </c>
      <c r="S164" s="1">
        <v>20003</v>
      </c>
      <c r="T164" s="1">
        <v>40003</v>
      </c>
      <c r="U164" s="1">
        <v>40013</v>
      </c>
      <c r="V164" s="1">
        <v>40083</v>
      </c>
    </row>
    <row r="165" spans="1:22" x14ac:dyDescent="0.3">
      <c r="A165" s="1">
        <f t="shared" si="3"/>
        <v>117013</v>
      </c>
      <c r="B165" s="1">
        <f t="shared" si="2"/>
        <v>10000407</v>
      </c>
      <c r="C165" s="1" t="s">
        <v>419</v>
      </c>
      <c r="F165" s="1">
        <v>4</v>
      </c>
      <c r="G165" s="1">
        <v>1</v>
      </c>
      <c r="H165" s="1">
        <v>10004</v>
      </c>
      <c r="I165" s="1">
        <v>10004</v>
      </c>
      <c r="J165" s="2">
        <v>10024</v>
      </c>
      <c r="K165" s="1">
        <v>20004</v>
      </c>
      <c r="L165" s="1">
        <v>20004</v>
      </c>
      <c r="M165" s="1">
        <v>20014</v>
      </c>
      <c r="N165" s="1">
        <v>30004</v>
      </c>
      <c r="O165" s="1">
        <v>30014</v>
      </c>
      <c r="P165" s="1">
        <v>30004</v>
      </c>
      <c r="Q165" s="1">
        <v>30004</v>
      </c>
      <c r="R165" s="1">
        <v>20014</v>
      </c>
      <c r="S165" s="1">
        <v>20004</v>
      </c>
      <c r="T165" s="1">
        <v>40004</v>
      </c>
      <c r="U165" s="1">
        <v>40014</v>
      </c>
      <c r="V165" s="1">
        <v>40084</v>
      </c>
    </row>
    <row r="166" spans="1:22" x14ac:dyDescent="0.3">
      <c r="A166" s="1">
        <f t="shared" si="3"/>
        <v>117014</v>
      </c>
      <c r="B166" s="1">
        <f t="shared" si="2"/>
        <v>10000407</v>
      </c>
      <c r="C166" s="1" t="s">
        <v>419</v>
      </c>
      <c r="F166" s="1">
        <v>5</v>
      </c>
      <c r="G166" s="1">
        <v>1</v>
      </c>
      <c r="H166" s="1">
        <v>10005</v>
      </c>
      <c r="I166" s="1">
        <v>10005</v>
      </c>
      <c r="J166" s="2">
        <v>10025</v>
      </c>
      <c r="K166" s="1">
        <v>20005</v>
      </c>
      <c r="L166" s="1">
        <v>20005</v>
      </c>
      <c r="M166" s="1">
        <v>20015</v>
      </c>
      <c r="N166" s="1">
        <v>30005</v>
      </c>
      <c r="O166" s="1">
        <v>30015</v>
      </c>
      <c r="P166" s="1">
        <v>30005</v>
      </c>
      <c r="Q166" s="1">
        <v>30005</v>
      </c>
      <c r="R166" s="1">
        <v>20015</v>
      </c>
      <c r="S166" s="1">
        <v>20005</v>
      </c>
      <c r="T166" s="1">
        <v>40005</v>
      </c>
      <c r="U166" s="1">
        <v>40015</v>
      </c>
      <c r="V166" s="1">
        <v>40085</v>
      </c>
    </row>
    <row r="167" spans="1:22" x14ac:dyDescent="0.3">
      <c r="A167" s="1">
        <f t="shared" si="3"/>
        <v>117015</v>
      </c>
      <c r="B167" s="1">
        <f t="shared" si="2"/>
        <v>10000407</v>
      </c>
      <c r="C167" s="1" t="s">
        <v>416</v>
      </c>
      <c r="F167" s="1">
        <v>1</v>
      </c>
      <c r="G167" s="1">
        <v>2</v>
      </c>
      <c r="H167" s="1">
        <v>10001</v>
      </c>
      <c r="I167" s="1">
        <v>10001</v>
      </c>
      <c r="J167" s="1">
        <v>10001</v>
      </c>
      <c r="K167" s="1">
        <v>20001</v>
      </c>
      <c r="L167" s="1">
        <v>20001</v>
      </c>
      <c r="M167" s="1">
        <v>20011</v>
      </c>
      <c r="N167" s="1">
        <v>30001</v>
      </c>
      <c r="O167" s="1">
        <v>30011</v>
      </c>
      <c r="P167" s="1">
        <v>30001</v>
      </c>
      <c r="Q167" s="1">
        <v>10001</v>
      </c>
      <c r="R167" s="1">
        <v>10001</v>
      </c>
      <c r="S167" s="1">
        <v>10001</v>
      </c>
      <c r="T167" s="1">
        <v>40051</v>
      </c>
      <c r="U167" s="1">
        <v>40021</v>
      </c>
      <c r="V167" s="1">
        <v>40081</v>
      </c>
    </row>
    <row r="168" spans="1:22" x14ac:dyDescent="0.3">
      <c r="A168" s="1">
        <f t="shared" si="3"/>
        <v>117016</v>
      </c>
      <c r="B168" s="1">
        <f t="shared" si="2"/>
        <v>10000407</v>
      </c>
      <c r="C168" s="1" t="s">
        <v>416</v>
      </c>
      <c r="F168" s="1">
        <v>2</v>
      </c>
      <c r="G168" s="1">
        <v>2</v>
      </c>
      <c r="H168" s="1">
        <v>10002</v>
      </c>
      <c r="I168" s="1">
        <v>10002</v>
      </c>
      <c r="J168" s="1">
        <v>10002</v>
      </c>
      <c r="K168" s="1">
        <v>20002</v>
      </c>
      <c r="L168" s="1">
        <v>20002</v>
      </c>
      <c r="M168" s="1">
        <v>20012</v>
      </c>
      <c r="N168" s="1">
        <v>30002</v>
      </c>
      <c r="O168" s="1">
        <v>30012</v>
      </c>
      <c r="P168" s="1">
        <v>30002</v>
      </c>
      <c r="Q168" s="1">
        <v>10002</v>
      </c>
      <c r="R168" s="1">
        <v>10002</v>
      </c>
      <c r="S168" s="1">
        <v>10002</v>
      </c>
      <c r="T168" s="1">
        <v>40052</v>
      </c>
      <c r="U168" s="1">
        <v>40022</v>
      </c>
      <c r="V168" s="1">
        <v>40082</v>
      </c>
    </row>
    <row r="169" spans="1:22" x14ac:dyDescent="0.3">
      <c r="A169" s="1">
        <f t="shared" si="3"/>
        <v>117017</v>
      </c>
      <c r="B169" s="1">
        <f t="shared" si="2"/>
        <v>10000407</v>
      </c>
      <c r="C169" s="1" t="s">
        <v>416</v>
      </c>
      <c r="F169" s="1">
        <v>3</v>
      </c>
      <c r="G169" s="1">
        <v>2</v>
      </c>
      <c r="H169" s="1">
        <v>10003</v>
      </c>
      <c r="I169" s="1">
        <v>10003</v>
      </c>
      <c r="J169" s="1">
        <v>10003</v>
      </c>
      <c r="K169" s="1">
        <v>20003</v>
      </c>
      <c r="L169" s="1">
        <v>20003</v>
      </c>
      <c r="M169" s="1">
        <v>20013</v>
      </c>
      <c r="N169" s="1">
        <v>30003</v>
      </c>
      <c r="O169" s="1">
        <v>30013</v>
      </c>
      <c r="P169" s="1">
        <v>30003</v>
      </c>
      <c r="Q169" s="1">
        <v>10003</v>
      </c>
      <c r="R169" s="1">
        <v>10003</v>
      </c>
      <c r="S169" s="1">
        <v>10003</v>
      </c>
      <c r="T169" s="1">
        <v>40053</v>
      </c>
      <c r="U169" s="1">
        <v>40023</v>
      </c>
      <c r="V169" s="1">
        <v>40083</v>
      </c>
    </row>
    <row r="170" spans="1:22" x14ac:dyDescent="0.3">
      <c r="A170" s="1">
        <f t="shared" si="3"/>
        <v>117018</v>
      </c>
      <c r="B170" s="1">
        <f t="shared" si="2"/>
        <v>10000407</v>
      </c>
      <c r="C170" s="1" t="s">
        <v>416</v>
      </c>
      <c r="F170" s="1">
        <v>4</v>
      </c>
      <c r="G170" s="1">
        <v>2</v>
      </c>
      <c r="H170" s="1">
        <v>10004</v>
      </c>
      <c r="I170" s="1">
        <v>10004</v>
      </c>
      <c r="J170" s="1">
        <v>10004</v>
      </c>
      <c r="K170" s="1">
        <v>20004</v>
      </c>
      <c r="L170" s="1">
        <v>20004</v>
      </c>
      <c r="M170" s="1">
        <v>20014</v>
      </c>
      <c r="N170" s="1">
        <v>30004</v>
      </c>
      <c r="O170" s="1">
        <v>30014</v>
      </c>
      <c r="P170" s="1">
        <v>30004</v>
      </c>
      <c r="Q170" s="1">
        <v>10004</v>
      </c>
      <c r="R170" s="1">
        <v>10004</v>
      </c>
      <c r="S170" s="1">
        <v>10004</v>
      </c>
      <c r="T170" s="1">
        <v>40054</v>
      </c>
      <c r="U170" s="1">
        <v>40024</v>
      </c>
      <c r="V170" s="1">
        <v>40084</v>
      </c>
    </row>
    <row r="171" spans="1:22" x14ac:dyDescent="0.3">
      <c r="A171" s="1">
        <f t="shared" si="3"/>
        <v>117019</v>
      </c>
      <c r="B171" s="1">
        <f t="shared" si="2"/>
        <v>10000407</v>
      </c>
      <c r="C171" s="1" t="s">
        <v>416</v>
      </c>
      <c r="F171" s="1">
        <v>5</v>
      </c>
      <c r="G171" s="1">
        <v>2</v>
      </c>
      <c r="H171" s="1">
        <v>10005</v>
      </c>
      <c r="I171" s="1">
        <v>10005</v>
      </c>
      <c r="J171" s="1">
        <v>10005</v>
      </c>
      <c r="K171" s="1">
        <v>20005</v>
      </c>
      <c r="L171" s="1">
        <v>20005</v>
      </c>
      <c r="M171" s="1">
        <v>20015</v>
      </c>
      <c r="N171" s="1">
        <v>30005</v>
      </c>
      <c r="O171" s="1">
        <v>30015</v>
      </c>
      <c r="P171" s="1">
        <v>30005</v>
      </c>
      <c r="Q171" s="1">
        <v>10005</v>
      </c>
      <c r="R171" s="1">
        <v>10005</v>
      </c>
      <c r="S171" s="1">
        <v>10005</v>
      </c>
      <c r="T171" s="1">
        <v>40055</v>
      </c>
      <c r="U171" s="1">
        <v>40025</v>
      </c>
      <c r="V171" s="1">
        <v>40085</v>
      </c>
    </row>
    <row r="172" spans="1:22" x14ac:dyDescent="0.3">
      <c r="A172" s="1">
        <f t="shared" si="3"/>
        <v>118010</v>
      </c>
      <c r="B172" s="1">
        <f t="shared" si="2"/>
        <v>10000408</v>
      </c>
      <c r="C172" s="1" t="s">
        <v>419</v>
      </c>
      <c r="F172" s="1">
        <v>1</v>
      </c>
      <c r="G172" s="1">
        <v>1</v>
      </c>
      <c r="H172" s="1">
        <v>10001</v>
      </c>
      <c r="I172" s="1">
        <v>10001</v>
      </c>
      <c r="J172" s="2">
        <v>10021</v>
      </c>
      <c r="K172" s="1">
        <v>20001</v>
      </c>
      <c r="L172" s="1">
        <v>20001</v>
      </c>
      <c r="M172" s="1">
        <v>20011</v>
      </c>
      <c r="N172" s="1">
        <v>30001</v>
      </c>
      <c r="O172" s="1">
        <v>30011</v>
      </c>
      <c r="P172" s="1">
        <v>30001</v>
      </c>
      <c r="Q172" s="1">
        <v>30001</v>
      </c>
      <c r="R172" s="1">
        <v>20011</v>
      </c>
      <c r="S172" s="1">
        <v>20001</v>
      </c>
      <c r="T172" s="1">
        <v>40001</v>
      </c>
      <c r="U172" s="1">
        <v>40011</v>
      </c>
      <c r="V172" s="1">
        <v>40081</v>
      </c>
    </row>
    <row r="173" spans="1:22" x14ac:dyDescent="0.3">
      <c r="A173" s="1">
        <f t="shared" si="3"/>
        <v>118011</v>
      </c>
      <c r="B173" s="1">
        <f t="shared" si="2"/>
        <v>10000408</v>
      </c>
      <c r="C173" s="1" t="s">
        <v>419</v>
      </c>
      <c r="F173" s="1">
        <v>2</v>
      </c>
      <c r="G173" s="1">
        <v>1</v>
      </c>
      <c r="H173" s="1">
        <v>10002</v>
      </c>
      <c r="I173" s="1">
        <v>10002</v>
      </c>
      <c r="J173" s="2">
        <v>10022</v>
      </c>
      <c r="K173" s="1">
        <v>20002</v>
      </c>
      <c r="L173" s="1">
        <v>20002</v>
      </c>
      <c r="M173" s="1">
        <v>20012</v>
      </c>
      <c r="N173" s="1">
        <v>30002</v>
      </c>
      <c r="O173" s="1">
        <v>30012</v>
      </c>
      <c r="P173" s="1">
        <v>30002</v>
      </c>
      <c r="Q173" s="1">
        <v>30002</v>
      </c>
      <c r="R173" s="1">
        <v>20012</v>
      </c>
      <c r="S173" s="1">
        <v>20002</v>
      </c>
      <c r="T173" s="1">
        <v>40002</v>
      </c>
      <c r="U173" s="1">
        <v>40012</v>
      </c>
      <c r="V173" s="1">
        <v>40082</v>
      </c>
    </row>
    <row r="174" spans="1:22" x14ac:dyDescent="0.3">
      <c r="A174" s="1">
        <f t="shared" si="3"/>
        <v>118012</v>
      </c>
      <c r="B174" s="1">
        <f t="shared" si="2"/>
        <v>10000408</v>
      </c>
      <c r="C174" s="1" t="s">
        <v>419</v>
      </c>
      <c r="F174" s="1">
        <v>3</v>
      </c>
      <c r="G174" s="1">
        <v>1</v>
      </c>
      <c r="H174" s="1">
        <v>10003</v>
      </c>
      <c r="I174" s="1">
        <v>10003</v>
      </c>
      <c r="J174" s="2">
        <v>10023</v>
      </c>
      <c r="K174" s="1">
        <v>20003</v>
      </c>
      <c r="L174" s="1">
        <v>20003</v>
      </c>
      <c r="M174" s="1">
        <v>20013</v>
      </c>
      <c r="N174" s="1">
        <v>30003</v>
      </c>
      <c r="O174" s="1">
        <v>30013</v>
      </c>
      <c r="P174" s="1">
        <v>30003</v>
      </c>
      <c r="Q174" s="1">
        <v>30003</v>
      </c>
      <c r="R174" s="1">
        <v>20013</v>
      </c>
      <c r="S174" s="1">
        <v>20003</v>
      </c>
      <c r="T174" s="1">
        <v>40003</v>
      </c>
      <c r="U174" s="1">
        <v>40013</v>
      </c>
      <c r="V174" s="1">
        <v>40083</v>
      </c>
    </row>
    <row r="175" spans="1:22" x14ac:dyDescent="0.3">
      <c r="A175" s="1">
        <f t="shared" si="3"/>
        <v>118013</v>
      </c>
      <c r="B175" s="1">
        <f t="shared" si="2"/>
        <v>10000408</v>
      </c>
      <c r="C175" s="1" t="s">
        <v>419</v>
      </c>
      <c r="F175" s="1">
        <v>4</v>
      </c>
      <c r="G175" s="1">
        <v>1</v>
      </c>
      <c r="H175" s="1">
        <v>10004</v>
      </c>
      <c r="I175" s="1">
        <v>10004</v>
      </c>
      <c r="J175" s="2">
        <v>10024</v>
      </c>
      <c r="K175" s="1">
        <v>20004</v>
      </c>
      <c r="L175" s="1">
        <v>20004</v>
      </c>
      <c r="M175" s="1">
        <v>20014</v>
      </c>
      <c r="N175" s="1">
        <v>30004</v>
      </c>
      <c r="O175" s="1">
        <v>30014</v>
      </c>
      <c r="P175" s="1">
        <v>30004</v>
      </c>
      <c r="Q175" s="1">
        <v>30004</v>
      </c>
      <c r="R175" s="1">
        <v>20014</v>
      </c>
      <c r="S175" s="1">
        <v>20004</v>
      </c>
      <c r="T175" s="1">
        <v>40004</v>
      </c>
      <c r="U175" s="1">
        <v>40014</v>
      </c>
      <c r="V175" s="1">
        <v>40084</v>
      </c>
    </row>
    <row r="176" spans="1:22" x14ac:dyDescent="0.3">
      <c r="A176" s="1">
        <f t="shared" si="3"/>
        <v>118014</v>
      </c>
      <c r="B176" s="1">
        <f t="shared" si="2"/>
        <v>10000408</v>
      </c>
      <c r="C176" s="1" t="s">
        <v>419</v>
      </c>
      <c r="F176" s="1">
        <v>5</v>
      </c>
      <c r="G176" s="1">
        <v>1</v>
      </c>
      <c r="H176" s="1">
        <v>10005</v>
      </c>
      <c r="I176" s="1">
        <v>10005</v>
      </c>
      <c r="J176" s="2">
        <v>10025</v>
      </c>
      <c r="K176" s="1">
        <v>20005</v>
      </c>
      <c r="L176" s="1">
        <v>20005</v>
      </c>
      <c r="M176" s="1">
        <v>20015</v>
      </c>
      <c r="N176" s="1">
        <v>30005</v>
      </c>
      <c r="O176" s="1">
        <v>30015</v>
      </c>
      <c r="P176" s="1">
        <v>30005</v>
      </c>
      <c r="Q176" s="1">
        <v>30005</v>
      </c>
      <c r="R176" s="1">
        <v>20015</v>
      </c>
      <c r="S176" s="1">
        <v>20005</v>
      </c>
      <c r="T176" s="1">
        <v>40005</v>
      </c>
      <c r="U176" s="1">
        <v>40015</v>
      </c>
      <c r="V176" s="1">
        <v>40085</v>
      </c>
    </row>
    <row r="177" spans="1:22" x14ac:dyDescent="0.3">
      <c r="A177" s="1">
        <f t="shared" si="3"/>
        <v>118015</v>
      </c>
      <c r="B177" s="1">
        <f t="shared" si="2"/>
        <v>10000408</v>
      </c>
      <c r="C177" s="1" t="s">
        <v>416</v>
      </c>
      <c r="F177" s="1">
        <v>1</v>
      </c>
      <c r="G177" s="1">
        <v>2</v>
      </c>
      <c r="H177" s="1">
        <v>10001</v>
      </c>
      <c r="I177" s="1">
        <v>10001</v>
      </c>
      <c r="J177" s="1">
        <v>10001</v>
      </c>
      <c r="K177" s="1">
        <v>20001</v>
      </c>
      <c r="L177" s="1">
        <v>20001</v>
      </c>
      <c r="M177" s="1">
        <v>20011</v>
      </c>
      <c r="N177" s="1">
        <v>30001</v>
      </c>
      <c r="O177" s="1">
        <v>30011</v>
      </c>
      <c r="P177" s="1">
        <v>30001</v>
      </c>
      <c r="Q177" s="1">
        <v>10001</v>
      </c>
      <c r="R177" s="1">
        <v>10001</v>
      </c>
      <c r="S177" s="1">
        <v>10001</v>
      </c>
      <c r="T177" s="1">
        <v>40051</v>
      </c>
      <c r="U177" s="1">
        <v>40021</v>
      </c>
      <c r="V177" s="1">
        <v>40081</v>
      </c>
    </row>
    <row r="178" spans="1:22" x14ac:dyDescent="0.3">
      <c r="A178" s="1">
        <f t="shared" si="3"/>
        <v>118016</v>
      </c>
      <c r="B178" s="1">
        <f t="shared" si="2"/>
        <v>10000408</v>
      </c>
      <c r="C178" s="1" t="s">
        <v>416</v>
      </c>
      <c r="F178" s="1">
        <v>2</v>
      </c>
      <c r="G178" s="1">
        <v>2</v>
      </c>
      <c r="H178" s="1">
        <v>10002</v>
      </c>
      <c r="I178" s="1">
        <v>10002</v>
      </c>
      <c r="J178" s="1">
        <v>10002</v>
      </c>
      <c r="K178" s="1">
        <v>20002</v>
      </c>
      <c r="L178" s="1">
        <v>20002</v>
      </c>
      <c r="M178" s="1">
        <v>20012</v>
      </c>
      <c r="N178" s="1">
        <v>30002</v>
      </c>
      <c r="O178" s="1">
        <v>30012</v>
      </c>
      <c r="P178" s="1">
        <v>30002</v>
      </c>
      <c r="Q178" s="1">
        <v>10002</v>
      </c>
      <c r="R178" s="1">
        <v>10002</v>
      </c>
      <c r="S178" s="1">
        <v>10002</v>
      </c>
      <c r="T178" s="1">
        <v>40052</v>
      </c>
      <c r="U178" s="1">
        <v>40022</v>
      </c>
      <c r="V178" s="1">
        <v>40082</v>
      </c>
    </row>
    <row r="179" spans="1:22" x14ac:dyDescent="0.3">
      <c r="A179" s="1">
        <f t="shared" si="3"/>
        <v>118017</v>
      </c>
      <c r="B179" s="1">
        <f t="shared" si="2"/>
        <v>10000408</v>
      </c>
      <c r="C179" s="1" t="s">
        <v>416</v>
      </c>
      <c r="F179" s="1">
        <v>3</v>
      </c>
      <c r="G179" s="1">
        <v>2</v>
      </c>
      <c r="H179" s="1">
        <v>10003</v>
      </c>
      <c r="I179" s="1">
        <v>10003</v>
      </c>
      <c r="J179" s="1">
        <v>10003</v>
      </c>
      <c r="K179" s="1">
        <v>20003</v>
      </c>
      <c r="L179" s="1">
        <v>20003</v>
      </c>
      <c r="M179" s="1">
        <v>20013</v>
      </c>
      <c r="N179" s="1">
        <v>30003</v>
      </c>
      <c r="O179" s="1">
        <v>30013</v>
      </c>
      <c r="P179" s="1">
        <v>30003</v>
      </c>
      <c r="Q179" s="1">
        <v>10003</v>
      </c>
      <c r="R179" s="1">
        <v>10003</v>
      </c>
      <c r="S179" s="1">
        <v>10003</v>
      </c>
      <c r="T179" s="1">
        <v>40053</v>
      </c>
      <c r="U179" s="1">
        <v>40023</v>
      </c>
      <c r="V179" s="1">
        <v>40083</v>
      </c>
    </row>
    <row r="180" spans="1:22" x14ac:dyDescent="0.3">
      <c r="A180" s="1">
        <f t="shared" si="3"/>
        <v>118018</v>
      </c>
      <c r="B180" s="1">
        <f t="shared" si="2"/>
        <v>10000408</v>
      </c>
      <c r="C180" s="1" t="s">
        <v>416</v>
      </c>
      <c r="F180" s="1">
        <v>4</v>
      </c>
      <c r="G180" s="1">
        <v>2</v>
      </c>
      <c r="H180" s="1">
        <v>10004</v>
      </c>
      <c r="I180" s="1">
        <v>10004</v>
      </c>
      <c r="J180" s="1">
        <v>10004</v>
      </c>
      <c r="K180" s="1">
        <v>20004</v>
      </c>
      <c r="L180" s="1">
        <v>20004</v>
      </c>
      <c r="M180" s="1">
        <v>20014</v>
      </c>
      <c r="N180" s="1">
        <v>30004</v>
      </c>
      <c r="O180" s="1">
        <v>30014</v>
      </c>
      <c r="P180" s="1">
        <v>30004</v>
      </c>
      <c r="Q180" s="1">
        <v>10004</v>
      </c>
      <c r="R180" s="1">
        <v>10004</v>
      </c>
      <c r="S180" s="1">
        <v>10004</v>
      </c>
      <c r="T180" s="1">
        <v>40054</v>
      </c>
      <c r="U180" s="1">
        <v>40024</v>
      </c>
      <c r="V180" s="1">
        <v>40084</v>
      </c>
    </row>
    <row r="181" spans="1:22" x14ac:dyDescent="0.3">
      <c r="A181" s="1">
        <f t="shared" si="3"/>
        <v>118019</v>
      </c>
      <c r="B181" s="1">
        <f t="shared" si="2"/>
        <v>10000408</v>
      </c>
      <c r="C181" s="1" t="s">
        <v>416</v>
      </c>
      <c r="F181" s="1">
        <v>5</v>
      </c>
      <c r="G181" s="1">
        <v>2</v>
      </c>
      <c r="H181" s="1">
        <v>10005</v>
      </c>
      <c r="I181" s="1">
        <v>10005</v>
      </c>
      <c r="J181" s="1">
        <v>10005</v>
      </c>
      <c r="K181" s="1">
        <v>20005</v>
      </c>
      <c r="L181" s="1">
        <v>20005</v>
      </c>
      <c r="M181" s="1">
        <v>20015</v>
      </c>
      <c r="N181" s="1">
        <v>30005</v>
      </c>
      <c r="O181" s="1">
        <v>30015</v>
      </c>
      <c r="P181" s="1">
        <v>30005</v>
      </c>
      <c r="Q181" s="1">
        <v>10005</v>
      </c>
      <c r="R181" s="1">
        <v>10005</v>
      </c>
      <c r="S181" s="1">
        <v>10005</v>
      </c>
      <c r="T181" s="1">
        <v>40055</v>
      </c>
      <c r="U181" s="1">
        <v>40025</v>
      </c>
      <c r="V181" s="1">
        <v>40085</v>
      </c>
    </row>
    <row r="182" spans="1:22" x14ac:dyDescent="0.3">
      <c r="A182" s="1">
        <f t="shared" si="3"/>
        <v>119010</v>
      </c>
      <c r="B182" s="1">
        <f t="shared" si="2"/>
        <v>10000409</v>
      </c>
      <c r="C182" s="1" t="s">
        <v>422</v>
      </c>
      <c r="F182" s="1">
        <v>1</v>
      </c>
      <c r="G182" s="1">
        <v>1</v>
      </c>
      <c r="H182" s="1">
        <v>10011</v>
      </c>
      <c r="I182" s="1">
        <v>10011</v>
      </c>
      <c r="J182" s="2">
        <v>10021</v>
      </c>
      <c r="K182" s="1">
        <v>20001</v>
      </c>
      <c r="L182" s="1">
        <v>20001</v>
      </c>
      <c r="M182" s="1">
        <v>20011</v>
      </c>
      <c r="N182" s="1">
        <v>30001</v>
      </c>
      <c r="O182" s="1">
        <v>30001</v>
      </c>
      <c r="P182" s="1">
        <v>30001</v>
      </c>
      <c r="Q182" s="1">
        <v>10011</v>
      </c>
      <c r="R182" s="1">
        <v>10011</v>
      </c>
      <c r="S182" s="2">
        <v>10021</v>
      </c>
      <c r="T182" s="1">
        <v>40001</v>
      </c>
      <c r="U182" s="1">
        <v>40011</v>
      </c>
      <c r="V182" s="1">
        <v>40081</v>
      </c>
    </row>
    <row r="183" spans="1:22" x14ac:dyDescent="0.3">
      <c r="A183" s="1">
        <f t="shared" si="3"/>
        <v>119011</v>
      </c>
      <c r="B183" s="1">
        <f t="shared" si="2"/>
        <v>10000409</v>
      </c>
      <c r="C183" s="1" t="s">
        <v>422</v>
      </c>
      <c r="F183" s="1">
        <v>2</v>
      </c>
      <c r="G183" s="1">
        <v>1</v>
      </c>
      <c r="H183" s="1">
        <v>10012</v>
      </c>
      <c r="I183" s="1">
        <v>10012</v>
      </c>
      <c r="J183" s="2">
        <v>10022</v>
      </c>
      <c r="K183" s="1">
        <v>20002</v>
      </c>
      <c r="L183" s="1">
        <v>20002</v>
      </c>
      <c r="M183" s="1">
        <v>20012</v>
      </c>
      <c r="N183" s="1">
        <v>30002</v>
      </c>
      <c r="O183" s="1">
        <v>30002</v>
      </c>
      <c r="P183" s="1">
        <v>30002</v>
      </c>
      <c r="Q183" s="1">
        <v>10012</v>
      </c>
      <c r="R183" s="1">
        <v>10012</v>
      </c>
      <c r="S183" s="2">
        <v>10022</v>
      </c>
      <c r="T183" s="1">
        <v>40002</v>
      </c>
      <c r="U183" s="1">
        <v>40012</v>
      </c>
      <c r="V183" s="1">
        <v>40082</v>
      </c>
    </row>
    <row r="184" spans="1:22" x14ac:dyDescent="0.3">
      <c r="A184" s="1">
        <f t="shared" si="3"/>
        <v>119012</v>
      </c>
      <c r="B184" s="1">
        <f t="shared" si="2"/>
        <v>10000409</v>
      </c>
      <c r="C184" s="1" t="s">
        <v>422</v>
      </c>
      <c r="F184" s="1">
        <v>3</v>
      </c>
      <c r="G184" s="1">
        <v>1</v>
      </c>
      <c r="H184" s="1">
        <v>10013</v>
      </c>
      <c r="I184" s="1">
        <v>10013</v>
      </c>
      <c r="J184" s="2">
        <v>10023</v>
      </c>
      <c r="K184" s="1">
        <v>20003</v>
      </c>
      <c r="L184" s="1">
        <v>20003</v>
      </c>
      <c r="M184" s="1">
        <v>20013</v>
      </c>
      <c r="N184" s="1">
        <v>30003</v>
      </c>
      <c r="O184" s="1">
        <v>30003</v>
      </c>
      <c r="P184" s="1">
        <v>30003</v>
      </c>
      <c r="Q184" s="1">
        <v>10013</v>
      </c>
      <c r="R184" s="1">
        <v>10013</v>
      </c>
      <c r="S184" s="2">
        <v>10023</v>
      </c>
      <c r="T184" s="1">
        <v>40003</v>
      </c>
      <c r="U184" s="1">
        <v>40013</v>
      </c>
      <c r="V184" s="1">
        <v>40083</v>
      </c>
    </row>
    <row r="185" spans="1:22" x14ac:dyDescent="0.3">
      <c r="A185" s="1">
        <f t="shared" si="3"/>
        <v>119013</v>
      </c>
      <c r="B185" s="1">
        <f t="shared" si="2"/>
        <v>10000409</v>
      </c>
      <c r="C185" s="1" t="s">
        <v>422</v>
      </c>
      <c r="F185" s="1">
        <v>4</v>
      </c>
      <c r="G185" s="1">
        <v>1</v>
      </c>
      <c r="H185" s="1">
        <v>10014</v>
      </c>
      <c r="I185" s="1">
        <v>10014</v>
      </c>
      <c r="J185" s="2">
        <v>10024</v>
      </c>
      <c r="K185" s="1">
        <v>20004</v>
      </c>
      <c r="L185" s="1">
        <v>20004</v>
      </c>
      <c r="M185" s="1">
        <v>20014</v>
      </c>
      <c r="N185" s="1">
        <v>30004</v>
      </c>
      <c r="O185" s="1">
        <v>30004</v>
      </c>
      <c r="P185" s="1">
        <v>30004</v>
      </c>
      <c r="Q185" s="1">
        <v>10014</v>
      </c>
      <c r="R185" s="1">
        <v>10014</v>
      </c>
      <c r="S185" s="2">
        <v>10024</v>
      </c>
      <c r="T185" s="1">
        <v>40004</v>
      </c>
      <c r="U185" s="1">
        <v>40014</v>
      </c>
      <c r="V185" s="1">
        <v>40084</v>
      </c>
    </row>
    <row r="186" spans="1:22" x14ac:dyDescent="0.3">
      <c r="A186" s="1">
        <f t="shared" si="3"/>
        <v>119014</v>
      </c>
      <c r="B186" s="1">
        <f t="shared" si="2"/>
        <v>10000409</v>
      </c>
      <c r="C186" s="1" t="s">
        <v>422</v>
      </c>
      <c r="F186" s="1">
        <v>5</v>
      </c>
      <c r="G186" s="1">
        <v>1</v>
      </c>
      <c r="H186" s="1">
        <v>10015</v>
      </c>
      <c r="I186" s="1">
        <v>10015</v>
      </c>
      <c r="J186" s="2">
        <v>10025</v>
      </c>
      <c r="K186" s="1">
        <v>20005</v>
      </c>
      <c r="L186" s="1">
        <v>20005</v>
      </c>
      <c r="M186" s="1">
        <v>20015</v>
      </c>
      <c r="N186" s="1">
        <v>30005</v>
      </c>
      <c r="O186" s="1">
        <v>30005</v>
      </c>
      <c r="P186" s="1">
        <v>30005</v>
      </c>
      <c r="Q186" s="1">
        <v>10015</v>
      </c>
      <c r="R186" s="1">
        <v>10015</v>
      </c>
      <c r="S186" s="2">
        <v>10025</v>
      </c>
      <c r="T186" s="1">
        <v>40005</v>
      </c>
      <c r="U186" s="1">
        <v>40015</v>
      </c>
      <c r="V186" s="1">
        <v>40085</v>
      </c>
    </row>
    <row r="187" spans="1:22" x14ac:dyDescent="0.3">
      <c r="A187" s="1">
        <f t="shared" si="3"/>
        <v>119015</v>
      </c>
      <c r="B187" s="1">
        <f t="shared" si="2"/>
        <v>10000409</v>
      </c>
      <c r="C187" s="1" t="s">
        <v>419</v>
      </c>
      <c r="F187" s="1">
        <v>1</v>
      </c>
      <c r="G187" s="1">
        <v>2</v>
      </c>
      <c r="H187" s="1">
        <v>10011</v>
      </c>
      <c r="I187" s="1">
        <v>10011</v>
      </c>
      <c r="J187" s="2">
        <v>10021</v>
      </c>
      <c r="K187" s="1">
        <v>20001</v>
      </c>
      <c r="L187" s="1">
        <v>20001</v>
      </c>
      <c r="M187" s="1">
        <v>20011</v>
      </c>
      <c r="N187" s="1">
        <v>30001</v>
      </c>
      <c r="O187" s="1">
        <v>30011</v>
      </c>
      <c r="P187" s="1">
        <v>30001</v>
      </c>
      <c r="Q187" s="1">
        <v>10011</v>
      </c>
      <c r="R187" s="1">
        <v>10021</v>
      </c>
      <c r="S187" s="2">
        <v>10021</v>
      </c>
      <c r="T187" s="1">
        <v>40001</v>
      </c>
      <c r="U187" s="1">
        <v>40011</v>
      </c>
      <c r="V187" s="1">
        <v>40041</v>
      </c>
    </row>
    <row r="188" spans="1:22" x14ac:dyDescent="0.3">
      <c r="A188" s="1">
        <f t="shared" si="3"/>
        <v>119016</v>
      </c>
      <c r="B188" s="1">
        <f t="shared" si="2"/>
        <v>10000409</v>
      </c>
      <c r="C188" s="1" t="s">
        <v>419</v>
      </c>
      <c r="F188" s="1">
        <v>2</v>
      </c>
      <c r="G188" s="1">
        <v>2</v>
      </c>
      <c r="H188" s="1">
        <v>10012</v>
      </c>
      <c r="I188" s="1">
        <v>10012</v>
      </c>
      <c r="J188" s="2">
        <v>10022</v>
      </c>
      <c r="K188" s="1">
        <v>20002</v>
      </c>
      <c r="L188" s="1">
        <v>20002</v>
      </c>
      <c r="M188" s="1">
        <v>20012</v>
      </c>
      <c r="N188" s="1">
        <v>30002</v>
      </c>
      <c r="O188" s="1">
        <v>30012</v>
      </c>
      <c r="P188" s="1">
        <v>30002</v>
      </c>
      <c r="Q188" s="1">
        <v>10012</v>
      </c>
      <c r="R188" s="1">
        <v>10022</v>
      </c>
      <c r="S188" s="2">
        <v>10022</v>
      </c>
      <c r="T188" s="1">
        <v>40002</v>
      </c>
      <c r="U188" s="1">
        <v>40012</v>
      </c>
      <c r="V188" s="1">
        <v>40042</v>
      </c>
    </row>
    <row r="189" spans="1:22" x14ac:dyDescent="0.3">
      <c r="A189" s="1">
        <f t="shared" si="3"/>
        <v>119017</v>
      </c>
      <c r="B189" s="1">
        <f t="shared" si="2"/>
        <v>10000409</v>
      </c>
      <c r="C189" s="1" t="s">
        <v>419</v>
      </c>
      <c r="F189" s="1">
        <v>3</v>
      </c>
      <c r="G189" s="1">
        <v>2</v>
      </c>
      <c r="H189" s="1">
        <v>10013</v>
      </c>
      <c r="I189" s="1">
        <v>10013</v>
      </c>
      <c r="J189" s="2">
        <v>10023</v>
      </c>
      <c r="K189" s="1">
        <v>20003</v>
      </c>
      <c r="L189" s="1">
        <v>20003</v>
      </c>
      <c r="M189" s="1">
        <v>20013</v>
      </c>
      <c r="N189" s="1">
        <v>30003</v>
      </c>
      <c r="O189" s="1">
        <v>30013</v>
      </c>
      <c r="P189" s="1">
        <v>30003</v>
      </c>
      <c r="Q189" s="1">
        <v>10013</v>
      </c>
      <c r="R189" s="1">
        <v>10023</v>
      </c>
      <c r="S189" s="2">
        <v>10023</v>
      </c>
      <c r="T189" s="1">
        <v>40003</v>
      </c>
      <c r="U189" s="1">
        <v>40013</v>
      </c>
      <c r="V189" s="1">
        <v>40043</v>
      </c>
    </row>
    <row r="190" spans="1:22" x14ac:dyDescent="0.3">
      <c r="A190" s="1">
        <f t="shared" si="3"/>
        <v>119018</v>
      </c>
      <c r="B190" s="1">
        <f t="shared" si="2"/>
        <v>10000409</v>
      </c>
      <c r="C190" s="1" t="s">
        <v>419</v>
      </c>
      <c r="F190" s="1">
        <v>4</v>
      </c>
      <c r="G190" s="1">
        <v>2</v>
      </c>
      <c r="H190" s="1">
        <v>10014</v>
      </c>
      <c r="I190" s="1">
        <v>10014</v>
      </c>
      <c r="J190" s="2">
        <v>10024</v>
      </c>
      <c r="K190" s="1">
        <v>20004</v>
      </c>
      <c r="L190" s="1">
        <v>20004</v>
      </c>
      <c r="M190" s="1">
        <v>20014</v>
      </c>
      <c r="N190" s="1">
        <v>30004</v>
      </c>
      <c r="O190" s="1">
        <v>30014</v>
      </c>
      <c r="P190" s="1">
        <v>30004</v>
      </c>
      <c r="Q190" s="1">
        <v>10014</v>
      </c>
      <c r="R190" s="1">
        <v>10024</v>
      </c>
      <c r="S190" s="2">
        <v>10024</v>
      </c>
      <c r="T190" s="1">
        <v>40004</v>
      </c>
      <c r="U190" s="1">
        <v>40014</v>
      </c>
      <c r="V190" s="1">
        <v>40044</v>
      </c>
    </row>
    <row r="191" spans="1:22" x14ac:dyDescent="0.3">
      <c r="A191" s="1">
        <f t="shared" si="3"/>
        <v>119019</v>
      </c>
      <c r="B191" s="1">
        <f t="shared" si="2"/>
        <v>10000409</v>
      </c>
      <c r="C191" s="1" t="s">
        <v>419</v>
      </c>
      <c r="F191" s="1">
        <v>5</v>
      </c>
      <c r="G191" s="1">
        <v>2</v>
      </c>
      <c r="H191" s="1">
        <v>10015</v>
      </c>
      <c r="I191" s="1">
        <v>10015</v>
      </c>
      <c r="J191" s="2">
        <v>10025</v>
      </c>
      <c r="K191" s="1">
        <v>20005</v>
      </c>
      <c r="L191" s="1">
        <v>20005</v>
      </c>
      <c r="M191" s="1">
        <v>20015</v>
      </c>
      <c r="N191" s="1">
        <v>30005</v>
      </c>
      <c r="O191" s="1">
        <v>30015</v>
      </c>
      <c r="P191" s="1">
        <v>30005</v>
      </c>
      <c r="Q191" s="1">
        <v>10015</v>
      </c>
      <c r="R191" s="1">
        <v>10025</v>
      </c>
      <c r="S191" s="2">
        <v>10025</v>
      </c>
      <c r="T191" s="1">
        <v>40005</v>
      </c>
      <c r="U191" s="1">
        <v>40015</v>
      </c>
      <c r="V191" s="1">
        <v>40045</v>
      </c>
    </row>
    <row r="192" spans="1:22" x14ac:dyDescent="0.3">
      <c r="A192" s="1">
        <f t="shared" si="3"/>
        <v>120010</v>
      </c>
      <c r="B192" s="1">
        <f t="shared" si="2"/>
        <v>10000410</v>
      </c>
      <c r="C192" s="1" t="s">
        <v>423</v>
      </c>
      <c r="F192" s="1">
        <v>1</v>
      </c>
      <c r="G192" s="1">
        <v>1</v>
      </c>
      <c r="H192" s="2">
        <v>10021</v>
      </c>
      <c r="I192" s="2">
        <v>10021</v>
      </c>
      <c r="J192" s="2">
        <v>10021</v>
      </c>
      <c r="K192" s="1">
        <v>20001</v>
      </c>
      <c r="L192" s="1">
        <v>20001</v>
      </c>
      <c r="M192" s="1">
        <v>20011</v>
      </c>
      <c r="N192" s="1">
        <v>30001</v>
      </c>
      <c r="O192" s="1">
        <v>30011</v>
      </c>
      <c r="P192" s="1">
        <v>30001</v>
      </c>
      <c r="Q192" s="2">
        <v>10021</v>
      </c>
      <c r="R192" s="2">
        <v>10021</v>
      </c>
      <c r="S192" s="2">
        <v>10021</v>
      </c>
      <c r="T192" s="1">
        <v>40031</v>
      </c>
      <c r="U192" s="1">
        <v>40041</v>
      </c>
      <c r="V192" s="1">
        <v>40051</v>
      </c>
    </row>
    <row r="193" spans="1:22" x14ac:dyDescent="0.3">
      <c r="A193" s="1">
        <f t="shared" si="3"/>
        <v>120011</v>
      </c>
      <c r="B193" s="1">
        <f t="shared" si="2"/>
        <v>10000410</v>
      </c>
      <c r="C193" s="1" t="s">
        <v>423</v>
      </c>
      <c r="F193" s="1">
        <v>2</v>
      </c>
      <c r="G193" s="1">
        <v>1</v>
      </c>
      <c r="H193" s="2">
        <v>10022</v>
      </c>
      <c r="I193" s="2">
        <v>10022</v>
      </c>
      <c r="J193" s="2">
        <v>10022</v>
      </c>
      <c r="K193" s="1">
        <v>20002</v>
      </c>
      <c r="L193" s="1">
        <v>20002</v>
      </c>
      <c r="M193" s="1">
        <v>20012</v>
      </c>
      <c r="N193" s="1">
        <v>30002</v>
      </c>
      <c r="O193" s="1">
        <v>30012</v>
      </c>
      <c r="P193" s="1">
        <v>30002</v>
      </c>
      <c r="Q193" s="2">
        <v>10022</v>
      </c>
      <c r="R193" s="2">
        <v>10022</v>
      </c>
      <c r="S193" s="2">
        <v>10022</v>
      </c>
      <c r="T193" s="1">
        <v>40032</v>
      </c>
      <c r="U193" s="1">
        <v>40042</v>
      </c>
      <c r="V193" s="1">
        <v>40052</v>
      </c>
    </row>
    <row r="194" spans="1:22" x14ac:dyDescent="0.3">
      <c r="A194" s="1">
        <f t="shared" si="3"/>
        <v>120012</v>
      </c>
      <c r="B194" s="1">
        <f t="shared" si="2"/>
        <v>10000410</v>
      </c>
      <c r="C194" s="1" t="s">
        <v>423</v>
      </c>
      <c r="F194" s="1">
        <v>3</v>
      </c>
      <c r="G194" s="1">
        <v>1</v>
      </c>
      <c r="H194" s="2">
        <v>10023</v>
      </c>
      <c r="I194" s="2">
        <v>10023</v>
      </c>
      <c r="J194" s="2">
        <v>10023</v>
      </c>
      <c r="K194" s="1">
        <v>20003</v>
      </c>
      <c r="L194" s="1">
        <v>20003</v>
      </c>
      <c r="M194" s="1">
        <v>20013</v>
      </c>
      <c r="N194" s="1">
        <v>30003</v>
      </c>
      <c r="O194" s="1">
        <v>30013</v>
      </c>
      <c r="P194" s="1">
        <v>30003</v>
      </c>
      <c r="Q194" s="2">
        <v>10023</v>
      </c>
      <c r="R194" s="2">
        <v>10023</v>
      </c>
      <c r="S194" s="2">
        <v>10023</v>
      </c>
      <c r="T194" s="1">
        <v>40033</v>
      </c>
      <c r="U194" s="1">
        <v>40043</v>
      </c>
      <c r="V194" s="1">
        <v>40053</v>
      </c>
    </row>
    <row r="195" spans="1:22" x14ac:dyDescent="0.3">
      <c r="A195" s="1">
        <f t="shared" si="3"/>
        <v>120013</v>
      </c>
      <c r="B195" s="1">
        <f t="shared" si="2"/>
        <v>10000410</v>
      </c>
      <c r="C195" s="1" t="s">
        <v>423</v>
      </c>
      <c r="F195" s="1">
        <v>4</v>
      </c>
      <c r="G195" s="1">
        <v>1</v>
      </c>
      <c r="H195" s="2">
        <v>10024</v>
      </c>
      <c r="I195" s="2">
        <v>10024</v>
      </c>
      <c r="J195" s="2">
        <v>10024</v>
      </c>
      <c r="K195" s="1">
        <v>20004</v>
      </c>
      <c r="L195" s="1">
        <v>20004</v>
      </c>
      <c r="M195" s="1">
        <v>20014</v>
      </c>
      <c r="N195" s="1">
        <v>30004</v>
      </c>
      <c r="O195" s="1">
        <v>30014</v>
      </c>
      <c r="P195" s="1">
        <v>30004</v>
      </c>
      <c r="Q195" s="2">
        <v>10024</v>
      </c>
      <c r="R195" s="2">
        <v>10024</v>
      </c>
      <c r="S195" s="2">
        <v>10024</v>
      </c>
      <c r="T195" s="1">
        <v>40034</v>
      </c>
      <c r="U195" s="1">
        <v>40044</v>
      </c>
      <c r="V195" s="1">
        <v>40054</v>
      </c>
    </row>
    <row r="196" spans="1:22" x14ac:dyDescent="0.3">
      <c r="A196" s="1">
        <f t="shared" si="3"/>
        <v>120014</v>
      </c>
      <c r="B196" s="1">
        <f t="shared" si="2"/>
        <v>10000410</v>
      </c>
      <c r="C196" s="1" t="s">
        <v>423</v>
      </c>
      <c r="F196" s="1">
        <v>5</v>
      </c>
      <c r="G196" s="1">
        <v>1</v>
      </c>
      <c r="H196" s="2">
        <v>10025</v>
      </c>
      <c r="I196" s="2">
        <v>10025</v>
      </c>
      <c r="J196" s="2">
        <v>10025</v>
      </c>
      <c r="K196" s="1">
        <v>20005</v>
      </c>
      <c r="L196" s="1">
        <v>20005</v>
      </c>
      <c r="M196" s="1">
        <v>20015</v>
      </c>
      <c r="N196" s="1">
        <v>30005</v>
      </c>
      <c r="O196" s="1">
        <v>30015</v>
      </c>
      <c r="P196" s="1">
        <v>30005</v>
      </c>
      <c r="Q196" s="2">
        <v>10025</v>
      </c>
      <c r="R196" s="2">
        <v>10025</v>
      </c>
      <c r="S196" s="2">
        <v>10025</v>
      </c>
      <c r="T196" s="1">
        <v>40035</v>
      </c>
      <c r="U196" s="1">
        <v>40045</v>
      </c>
      <c r="V196" s="1">
        <v>40055</v>
      </c>
    </row>
    <row r="197" spans="1:22" x14ac:dyDescent="0.3">
      <c r="A197" s="1">
        <f t="shared" si="3"/>
        <v>120015</v>
      </c>
      <c r="B197" s="1">
        <f t="shared" ref="B197:B241" si="4">+B187+1</f>
        <v>10000410</v>
      </c>
      <c r="C197" s="1" t="s">
        <v>416</v>
      </c>
      <c r="F197" s="1">
        <v>1</v>
      </c>
      <c r="G197" s="1">
        <v>2</v>
      </c>
      <c r="H197" s="1">
        <v>10001</v>
      </c>
      <c r="I197" s="1">
        <v>10001</v>
      </c>
      <c r="J197" s="1">
        <v>10001</v>
      </c>
      <c r="K197" s="1">
        <v>20001</v>
      </c>
      <c r="L197" s="1">
        <v>20001</v>
      </c>
      <c r="M197" s="1">
        <v>20011</v>
      </c>
      <c r="N197" s="1">
        <v>30001</v>
      </c>
      <c r="O197" s="1">
        <v>30011</v>
      </c>
      <c r="P197" s="1">
        <v>30001</v>
      </c>
      <c r="Q197" s="1">
        <v>10001</v>
      </c>
      <c r="R197" s="1">
        <v>10001</v>
      </c>
      <c r="S197" s="1">
        <v>10001</v>
      </c>
      <c r="T197" s="1">
        <v>40051</v>
      </c>
      <c r="U197" s="1">
        <v>40021</v>
      </c>
      <c r="V197" s="1">
        <v>40081</v>
      </c>
    </row>
    <row r="198" spans="1:22" x14ac:dyDescent="0.3">
      <c r="A198" s="1">
        <f t="shared" si="3"/>
        <v>120016</v>
      </c>
      <c r="B198" s="1">
        <f t="shared" si="4"/>
        <v>10000410</v>
      </c>
      <c r="C198" s="1" t="s">
        <v>416</v>
      </c>
      <c r="F198" s="1">
        <v>2</v>
      </c>
      <c r="G198" s="1">
        <v>2</v>
      </c>
      <c r="H198" s="1">
        <v>10002</v>
      </c>
      <c r="I198" s="1">
        <v>10002</v>
      </c>
      <c r="J198" s="1">
        <v>10002</v>
      </c>
      <c r="K198" s="1">
        <v>20002</v>
      </c>
      <c r="L198" s="1">
        <v>20002</v>
      </c>
      <c r="M198" s="1">
        <v>20012</v>
      </c>
      <c r="N198" s="1">
        <v>30002</v>
      </c>
      <c r="O198" s="1">
        <v>30012</v>
      </c>
      <c r="P198" s="1">
        <v>30002</v>
      </c>
      <c r="Q198" s="1">
        <v>10002</v>
      </c>
      <c r="R198" s="1">
        <v>10002</v>
      </c>
      <c r="S198" s="1">
        <v>10002</v>
      </c>
      <c r="T198" s="1">
        <v>40052</v>
      </c>
      <c r="U198" s="1">
        <v>40022</v>
      </c>
      <c r="V198" s="1">
        <v>40082</v>
      </c>
    </row>
    <row r="199" spans="1:22" x14ac:dyDescent="0.3">
      <c r="A199" s="1">
        <f t="shared" si="3"/>
        <v>120017</v>
      </c>
      <c r="B199" s="1">
        <f t="shared" si="4"/>
        <v>10000410</v>
      </c>
      <c r="C199" s="1" t="s">
        <v>416</v>
      </c>
      <c r="F199" s="1">
        <v>3</v>
      </c>
      <c r="G199" s="1">
        <v>2</v>
      </c>
      <c r="H199" s="1">
        <v>10003</v>
      </c>
      <c r="I199" s="1">
        <v>10003</v>
      </c>
      <c r="J199" s="1">
        <v>10003</v>
      </c>
      <c r="K199" s="1">
        <v>20003</v>
      </c>
      <c r="L199" s="1">
        <v>20003</v>
      </c>
      <c r="M199" s="1">
        <v>20013</v>
      </c>
      <c r="N199" s="1">
        <v>30003</v>
      </c>
      <c r="O199" s="1">
        <v>30013</v>
      </c>
      <c r="P199" s="1">
        <v>30003</v>
      </c>
      <c r="Q199" s="1">
        <v>10003</v>
      </c>
      <c r="R199" s="1">
        <v>10003</v>
      </c>
      <c r="S199" s="1">
        <v>10003</v>
      </c>
      <c r="T199" s="1">
        <v>40053</v>
      </c>
      <c r="U199" s="1">
        <v>40023</v>
      </c>
      <c r="V199" s="1">
        <v>40083</v>
      </c>
    </row>
    <row r="200" spans="1:22" x14ac:dyDescent="0.3">
      <c r="A200" s="1">
        <f t="shared" si="3"/>
        <v>120018</v>
      </c>
      <c r="B200" s="1">
        <f t="shared" si="4"/>
        <v>10000410</v>
      </c>
      <c r="C200" s="1" t="s">
        <v>416</v>
      </c>
      <c r="F200" s="1">
        <v>4</v>
      </c>
      <c r="G200" s="1">
        <v>2</v>
      </c>
      <c r="H200" s="1">
        <v>10004</v>
      </c>
      <c r="I200" s="1">
        <v>10004</v>
      </c>
      <c r="J200" s="1">
        <v>10004</v>
      </c>
      <c r="K200" s="1">
        <v>20004</v>
      </c>
      <c r="L200" s="1">
        <v>20004</v>
      </c>
      <c r="M200" s="1">
        <v>20014</v>
      </c>
      <c r="N200" s="1">
        <v>30004</v>
      </c>
      <c r="O200" s="1">
        <v>30014</v>
      </c>
      <c r="P200" s="1">
        <v>30004</v>
      </c>
      <c r="Q200" s="1">
        <v>10004</v>
      </c>
      <c r="R200" s="1">
        <v>10004</v>
      </c>
      <c r="S200" s="1">
        <v>10004</v>
      </c>
      <c r="T200" s="1">
        <v>40054</v>
      </c>
      <c r="U200" s="1">
        <v>40024</v>
      </c>
      <c r="V200" s="1">
        <v>40084</v>
      </c>
    </row>
    <row r="201" spans="1:22" x14ac:dyDescent="0.3">
      <c r="A201" s="1">
        <f t="shared" si="3"/>
        <v>120019</v>
      </c>
      <c r="B201" s="1">
        <f t="shared" si="4"/>
        <v>10000410</v>
      </c>
      <c r="C201" s="1" t="s">
        <v>416</v>
      </c>
      <c r="F201" s="1">
        <v>5</v>
      </c>
      <c r="G201" s="1">
        <v>2</v>
      </c>
      <c r="H201" s="1">
        <v>10005</v>
      </c>
      <c r="I201" s="1">
        <v>10005</v>
      </c>
      <c r="J201" s="1">
        <v>10005</v>
      </c>
      <c r="K201" s="1">
        <v>20005</v>
      </c>
      <c r="L201" s="1">
        <v>20005</v>
      </c>
      <c r="M201" s="1">
        <v>20015</v>
      </c>
      <c r="N201" s="1">
        <v>30005</v>
      </c>
      <c r="O201" s="1">
        <v>30015</v>
      </c>
      <c r="P201" s="1">
        <v>30005</v>
      </c>
      <c r="Q201" s="1">
        <v>10005</v>
      </c>
      <c r="R201" s="1">
        <v>10005</v>
      </c>
      <c r="S201" s="1">
        <v>10005</v>
      </c>
      <c r="T201" s="1">
        <v>40055</v>
      </c>
      <c r="U201" s="1">
        <v>40025</v>
      </c>
      <c r="V201" s="1">
        <v>40085</v>
      </c>
    </row>
    <row r="202" spans="1:22" x14ac:dyDescent="0.3">
      <c r="A202" s="1">
        <f t="shared" si="3"/>
        <v>121010</v>
      </c>
      <c r="B202" s="1">
        <f t="shared" si="4"/>
        <v>10000411</v>
      </c>
      <c r="C202" s="1" t="s">
        <v>419</v>
      </c>
      <c r="F202" s="1">
        <v>1</v>
      </c>
      <c r="G202" s="1">
        <v>1</v>
      </c>
      <c r="H202" s="1">
        <v>10001</v>
      </c>
      <c r="I202" s="1">
        <v>10001</v>
      </c>
      <c r="J202" s="2">
        <v>10021</v>
      </c>
      <c r="K202" s="1">
        <v>20001</v>
      </c>
      <c r="L202" s="1">
        <v>20001</v>
      </c>
      <c r="M202" s="1">
        <v>20011</v>
      </c>
      <c r="N202" s="1">
        <v>30001</v>
      </c>
      <c r="O202" s="1">
        <v>30011</v>
      </c>
      <c r="P202" s="1">
        <v>30001</v>
      </c>
      <c r="Q202" s="1">
        <v>30001</v>
      </c>
      <c r="R202" s="1">
        <v>20011</v>
      </c>
      <c r="S202" s="1">
        <v>20001</v>
      </c>
      <c r="T202" s="1">
        <v>40001</v>
      </c>
      <c r="U202" s="1">
        <v>40011</v>
      </c>
      <c r="V202" s="1">
        <v>40081</v>
      </c>
    </row>
    <row r="203" spans="1:22" x14ac:dyDescent="0.3">
      <c r="A203" s="1">
        <f t="shared" si="3"/>
        <v>121011</v>
      </c>
      <c r="B203" s="1">
        <f t="shared" si="4"/>
        <v>10000411</v>
      </c>
      <c r="C203" s="1" t="s">
        <v>419</v>
      </c>
      <c r="F203" s="1">
        <v>2</v>
      </c>
      <c r="G203" s="1">
        <v>1</v>
      </c>
      <c r="H203" s="1">
        <v>10002</v>
      </c>
      <c r="I203" s="1">
        <v>10002</v>
      </c>
      <c r="J203" s="2">
        <v>10022</v>
      </c>
      <c r="K203" s="1">
        <v>20002</v>
      </c>
      <c r="L203" s="1">
        <v>20002</v>
      </c>
      <c r="M203" s="1">
        <v>20012</v>
      </c>
      <c r="N203" s="1">
        <v>30002</v>
      </c>
      <c r="O203" s="1">
        <v>30012</v>
      </c>
      <c r="P203" s="1">
        <v>30002</v>
      </c>
      <c r="Q203" s="1">
        <v>30002</v>
      </c>
      <c r="R203" s="1">
        <v>20012</v>
      </c>
      <c r="S203" s="1">
        <v>20002</v>
      </c>
      <c r="T203" s="1">
        <v>40002</v>
      </c>
      <c r="U203" s="1">
        <v>40012</v>
      </c>
      <c r="V203" s="1">
        <v>40082</v>
      </c>
    </row>
    <row r="204" spans="1:22" x14ac:dyDescent="0.3">
      <c r="A204" s="1">
        <f t="shared" si="3"/>
        <v>121012</v>
      </c>
      <c r="B204" s="1">
        <f t="shared" si="4"/>
        <v>10000411</v>
      </c>
      <c r="C204" s="1" t="s">
        <v>419</v>
      </c>
      <c r="F204" s="1">
        <v>3</v>
      </c>
      <c r="G204" s="1">
        <v>1</v>
      </c>
      <c r="H204" s="1">
        <v>10003</v>
      </c>
      <c r="I204" s="1">
        <v>10003</v>
      </c>
      <c r="J204" s="2">
        <v>10023</v>
      </c>
      <c r="K204" s="1">
        <v>20003</v>
      </c>
      <c r="L204" s="1">
        <v>20003</v>
      </c>
      <c r="M204" s="1">
        <v>20013</v>
      </c>
      <c r="N204" s="1">
        <v>30003</v>
      </c>
      <c r="O204" s="1">
        <v>30013</v>
      </c>
      <c r="P204" s="1">
        <v>30003</v>
      </c>
      <c r="Q204" s="1">
        <v>30003</v>
      </c>
      <c r="R204" s="1">
        <v>20013</v>
      </c>
      <c r="S204" s="1">
        <v>20003</v>
      </c>
      <c r="T204" s="1">
        <v>40003</v>
      </c>
      <c r="U204" s="1">
        <v>40013</v>
      </c>
      <c r="V204" s="1">
        <v>40083</v>
      </c>
    </row>
    <row r="205" spans="1:22" x14ac:dyDescent="0.3">
      <c r="A205" s="1">
        <f t="shared" ref="A205:A241" si="5">A195+1000</f>
        <v>121013</v>
      </c>
      <c r="B205" s="1">
        <f t="shared" si="4"/>
        <v>10000411</v>
      </c>
      <c r="C205" s="1" t="s">
        <v>419</v>
      </c>
      <c r="F205" s="1">
        <v>4</v>
      </c>
      <c r="G205" s="1">
        <v>1</v>
      </c>
      <c r="H205" s="1">
        <v>10004</v>
      </c>
      <c r="I205" s="1">
        <v>10004</v>
      </c>
      <c r="J205" s="2">
        <v>10024</v>
      </c>
      <c r="K205" s="1">
        <v>20004</v>
      </c>
      <c r="L205" s="1">
        <v>20004</v>
      </c>
      <c r="M205" s="1">
        <v>20014</v>
      </c>
      <c r="N205" s="1">
        <v>30004</v>
      </c>
      <c r="O205" s="1">
        <v>30014</v>
      </c>
      <c r="P205" s="1">
        <v>30004</v>
      </c>
      <c r="Q205" s="1">
        <v>30004</v>
      </c>
      <c r="R205" s="1">
        <v>20014</v>
      </c>
      <c r="S205" s="1">
        <v>20004</v>
      </c>
      <c r="T205" s="1">
        <v>40004</v>
      </c>
      <c r="U205" s="1">
        <v>40014</v>
      </c>
      <c r="V205" s="1">
        <v>40084</v>
      </c>
    </row>
    <row r="206" spans="1:22" x14ac:dyDescent="0.3">
      <c r="A206" s="1">
        <f t="shared" si="5"/>
        <v>121014</v>
      </c>
      <c r="B206" s="1">
        <f t="shared" si="4"/>
        <v>10000411</v>
      </c>
      <c r="C206" s="1" t="s">
        <v>419</v>
      </c>
      <c r="F206" s="1">
        <v>5</v>
      </c>
      <c r="G206" s="1">
        <v>1</v>
      </c>
      <c r="H206" s="1">
        <v>10005</v>
      </c>
      <c r="I206" s="1">
        <v>10005</v>
      </c>
      <c r="J206" s="2">
        <v>10025</v>
      </c>
      <c r="K206" s="1">
        <v>20005</v>
      </c>
      <c r="L206" s="1">
        <v>20005</v>
      </c>
      <c r="M206" s="1">
        <v>20015</v>
      </c>
      <c r="N206" s="1">
        <v>30005</v>
      </c>
      <c r="O206" s="1">
        <v>30015</v>
      </c>
      <c r="P206" s="1">
        <v>30005</v>
      </c>
      <c r="Q206" s="1">
        <v>30005</v>
      </c>
      <c r="R206" s="1">
        <v>20015</v>
      </c>
      <c r="S206" s="1">
        <v>20005</v>
      </c>
      <c r="T206" s="1">
        <v>40005</v>
      </c>
      <c r="U206" s="1">
        <v>40015</v>
      </c>
      <c r="V206" s="1">
        <v>40085</v>
      </c>
    </row>
    <row r="207" spans="1:22" x14ac:dyDescent="0.3">
      <c r="A207" s="1">
        <f t="shared" si="5"/>
        <v>121015</v>
      </c>
      <c r="B207" s="1">
        <f t="shared" si="4"/>
        <v>10000411</v>
      </c>
      <c r="C207" s="1" t="s">
        <v>416</v>
      </c>
      <c r="F207" s="1">
        <v>1</v>
      </c>
      <c r="G207" s="1">
        <v>2</v>
      </c>
      <c r="H207" s="1">
        <v>10001</v>
      </c>
      <c r="I207" s="1">
        <v>10001</v>
      </c>
      <c r="J207" s="1">
        <v>10001</v>
      </c>
      <c r="K207" s="1">
        <v>20001</v>
      </c>
      <c r="L207" s="1">
        <v>20001</v>
      </c>
      <c r="M207" s="1">
        <v>20011</v>
      </c>
      <c r="N207" s="1">
        <v>30001</v>
      </c>
      <c r="O207" s="1">
        <v>30011</v>
      </c>
      <c r="P207" s="1">
        <v>30001</v>
      </c>
      <c r="Q207" s="1">
        <v>10001</v>
      </c>
      <c r="R207" s="1">
        <v>10001</v>
      </c>
      <c r="S207" s="1">
        <v>10001</v>
      </c>
      <c r="T207" s="1">
        <v>40051</v>
      </c>
      <c r="U207" s="1">
        <v>40021</v>
      </c>
      <c r="V207" s="1">
        <v>40081</v>
      </c>
    </row>
    <row r="208" spans="1:22" x14ac:dyDescent="0.3">
      <c r="A208" s="1">
        <f t="shared" si="5"/>
        <v>121016</v>
      </c>
      <c r="B208" s="1">
        <f t="shared" si="4"/>
        <v>10000411</v>
      </c>
      <c r="C208" s="1" t="s">
        <v>416</v>
      </c>
      <c r="F208" s="1">
        <v>2</v>
      </c>
      <c r="G208" s="1">
        <v>2</v>
      </c>
      <c r="H208" s="1">
        <v>10002</v>
      </c>
      <c r="I208" s="1">
        <v>10002</v>
      </c>
      <c r="J208" s="1">
        <v>10002</v>
      </c>
      <c r="K208" s="1">
        <v>20002</v>
      </c>
      <c r="L208" s="1">
        <v>20002</v>
      </c>
      <c r="M208" s="1">
        <v>20012</v>
      </c>
      <c r="N208" s="1">
        <v>30002</v>
      </c>
      <c r="O208" s="1">
        <v>30012</v>
      </c>
      <c r="P208" s="1">
        <v>30002</v>
      </c>
      <c r="Q208" s="1">
        <v>10002</v>
      </c>
      <c r="R208" s="1">
        <v>10002</v>
      </c>
      <c r="S208" s="1">
        <v>10002</v>
      </c>
      <c r="T208" s="1">
        <v>40052</v>
      </c>
      <c r="U208" s="1">
        <v>40022</v>
      </c>
      <c r="V208" s="1">
        <v>40082</v>
      </c>
    </row>
    <row r="209" spans="1:22" x14ac:dyDescent="0.3">
      <c r="A209" s="1">
        <f t="shared" si="5"/>
        <v>121017</v>
      </c>
      <c r="B209" s="1">
        <f t="shared" si="4"/>
        <v>10000411</v>
      </c>
      <c r="C209" s="1" t="s">
        <v>416</v>
      </c>
      <c r="F209" s="1">
        <v>3</v>
      </c>
      <c r="G209" s="1">
        <v>2</v>
      </c>
      <c r="H209" s="1">
        <v>10003</v>
      </c>
      <c r="I209" s="1">
        <v>10003</v>
      </c>
      <c r="J209" s="1">
        <v>10003</v>
      </c>
      <c r="K209" s="1">
        <v>20003</v>
      </c>
      <c r="L209" s="1">
        <v>20003</v>
      </c>
      <c r="M209" s="1">
        <v>20013</v>
      </c>
      <c r="N209" s="1">
        <v>30003</v>
      </c>
      <c r="O209" s="1">
        <v>30013</v>
      </c>
      <c r="P209" s="1">
        <v>30003</v>
      </c>
      <c r="Q209" s="1">
        <v>10003</v>
      </c>
      <c r="R209" s="1">
        <v>10003</v>
      </c>
      <c r="S209" s="1">
        <v>10003</v>
      </c>
      <c r="T209" s="1">
        <v>40053</v>
      </c>
      <c r="U209" s="1">
        <v>40023</v>
      </c>
      <c r="V209" s="1">
        <v>40083</v>
      </c>
    </row>
    <row r="210" spans="1:22" x14ac:dyDescent="0.3">
      <c r="A210" s="1">
        <f t="shared" si="5"/>
        <v>121018</v>
      </c>
      <c r="B210" s="1">
        <f t="shared" si="4"/>
        <v>10000411</v>
      </c>
      <c r="C210" s="1" t="s">
        <v>416</v>
      </c>
      <c r="F210" s="1">
        <v>4</v>
      </c>
      <c r="G210" s="1">
        <v>2</v>
      </c>
      <c r="H210" s="1">
        <v>10004</v>
      </c>
      <c r="I210" s="1">
        <v>10004</v>
      </c>
      <c r="J210" s="1">
        <v>10004</v>
      </c>
      <c r="K210" s="1">
        <v>20004</v>
      </c>
      <c r="L210" s="1">
        <v>20004</v>
      </c>
      <c r="M210" s="1">
        <v>20014</v>
      </c>
      <c r="N210" s="1">
        <v>30004</v>
      </c>
      <c r="O210" s="1">
        <v>30014</v>
      </c>
      <c r="P210" s="1">
        <v>30004</v>
      </c>
      <c r="Q210" s="1">
        <v>10004</v>
      </c>
      <c r="R210" s="1">
        <v>10004</v>
      </c>
      <c r="S210" s="1">
        <v>10004</v>
      </c>
      <c r="T210" s="1">
        <v>40054</v>
      </c>
      <c r="U210" s="1">
        <v>40024</v>
      </c>
      <c r="V210" s="1">
        <v>40084</v>
      </c>
    </row>
    <row r="211" spans="1:22" x14ac:dyDescent="0.3">
      <c r="A211" s="1">
        <f t="shared" si="5"/>
        <v>121019</v>
      </c>
      <c r="B211" s="1">
        <f t="shared" si="4"/>
        <v>10000411</v>
      </c>
      <c r="C211" s="1" t="s">
        <v>416</v>
      </c>
      <c r="F211" s="1">
        <v>5</v>
      </c>
      <c r="G211" s="1">
        <v>2</v>
      </c>
      <c r="H211" s="1">
        <v>10005</v>
      </c>
      <c r="I211" s="1">
        <v>10005</v>
      </c>
      <c r="J211" s="1">
        <v>10005</v>
      </c>
      <c r="K211" s="1">
        <v>20005</v>
      </c>
      <c r="L211" s="1">
        <v>20005</v>
      </c>
      <c r="M211" s="1">
        <v>20015</v>
      </c>
      <c r="N211" s="1">
        <v>30005</v>
      </c>
      <c r="O211" s="1">
        <v>30015</v>
      </c>
      <c r="P211" s="1">
        <v>30005</v>
      </c>
      <c r="Q211" s="1">
        <v>10005</v>
      </c>
      <c r="R211" s="1">
        <v>10005</v>
      </c>
      <c r="S211" s="1">
        <v>10005</v>
      </c>
      <c r="T211" s="1">
        <v>40055</v>
      </c>
      <c r="U211" s="1">
        <v>40025</v>
      </c>
      <c r="V211" s="1">
        <v>40085</v>
      </c>
    </row>
    <row r="212" spans="1:22" x14ac:dyDescent="0.3">
      <c r="A212" s="1">
        <f t="shared" si="5"/>
        <v>122010</v>
      </c>
      <c r="B212" s="1">
        <f t="shared" si="4"/>
        <v>10000412</v>
      </c>
      <c r="C212" s="1" t="s">
        <v>420</v>
      </c>
      <c r="F212" s="1">
        <v>1</v>
      </c>
      <c r="G212" s="1">
        <v>1</v>
      </c>
      <c r="H212" s="1">
        <v>10021</v>
      </c>
      <c r="I212" s="1">
        <v>10021</v>
      </c>
      <c r="J212" s="1">
        <v>10021</v>
      </c>
      <c r="K212" s="1">
        <v>20001</v>
      </c>
      <c r="L212" s="1">
        <v>20001</v>
      </c>
      <c r="M212" s="1">
        <v>20011</v>
      </c>
      <c r="N212" s="1">
        <v>30001</v>
      </c>
      <c r="O212" s="1">
        <v>30011</v>
      </c>
      <c r="P212" s="1">
        <v>30001</v>
      </c>
      <c r="Q212" s="1">
        <v>10011</v>
      </c>
      <c r="R212" s="1">
        <v>10021</v>
      </c>
      <c r="S212" s="1">
        <v>10021</v>
      </c>
      <c r="T212" s="1">
        <v>40061</v>
      </c>
      <c r="U212" s="1">
        <v>40071</v>
      </c>
      <c r="V212" s="1">
        <v>40041</v>
      </c>
    </row>
    <row r="213" spans="1:22" x14ac:dyDescent="0.3">
      <c r="A213" s="1">
        <f t="shared" si="5"/>
        <v>122011</v>
      </c>
      <c r="B213" s="1">
        <f t="shared" si="4"/>
        <v>10000412</v>
      </c>
      <c r="C213" s="1" t="s">
        <v>420</v>
      </c>
      <c r="F213" s="1">
        <v>2</v>
      </c>
      <c r="G213" s="1">
        <v>1</v>
      </c>
      <c r="H213" s="1">
        <v>10022</v>
      </c>
      <c r="I213" s="1">
        <v>10022</v>
      </c>
      <c r="J213" s="1">
        <v>10022</v>
      </c>
      <c r="K213" s="1">
        <v>20002</v>
      </c>
      <c r="L213" s="1">
        <v>20002</v>
      </c>
      <c r="M213" s="1">
        <v>20012</v>
      </c>
      <c r="N213" s="1">
        <v>30002</v>
      </c>
      <c r="O213" s="1">
        <v>30012</v>
      </c>
      <c r="P213" s="1">
        <v>30002</v>
      </c>
      <c r="Q213" s="1">
        <v>10012</v>
      </c>
      <c r="R213" s="1">
        <v>10022</v>
      </c>
      <c r="S213" s="1">
        <v>10022</v>
      </c>
      <c r="T213" s="1">
        <v>40062</v>
      </c>
      <c r="U213" s="1">
        <v>40072</v>
      </c>
      <c r="V213" s="1">
        <v>40042</v>
      </c>
    </row>
    <row r="214" spans="1:22" x14ac:dyDescent="0.3">
      <c r="A214" s="1">
        <f t="shared" si="5"/>
        <v>122012</v>
      </c>
      <c r="B214" s="1">
        <f t="shared" si="4"/>
        <v>10000412</v>
      </c>
      <c r="C214" s="1" t="s">
        <v>420</v>
      </c>
      <c r="F214" s="1">
        <v>3</v>
      </c>
      <c r="G214" s="1">
        <v>1</v>
      </c>
      <c r="H214" s="1">
        <v>10023</v>
      </c>
      <c r="I214" s="1">
        <v>10023</v>
      </c>
      <c r="J214" s="1">
        <v>10023</v>
      </c>
      <c r="K214" s="1">
        <v>20003</v>
      </c>
      <c r="L214" s="1">
        <v>20003</v>
      </c>
      <c r="M214" s="1">
        <v>20013</v>
      </c>
      <c r="N214" s="1">
        <v>30003</v>
      </c>
      <c r="O214" s="1">
        <v>30013</v>
      </c>
      <c r="P214" s="1">
        <v>30003</v>
      </c>
      <c r="Q214" s="1">
        <v>10013</v>
      </c>
      <c r="R214" s="1">
        <v>10023</v>
      </c>
      <c r="S214" s="1">
        <v>10023</v>
      </c>
      <c r="T214" s="1">
        <v>40063</v>
      </c>
      <c r="U214" s="1">
        <v>40073</v>
      </c>
      <c r="V214" s="1">
        <v>40043</v>
      </c>
    </row>
    <row r="215" spans="1:22" x14ac:dyDescent="0.3">
      <c r="A215" s="1">
        <f t="shared" si="5"/>
        <v>122013</v>
      </c>
      <c r="B215" s="1">
        <f t="shared" si="4"/>
        <v>10000412</v>
      </c>
      <c r="C215" s="1" t="s">
        <v>420</v>
      </c>
      <c r="F215" s="1">
        <v>4</v>
      </c>
      <c r="G215" s="1">
        <v>1</v>
      </c>
      <c r="H215" s="1">
        <v>10024</v>
      </c>
      <c r="I215" s="1">
        <v>10024</v>
      </c>
      <c r="J215" s="1">
        <v>10024</v>
      </c>
      <c r="K215" s="1">
        <v>20004</v>
      </c>
      <c r="L215" s="1">
        <v>20004</v>
      </c>
      <c r="M215" s="1">
        <v>20014</v>
      </c>
      <c r="N215" s="1">
        <v>30004</v>
      </c>
      <c r="O215" s="1">
        <v>30014</v>
      </c>
      <c r="P215" s="1">
        <v>30004</v>
      </c>
      <c r="Q215" s="1">
        <v>10014</v>
      </c>
      <c r="R215" s="1">
        <v>10024</v>
      </c>
      <c r="S215" s="1">
        <v>10024</v>
      </c>
      <c r="T215" s="1">
        <v>40064</v>
      </c>
      <c r="U215" s="1">
        <v>40074</v>
      </c>
      <c r="V215" s="1">
        <v>40044</v>
      </c>
    </row>
    <row r="216" spans="1:22" x14ac:dyDescent="0.3">
      <c r="A216" s="1">
        <f t="shared" si="5"/>
        <v>122014</v>
      </c>
      <c r="B216" s="1">
        <f t="shared" si="4"/>
        <v>10000412</v>
      </c>
      <c r="C216" s="1" t="s">
        <v>420</v>
      </c>
      <c r="F216" s="1">
        <v>5</v>
      </c>
      <c r="G216" s="1">
        <v>1</v>
      </c>
      <c r="H216" s="1">
        <v>10025</v>
      </c>
      <c r="I216" s="1">
        <v>10025</v>
      </c>
      <c r="J216" s="1">
        <v>10025</v>
      </c>
      <c r="K216" s="1">
        <v>20005</v>
      </c>
      <c r="L216" s="1">
        <v>20005</v>
      </c>
      <c r="M216" s="1">
        <v>20015</v>
      </c>
      <c r="N216" s="1">
        <v>30005</v>
      </c>
      <c r="O216" s="1">
        <v>30015</v>
      </c>
      <c r="P216" s="1">
        <v>30005</v>
      </c>
      <c r="Q216" s="1">
        <v>10015</v>
      </c>
      <c r="R216" s="1">
        <v>10025</v>
      </c>
      <c r="S216" s="1">
        <v>10025</v>
      </c>
      <c r="T216" s="1">
        <v>40065</v>
      </c>
      <c r="U216" s="1">
        <v>40075</v>
      </c>
      <c r="V216" s="1">
        <v>40045</v>
      </c>
    </row>
    <row r="217" spans="1:22" x14ac:dyDescent="0.3">
      <c r="A217" s="1">
        <f t="shared" si="5"/>
        <v>122015</v>
      </c>
      <c r="B217" s="1">
        <f t="shared" si="4"/>
        <v>10000412</v>
      </c>
      <c r="C217" s="1" t="s">
        <v>421</v>
      </c>
      <c r="F217" s="1">
        <v>1</v>
      </c>
      <c r="G217" s="1">
        <v>2</v>
      </c>
      <c r="H217" s="1">
        <v>10011</v>
      </c>
      <c r="I217" s="1">
        <v>10011</v>
      </c>
      <c r="J217" s="2">
        <v>10021</v>
      </c>
      <c r="K217" s="1">
        <v>20001</v>
      </c>
      <c r="L217" s="1">
        <v>20001</v>
      </c>
      <c r="M217" s="1">
        <v>20011</v>
      </c>
      <c r="N217" s="1">
        <v>30001</v>
      </c>
      <c r="O217" s="1">
        <v>30011</v>
      </c>
      <c r="P217" s="1">
        <v>30001</v>
      </c>
      <c r="Q217" s="1">
        <v>10011</v>
      </c>
      <c r="R217" s="1">
        <v>10011</v>
      </c>
      <c r="S217" s="1">
        <v>10021</v>
      </c>
      <c r="T217" s="1">
        <v>40041</v>
      </c>
      <c r="U217" s="1">
        <v>40061</v>
      </c>
      <c r="V217" s="1">
        <v>40081</v>
      </c>
    </row>
    <row r="218" spans="1:22" x14ac:dyDescent="0.3">
      <c r="A218" s="1">
        <f t="shared" si="5"/>
        <v>122016</v>
      </c>
      <c r="B218" s="1">
        <f t="shared" si="4"/>
        <v>10000412</v>
      </c>
      <c r="C218" s="1" t="s">
        <v>421</v>
      </c>
      <c r="F218" s="1">
        <v>2</v>
      </c>
      <c r="G218" s="1">
        <v>2</v>
      </c>
      <c r="H218" s="1">
        <v>10012</v>
      </c>
      <c r="I218" s="1">
        <v>10012</v>
      </c>
      <c r="J218" s="2">
        <v>10022</v>
      </c>
      <c r="K218" s="1">
        <v>20002</v>
      </c>
      <c r="L218" s="1">
        <v>20002</v>
      </c>
      <c r="M218" s="1">
        <v>20012</v>
      </c>
      <c r="N218" s="1">
        <v>30002</v>
      </c>
      <c r="O218" s="1">
        <v>30012</v>
      </c>
      <c r="P218" s="1">
        <v>30002</v>
      </c>
      <c r="Q218" s="1">
        <v>10012</v>
      </c>
      <c r="R218" s="1">
        <v>10012</v>
      </c>
      <c r="S218" s="1">
        <v>10022</v>
      </c>
      <c r="T218" s="1">
        <v>40042</v>
      </c>
      <c r="U218" s="1">
        <v>40062</v>
      </c>
      <c r="V218" s="1">
        <v>40082</v>
      </c>
    </row>
    <row r="219" spans="1:22" x14ac:dyDescent="0.3">
      <c r="A219" s="1">
        <f t="shared" si="5"/>
        <v>122017</v>
      </c>
      <c r="B219" s="1">
        <f t="shared" si="4"/>
        <v>10000412</v>
      </c>
      <c r="C219" s="1" t="s">
        <v>421</v>
      </c>
      <c r="F219" s="1">
        <v>3</v>
      </c>
      <c r="G219" s="1">
        <v>2</v>
      </c>
      <c r="H219" s="1">
        <v>10013</v>
      </c>
      <c r="I219" s="1">
        <v>10013</v>
      </c>
      <c r="J219" s="2">
        <v>10023</v>
      </c>
      <c r="K219" s="1">
        <v>20003</v>
      </c>
      <c r="L219" s="1">
        <v>20003</v>
      </c>
      <c r="M219" s="1">
        <v>20013</v>
      </c>
      <c r="N219" s="1">
        <v>30003</v>
      </c>
      <c r="O219" s="1">
        <v>30013</v>
      </c>
      <c r="P219" s="1">
        <v>30003</v>
      </c>
      <c r="Q219" s="1">
        <v>10013</v>
      </c>
      <c r="R219" s="1">
        <v>10013</v>
      </c>
      <c r="S219" s="1">
        <v>10023</v>
      </c>
      <c r="T219" s="1">
        <v>40043</v>
      </c>
      <c r="U219" s="1">
        <v>40063</v>
      </c>
      <c r="V219" s="1">
        <v>40083</v>
      </c>
    </row>
    <row r="220" spans="1:22" x14ac:dyDescent="0.3">
      <c r="A220" s="1">
        <f t="shared" si="5"/>
        <v>122018</v>
      </c>
      <c r="B220" s="1">
        <f t="shared" si="4"/>
        <v>10000412</v>
      </c>
      <c r="C220" s="1" t="s">
        <v>421</v>
      </c>
      <c r="F220" s="1">
        <v>4</v>
      </c>
      <c r="G220" s="1">
        <v>2</v>
      </c>
      <c r="H220" s="1">
        <v>10014</v>
      </c>
      <c r="I220" s="1">
        <v>10014</v>
      </c>
      <c r="J220" s="2">
        <v>10024</v>
      </c>
      <c r="K220" s="1">
        <v>20004</v>
      </c>
      <c r="L220" s="1">
        <v>20004</v>
      </c>
      <c r="M220" s="1">
        <v>20014</v>
      </c>
      <c r="N220" s="1">
        <v>30004</v>
      </c>
      <c r="O220" s="1">
        <v>30014</v>
      </c>
      <c r="P220" s="1">
        <v>30004</v>
      </c>
      <c r="Q220" s="1">
        <v>10014</v>
      </c>
      <c r="R220" s="1">
        <v>10014</v>
      </c>
      <c r="S220" s="1">
        <v>10024</v>
      </c>
      <c r="T220" s="1">
        <v>40044</v>
      </c>
      <c r="U220" s="1">
        <v>40064</v>
      </c>
      <c r="V220" s="1">
        <v>40084</v>
      </c>
    </row>
    <row r="221" spans="1:22" x14ac:dyDescent="0.3">
      <c r="A221" s="1">
        <f t="shared" si="5"/>
        <v>122019</v>
      </c>
      <c r="B221" s="1">
        <f t="shared" si="4"/>
        <v>10000412</v>
      </c>
      <c r="C221" s="1" t="s">
        <v>421</v>
      </c>
      <c r="F221" s="1">
        <v>5</v>
      </c>
      <c r="G221" s="1">
        <v>2</v>
      </c>
      <c r="H221" s="1">
        <v>10015</v>
      </c>
      <c r="I221" s="1">
        <v>10015</v>
      </c>
      <c r="J221" s="2">
        <v>10025</v>
      </c>
      <c r="K221" s="1">
        <v>20005</v>
      </c>
      <c r="L221" s="1">
        <v>20005</v>
      </c>
      <c r="M221" s="1">
        <v>20015</v>
      </c>
      <c r="N221" s="1">
        <v>30005</v>
      </c>
      <c r="O221" s="1">
        <v>30015</v>
      </c>
      <c r="P221" s="1">
        <v>30005</v>
      </c>
      <c r="Q221" s="1">
        <v>10015</v>
      </c>
      <c r="R221" s="1">
        <v>10015</v>
      </c>
      <c r="S221" s="1">
        <v>10025</v>
      </c>
      <c r="T221" s="1">
        <v>40045</v>
      </c>
      <c r="U221" s="1">
        <v>40065</v>
      </c>
      <c r="V221" s="1">
        <v>40085</v>
      </c>
    </row>
    <row r="222" spans="1:22" x14ac:dyDescent="0.3">
      <c r="A222" s="1">
        <f t="shared" si="5"/>
        <v>123010</v>
      </c>
      <c r="B222" s="1">
        <f t="shared" si="4"/>
        <v>10000413</v>
      </c>
      <c r="C222" s="1" t="s">
        <v>422</v>
      </c>
      <c r="F222" s="1">
        <v>1</v>
      </c>
      <c r="G222" s="1">
        <v>1</v>
      </c>
      <c r="H222" s="1">
        <v>10011</v>
      </c>
      <c r="I222" s="1">
        <v>10011</v>
      </c>
      <c r="J222" s="2">
        <v>10021</v>
      </c>
      <c r="K222" s="1">
        <v>20001</v>
      </c>
      <c r="L222" s="1">
        <v>20001</v>
      </c>
      <c r="M222" s="1">
        <v>20011</v>
      </c>
      <c r="N222" s="1">
        <v>30001</v>
      </c>
      <c r="O222" s="1">
        <v>30001</v>
      </c>
      <c r="P222" s="1">
        <v>30001</v>
      </c>
      <c r="Q222" s="1">
        <v>10011</v>
      </c>
      <c r="R222" s="1">
        <v>10011</v>
      </c>
      <c r="S222" s="2">
        <v>10021</v>
      </c>
      <c r="T222" s="1">
        <v>40001</v>
      </c>
      <c r="U222" s="1">
        <v>40011</v>
      </c>
      <c r="V222" s="1">
        <v>40081</v>
      </c>
    </row>
    <row r="223" spans="1:22" x14ac:dyDescent="0.3">
      <c r="A223" s="1">
        <f t="shared" si="5"/>
        <v>123011</v>
      </c>
      <c r="B223" s="1">
        <f t="shared" si="4"/>
        <v>10000413</v>
      </c>
      <c r="C223" s="1" t="s">
        <v>422</v>
      </c>
      <c r="F223" s="1">
        <v>2</v>
      </c>
      <c r="G223" s="1">
        <v>1</v>
      </c>
      <c r="H223" s="1">
        <v>10012</v>
      </c>
      <c r="I223" s="1">
        <v>10012</v>
      </c>
      <c r="J223" s="2">
        <v>10022</v>
      </c>
      <c r="K223" s="1">
        <v>20002</v>
      </c>
      <c r="L223" s="1">
        <v>20002</v>
      </c>
      <c r="M223" s="1">
        <v>20012</v>
      </c>
      <c r="N223" s="1">
        <v>30002</v>
      </c>
      <c r="O223" s="1">
        <v>30002</v>
      </c>
      <c r="P223" s="1">
        <v>30002</v>
      </c>
      <c r="Q223" s="1">
        <v>10012</v>
      </c>
      <c r="R223" s="1">
        <v>10012</v>
      </c>
      <c r="S223" s="2">
        <v>10022</v>
      </c>
      <c r="T223" s="1">
        <v>40002</v>
      </c>
      <c r="U223" s="1">
        <v>40012</v>
      </c>
      <c r="V223" s="1">
        <v>40082</v>
      </c>
    </row>
    <row r="224" spans="1:22" x14ac:dyDescent="0.3">
      <c r="A224" s="1">
        <f t="shared" si="5"/>
        <v>123012</v>
      </c>
      <c r="B224" s="1">
        <f t="shared" si="4"/>
        <v>10000413</v>
      </c>
      <c r="C224" s="1" t="s">
        <v>422</v>
      </c>
      <c r="F224" s="1">
        <v>3</v>
      </c>
      <c r="G224" s="1">
        <v>1</v>
      </c>
      <c r="H224" s="1">
        <v>10013</v>
      </c>
      <c r="I224" s="1">
        <v>10013</v>
      </c>
      <c r="J224" s="2">
        <v>10023</v>
      </c>
      <c r="K224" s="1">
        <v>20003</v>
      </c>
      <c r="L224" s="1">
        <v>20003</v>
      </c>
      <c r="M224" s="1">
        <v>20013</v>
      </c>
      <c r="N224" s="1">
        <v>30003</v>
      </c>
      <c r="O224" s="1">
        <v>30003</v>
      </c>
      <c r="P224" s="1">
        <v>30003</v>
      </c>
      <c r="Q224" s="1">
        <v>10013</v>
      </c>
      <c r="R224" s="1">
        <v>10013</v>
      </c>
      <c r="S224" s="2">
        <v>10023</v>
      </c>
      <c r="T224" s="1">
        <v>40003</v>
      </c>
      <c r="U224" s="1">
        <v>40013</v>
      </c>
      <c r="V224" s="1">
        <v>40083</v>
      </c>
    </row>
    <row r="225" spans="1:22" x14ac:dyDescent="0.3">
      <c r="A225" s="1">
        <f t="shared" si="5"/>
        <v>123013</v>
      </c>
      <c r="B225" s="1">
        <f t="shared" si="4"/>
        <v>10000413</v>
      </c>
      <c r="C225" s="1" t="s">
        <v>422</v>
      </c>
      <c r="F225" s="1">
        <v>4</v>
      </c>
      <c r="G225" s="1">
        <v>1</v>
      </c>
      <c r="H225" s="1">
        <v>10014</v>
      </c>
      <c r="I225" s="1">
        <v>10014</v>
      </c>
      <c r="J225" s="2">
        <v>10024</v>
      </c>
      <c r="K225" s="1">
        <v>20004</v>
      </c>
      <c r="L225" s="1">
        <v>20004</v>
      </c>
      <c r="M225" s="1">
        <v>20014</v>
      </c>
      <c r="N225" s="1">
        <v>30004</v>
      </c>
      <c r="O225" s="1">
        <v>30004</v>
      </c>
      <c r="P225" s="1">
        <v>30004</v>
      </c>
      <c r="Q225" s="1">
        <v>10014</v>
      </c>
      <c r="R225" s="1">
        <v>10014</v>
      </c>
      <c r="S225" s="2">
        <v>10024</v>
      </c>
      <c r="T225" s="1">
        <v>40004</v>
      </c>
      <c r="U225" s="1">
        <v>40014</v>
      </c>
      <c r="V225" s="1">
        <v>40084</v>
      </c>
    </row>
    <row r="226" spans="1:22" x14ac:dyDescent="0.3">
      <c r="A226" s="1">
        <f t="shared" si="5"/>
        <v>123014</v>
      </c>
      <c r="B226" s="1">
        <f t="shared" si="4"/>
        <v>10000413</v>
      </c>
      <c r="C226" s="1" t="s">
        <v>422</v>
      </c>
      <c r="F226" s="1">
        <v>5</v>
      </c>
      <c r="G226" s="1">
        <v>1</v>
      </c>
      <c r="H226" s="1">
        <v>10015</v>
      </c>
      <c r="I226" s="1">
        <v>10015</v>
      </c>
      <c r="J226" s="2">
        <v>10025</v>
      </c>
      <c r="K226" s="1">
        <v>20005</v>
      </c>
      <c r="L226" s="1">
        <v>20005</v>
      </c>
      <c r="M226" s="1">
        <v>20015</v>
      </c>
      <c r="N226" s="1">
        <v>30005</v>
      </c>
      <c r="O226" s="1">
        <v>30005</v>
      </c>
      <c r="P226" s="1">
        <v>30005</v>
      </c>
      <c r="Q226" s="1">
        <v>10015</v>
      </c>
      <c r="R226" s="1">
        <v>10015</v>
      </c>
      <c r="S226" s="2">
        <v>10025</v>
      </c>
      <c r="T226" s="1">
        <v>40005</v>
      </c>
      <c r="U226" s="1">
        <v>40015</v>
      </c>
      <c r="V226" s="1">
        <v>40085</v>
      </c>
    </row>
    <row r="227" spans="1:22" x14ac:dyDescent="0.3">
      <c r="A227" s="1">
        <f t="shared" si="5"/>
        <v>123015</v>
      </c>
      <c r="B227" s="1">
        <f t="shared" si="4"/>
        <v>10000413</v>
      </c>
      <c r="C227" s="1" t="s">
        <v>419</v>
      </c>
      <c r="F227" s="1">
        <v>1</v>
      </c>
      <c r="G227" s="1">
        <v>2</v>
      </c>
      <c r="H227" s="1">
        <v>10011</v>
      </c>
      <c r="I227" s="1">
        <v>10011</v>
      </c>
      <c r="J227" s="2">
        <v>10021</v>
      </c>
      <c r="K227" s="1">
        <v>20001</v>
      </c>
      <c r="L227" s="1">
        <v>20001</v>
      </c>
      <c r="M227" s="1">
        <v>20011</v>
      </c>
      <c r="N227" s="1">
        <v>30001</v>
      </c>
      <c r="O227" s="1">
        <v>30011</v>
      </c>
      <c r="P227" s="1">
        <v>30001</v>
      </c>
      <c r="Q227" s="1">
        <v>10011</v>
      </c>
      <c r="R227" s="1">
        <v>10021</v>
      </c>
      <c r="S227" s="2">
        <v>10021</v>
      </c>
      <c r="T227" s="1">
        <v>40001</v>
      </c>
      <c r="U227" s="1">
        <v>40011</v>
      </c>
      <c r="V227" s="1">
        <v>40041</v>
      </c>
    </row>
    <row r="228" spans="1:22" x14ac:dyDescent="0.3">
      <c r="A228" s="1">
        <f t="shared" si="5"/>
        <v>123016</v>
      </c>
      <c r="B228" s="1">
        <f t="shared" si="4"/>
        <v>10000413</v>
      </c>
      <c r="C228" s="1" t="s">
        <v>419</v>
      </c>
      <c r="F228" s="1">
        <v>2</v>
      </c>
      <c r="G228" s="1">
        <v>2</v>
      </c>
      <c r="H228" s="1">
        <v>10012</v>
      </c>
      <c r="I228" s="1">
        <v>10012</v>
      </c>
      <c r="J228" s="2">
        <v>10022</v>
      </c>
      <c r="K228" s="1">
        <v>20002</v>
      </c>
      <c r="L228" s="1">
        <v>20002</v>
      </c>
      <c r="M228" s="1">
        <v>20012</v>
      </c>
      <c r="N228" s="1">
        <v>30002</v>
      </c>
      <c r="O228" s="1">
        <v>30012</v>
      </c>
      <c r="P228" s="1">
        <v>30002</v>
      </c>
      <c r="Q228" s="1">
        <v>10012</v>
      </c>
      <c r="R228" s="1">
        <v>10022</v>
      </c>
      <c r="S228" s="2">
        <v>10022</v>
      </c>
      <c r="T228" s="1">
        <v>40002</v>
      </c>
      <c r="U228" s="1">
        <v>40012</v>
      </c>
      <c r="V228" s="1">
        <v>40042</v>
      </c>
    </row>
    <row r="229" spans="1:22" x14ac:dyDescent="0.3">
      <c r="A229" s="1">
        <f t="shared" si="5"/>
        <v>123017</v>
      </c>
      <c r="B229" s="1">
        <f t="shared" si="4"/>
        <v>10000413</v>
      </c>
      <c r="C229" s="1" t="s">
        <v>419</v>
      </c>
      <c r="F229" s="1">
        <v>3</v>
      </c>
      <c r="G229" s="1">
        <v>2</v>
      </c>
      <c r="H229" s="1">
        <v>10013</v>
      </c>
      <c r="I229" s="1">
        <v>10013</v>
      </c>
      <c r="J229" s="2">
        <v>10023</v>
      </c>
      <c r="K229" s="1">
        <v>20003</v>
      </c>
      <c r="L229" s="1">
        <v>20003</v>
      </c>
      <c r="M229" s="1">
        <v>20013</v>
      </c>
      <c r="N229" s="1">
        <v>30003</v>
      </c>
      <c r="O229" s="1">
        <v>30013</v>
      </c>
      <c r="P229" s="1">
        <v>30003</v>
      </c>
      <c r="Q229" s="1">
        <v>10013</v>
      </c>
      <c r="R229" s="1">
        <v>10023</v>
      </c>
      <c r="S229" s="2">
        <v>10023</v>
      </c>
      <c r="T229" s="1">
        <v>40003</v>
      </c>
      <c r="U229" s="1">
        <v>40013</v>
      </c>
      <c r="V229" s="1">
        <v>40043</v>
      </c>
    </row>
    <row r="230" spans="1:22" x14ac:dyDescent="0.3">
      <c r="A230" s="1">
        <f t="shared" si="5"/>
        <v>123018</v>
      </c>
      <c r="B230" s="1">
        <f t="shared" si="4"/>
        <v>10000413</v>
      </c>
      <c r="C230" s="1" t="s">
        <v>419</v>
      </c>
      <c r="F230" s="1">
        <v>4</v>
      </c>
      <c r="G230" s="1">
        <v>2</v>
      </c>
      <c r="H230" s="1">
        <v>10014</v>
      </c>
      <c r="I230" s="1">
        <v>10014</v>
      </c>
      <c r="J230" s="2">
        <v>10024</v>
      </c>
      <c r="K230" s="1">
        <v>20004</v>
      </c>
      <c r="L230" s="1">
        <v>20004</v>
      </c>
      <c r="M230" s="1">
        <v>20014</v>
      </c>
      <c r="N230" s="1">
        <v>30004</v>
      </c>
      <c r="O230" s="1">
        <v>30014</v>
      </c>
      <c r="P230" s="1">
        <v>30004</v>
      </c>
      <c r="Q230" s="1">
        <v>10014</v>
      </c>
      <c r="R230" s="1">
        <v>10024</v>
      </c>
      <c r="S230" s="2">
        <v>10024</v>
      </c>
      <c r="T230" s="1">
        <v>40004</v>
      </c>
      <c r="U230" s="1">
        <v>40014</v>
      </c>
      <c r="V230" s="1">
        <v>40044</v>
      </c>
    </row>
    <row r="231" spans="1:22" x14ac:dyDescent="0.3">
      <c r="A231" s="1">
        <f t="shared" si="5"/>
        <v>123019</v>
      </c>
      <c r="B231" s="1">
        <f t="shared" si="4"/>
        <v>10000413</v>
      </c>
      <c r="C231" s="1" t="s">
        <v>419</v>
      </c>
      <c r="F231" s="1">
        <v>5</v>
      </c>
      <c r="G231" s="1">
        <v>2</v>
      </c>
      <c r="H231" s="1">
        <v>10015</v>
      </c>
      <c r="I231" s="1">
        <v>10015</v>
      </c>
      <c r="J231" s="2">
        <v>10025</v>
      </c>
      <c r="K231" s="1">
        <v>20005</v>
      </c>
      <c r="L231" s="1">
        <v>20005</v>
      </c>
      <c r="M231" s="1">
        <v>20015</v>
      </c>
      <c r="N231" s="1">
        <v>30005</v>
      </c>
      <c r="O231" s="1">
        <v>30015</v>
      </c>
      <c r="P231" s="1">
        <v>30005</v>
      </c>
      <c r="Q231" s="1">
        <v>10015</v>
      </c>
      <c r="R231" s="1">
        <v>10025</v>
      </c>
      <c r="S231" s="2">
        <v>10025</v>
      </c>
      <c r="T231" s="1">
        <v>40005</v>
      </c>
      <c r="U231" s="1">
        <v>40015</v>
      </c>
      <c r="V231" s="1">
        <v>40045</v>
      </c>
    </row>
    <row r="232" spans="1:22" x14ac:dyDescent="0.3">
      <c r="A232" s="1">
        <f t="shared" si="5"/>
        <v>124010</v>
      </c>
      <c r="B232" s="1">
        <f t="shared" si="4"/>
        <v>10000414</v>
      </c>
      <c r="C232" s="1" t="s">
        <v>423</v>
      </c>
      <c r="F232" s="1">
        <v>1</v>
      </c>
      <c r="G232" s="1">
        <v>1</v>
      </c>
      <c r="H232" s="2">
        <v>10021</v>
      </c>
      <c r="I232" s="2">
        <v>10021</v>
      </c>
      <c r="J232" s="2">
        <v>10021</v>
      </c>
      <c r="K232" s="1">
        <v>20001</v>
      </c>
      <c r="L232" s="1">
        <v>20001</v>
      </c>
      <c r="M232" s="1">
        <v>20011</v>
      </c>
      <c r="N232" s="1">
        <v>30001</v>
      </c>
      <c r="O232" s="1">
        <v>30011</v>
      </c>
      <c r="P232" s="1">
        <v>30001</v>
      </c>
      <c r="Q232" s="2">
        <v>10021</v>
      </c>
      <c r="R232" s="2">
        <v>10021</v>
      </c>
      <c r="S232" s="2">
        <v>10021</v>
      </c>
      <c r="T232" s="1">
        <v>40031</v>
      </c>
      <c r="U232" s="1">
        <v>40041</v>
      </c>
      <c r="V232" s="1">
        <v>40051</v>
      </c>
    </row>
    <row r="233" spans="1:22" x14ac:dyDescent="0.3">
      <c r="A233" s="1">
        <f t="shared" si="5"/>
        <v>124011</v>
      </c>
      <c r="B233" s="1">
        <f t="shared" si="4"/>
        <v>10000414</v>
      </c>
      <c r="C233" s="1" t="s">
        <v>423</v>
      </c>
      <c r="F233" s="1">
        <v>2</v>
      </c>
      <c r="G233" s="1">
        <v>1</v>
      </c>
      <c r="H233" s="2">
        <v>10022</v>
      </c>
      <c r="I233" s="2">
        <v>10022</v>
      </c>
      <c r="J233" s="2">
        <v>10022</v>
      </c>
      <c r="K233" s="1">
        <v>20002</v>
      </c>
      <c r="L233" s="1">
        <v>20002</v>
      </c>
      <c r="M233" s="1">
        <v>20012</v>
      </c>
      <c r="N233" s="1">
        <v>30002</v>
      </c>
      <c r="O233" s="1">
        <v>30012</v>
      </c>
      <c r="P233" s="1">
        <v>30002</v>
      </c>
      <c r="Q233" s="2">
        <v>10022</v>
      </c>
      <c r="R233" s="2">
        <v>10022</v>
      </c>
      <c r="S233" s="2">
        <v>10022</v>
      </c>
      <c r="T233" s="1">
        <v>40032</v>
      </c>
      <c r="U233" s="1">
        <v>40042</v>
      </c>
      <c r="V233" s="1">
        <v>40052</v>
      </c>
    </row>
    <row r="234" spans="1:22" x14ac:dyDescent="0.3">
      <c r="A234" s="1">
        <f t="shared" si="5"/>
        <v>124012</v>
      </c>
      <c r="B234" s="1">
        <f t="shared" si="4"/>
        <v>10000414</v>
      </c>
      <c r="C234" s="1" t="s">
        <v>423</v>
      </c>
      <c r="F234" s="1">
        <v>3</v>
      </c>
      <c r="G234" s="1">
        <v>1</v>
      </c>
      <c r="H234" s="2">
        <v>10023</v>
      </c>
      <c r="I234" s="2">
        <v>10023</v>
      </c>
      <c r="J234" s="2">
        <v>10023</v>
      </c>
      <c r="K234" s="1">
        <v>20003</v>
      </c>
      <c r="L234" s="1">
        <v>20003</v>
      </c>
      <c r="M234" s="1">
        <v>20013</v>
      </c>
      <c r="N234" s="1">
        <v>30003</v>
      </c>
      <c r="O234" s="1">
        <v>30013</v>
      </c>
      <c r="P234" s="1">
        <v>30003</v>
      </c>
      <c r="Q234" s="2">
        <v>10023</v>
      </c>
      <c r="R234" s="2">
        <v>10023</v>
      </c>
      <c r="S234" s="2">
        <v>10023</v>
      </c>
      <c r="T234" s="1">
        <v>40033</v>
      </c>
      <c r="U234" s="1">
        <v>40043</v>
      </c>
      <c r="V234" s="1">
        <v>40053</v>
      </c>
    </row>
    <row r="235" spans="1:22" x14ac:dyDescent="0.3">
      <c r="A235" s="1">
        <f t="shared" si="5"/>
        <v>124013</v>
      </c>
      <c r="B235" s="1">
        <f t="shared" si="4"/>
        <v>10000414</v>
      </c>
      <c r="C235" s="1" t="s">
        <v>423</v>
      </c>
      <c r="F235" s="1">
        <v>4</v>
      </c>
      <c r="G235" s="1">
        <v>1</v>
      </c>
      <c r="H235" s="2">
        <v>10024</v>
      </c>
      <c r="I235" s="2">
        <v>10024</v>
      </c>
      <c r="J235" s="2">
        <v>10024</v>
      </c>
      <c r="K235" s="1">
        <v>20004</v>
      </c>
      <c r="L235" s="1">
        <v>20004</v>
      </c>
      <c r="M235" s="1">
        <v>20014</v>
      </c>
      <c r="N235" s="1">
        <v>30004</v>
      </c>
      <c r="O235" s="1">
        <v>30014</v>
      </c>
      <c r="P235" s="1">
        <v>30004</v>
      </c>
      <c r="Q235" s="2">
        <v>10024</v>
      </c>
      <c r="R235" s="2">
        <v>10024</v>
      </c>
      <c r="S235" s="2">
        <v>10024</v>
      </c>
      <c r="T235" s="1">
        <v>40034</v>
      </c>
      <c r="U235" s="1">
        <v>40044</v>
      </c>
      <c r="V235" s="1">
        <v>40054</v>
      </c>
    </row>
    <row r="236" spans="1:22" x14ac:dyDescent="0.3">
      <c r="A236" s="1">
        <f t="shared" si="5"/>
        <v>124014</v>
      </c>
      <c r="B236" s="1">
        <f t="shared" si="4"/>
        <v>10000414</v>
      </c>
      <c r="C236" s="1" t="s">
        <v>423</v>
      </c>
      <c r="F236" s="1">
        <v>5</v>
      </c>
      <c r="G236" s="1">
        <v>1</v>
      </c>
      <c r="H236" s="2">
        <v>10025</v>
      </c>
      <c r="I236" s="2">
        <v>10025</v>
      </c>
      <c r="J236" s="2">
        <v>10025</v>
      </c>
      <c r="K236" s="1">
        <v>20005</v>
      </c>
      <c r="L236" s="1">
        <v>20005</v>
      </c>
      <c r="M236" s="1">
        <v>20015</v>
      </c>
      <c r="N236" s="1">
        <v>30005</v>
      </c>
      <c r="O236" s="1">
        <v>30015</v>
      </c>
      <c r="P236" s="1">
        <v>30005</v>
      </c>
      <c r="Q236" s="2">
        <v>10025</v>
      </c>
      <c r="R236" s="2">
        <v>10025</v>
      </c>
      <c r="S236" s="2">
        <v>10025</v>
      </c>
      <c r="T236" s="1">
        <v>40035</v>
      </c>
      <c r="U236" s="1">
        <v>40045</v>
      </c>
      <c r="V236" s="1">
        <v>40055</v>
      </c>
    </row>
    <row r="237" spans="1:22" x14ac:dyDescent="0.3">
      <c r="A237" s="1">
        <f t="shared" si="5"/>
        <v>124015</v>
      </c>
      <c r="B237" s="1">
        <f t="shared" si="4"/>
        <v>10000414</v>
      </c>
      <c r="C237" s="1" t="s">
        <v>416</v>
      </c>
      <c r="F237" s="1">
        <v>1</v>
      </c>
      <c r="G237" s="1">
        <v>2</v>
      </c>
      <c r="H237" s="1">
        <v>10001</v>
      </c>
      <c r="I237" s="1">
        <v>10001</v>
      </c>
      <c r="J237" s="1">
        <v>10001</v>
      </c>
      <c r="K237" s="1">
        <v>20001</v>
      </c>
      <c r="L237" s="1">
        <v>20001</v>
      </c>
      <c r="M237" s="1">
        <v>20011</v>
      </c>
      <c r="N237" s="1">
        <v>30001</v>
      </c>
      <c r="O237" s="1">
        <v>30011</v>
      </c>
      <c r="P237" s="1">
        <v>30001</v>
      </c>
      <c r="Q237" s="1">
        <v>10001</v>
      </c>
      <c r="R237" s="1">
        <v>10001</v>
      </c>
      <c r="S237" s="1">
        <v>10001</v>
      </c>
      <c r="T237" s="1">
        <v>40051</v>
      </c>
      <c r="U237" s="1">
        <v>40021</v>
      </c>
      <c r="V237" s="1">
        <v>40081</v>
      </c>
    </row>
    <row r="238" spans="1:22" x14ac:dyDescent="0.3">
      <c r="A238" s="1">
        <f t="shared" si="5"/>
        <v>124016</v>
      </c>
      <c r="B238" s="1">
        <f t="shared" si="4"/>
        <v>10000414</v>
      </c>
      <c r="C238" s="1" t="s">
        <v>416</v>
      </c>
      <c r="F238" s="1">
        <v>2</v>
      </c>
      <c r="G238" s="1">
        <v>2</v>
      </c>
      <c r="H238" s="1">
        <v>10002</v>
      </c>
      <c r="I238" s="1">
        <v>10002</v>
      </c>
      <c r="J238" s="1">
        <v>10002</v>
      </c>
      <c r="K238" s="1">
        <v>20002</v>
      </c>
      <c r="L238" s="1">
        <v>20002</v>
      </c>
      <c r="M238" s="1">
        <v>20012</v>
      </c>
      <c r="N238" s="1">
        <v>30002</v>
      </c>
      <c r="O238" s="1">
        <v>30012</v>
      </c>
      <c r="P238" s="1">
        <v>30002</v>
      </c>
      <c r="Q238" s="1">
        <v>10002</v>
      </c>
      <c r="R238" s="1">
        <v>10002</v>
      </c>
      <c r="S238" s="1">
        <v>10002</v>
      </c>
      <c r="T238" s="1">
        <v>40052</v>
      </c>
      <c r="U238" s="1">
        <v>40022</v>
      </c>
      <c r="V238" s="1">
        <v>40082</v>
      </c>
    </row>
    <row r="239" spans="1:22" x14ac:dyDescent="0.3">
      <c r="A239" s="1">
        <f t="shared" si="5"/>
        <v>124017</v>
      </c>
      <c r="B239" s="1">
        <f t="shared" si="4"/>
        <v>10000414</v>
      </c>
      <c r="C239" s="1" t="s">
        <v>416</v>
      </c>
      <c r="F239" s="1">
        <v>3</v>
      </c>
      <c r="G239" s="1">
        <v>2</v>
      </c>
      <c r="H239" s="1">
        <v>10003</v>
      </c>
      <c r="I239" s="1">
        <v>10003</v>
      </c>
      <c r="J239" s="1">
        <v>10003</v>
      </c>
      <c r="K239" s="1">
        <v>20003</v>
      </c>
      <c r="L239" s="1">
        <v>20003</v>
      </c>
      <c r="M239" s="1">
        <v>20013</v>
      </c>
      <c r="N239" s="1">
        <v>30003</v>
      </c>
      <c r="O239" s="1">
        <v>30013</v>
      </c>
      <c r="P239" s="1">
        <v>30003</v>
      </c>
      <c r="Q239" s="1">
        <v>10003</v>
      </c>
      <c r="R239" s="1">
        <v>10003</v>
      </c>
      <c r="S239" s="1">
        <v>10003</v>
      </c>
      <c r="T239" s="1">
        <v>40053</v>
      </c>
      <c r="U239" s="1">
        <v>40023</v>
      </c>
      <c r="V239" s="1">
        <v>40083</v>
      </c>
    </row>
    <row r="240" spans="1:22" x14ac:dyDescent="0.3">
      <c r="A240" s="1">
        <f t="shared" si="5"/>
        <v>124018</v>
      </c>
      <c r="B240" s="1">
        <f t="shared" si="4"/>
        <v>10000414</v>
      </c>
      <c r="C240" s="1" t="s">
        <v>416</v>
      </c>
      <c r="F240" s="1">
        <v>4</v>
      </c>
      <c r="G240" s="1">
        <v>2</v>
      </c>
      <c r="H240" s="1">
        <v>10004</v>
      </c>
      <c r="I240" s="1">
        <v>10004</v>
      </c>
      <c r="J240" s="1">
        <v>10004</v>
      </c>
      <c r="K240" s="1">
        <v>20004</v>
      </c>
      <c r="L240" s="1">
        <v>20004</v>
      </c>
      <c r="M240" s="1">
        <v>20014</v>
      </c>
      <c r="N240" s="1">
        <v>30004</v>
      </c>
      <c r="O240" s="1">
        <v>30014</v>
      </c>
      <c r="P240" s="1">
        <v>30004</v>
      </c>
      <c r="Q240" s="1">
        <v>10004</v>
      </c>
      <c r="R240" s="1">
        <v>10004</v>
      </c>
      <c r="S240" s="1">
        <v>10004</v>
      </c>
      <c r="T240" s="1">
        <v>40054</v>
      </c>
      <c r="U240" s="1">
        <v>40024</v>
      </c>
      <c r="V240" s="1">
        <v>40084</v>
      </c>
    </row>
    <row r="241" spans="1:22" x14ac:dyDescent="0.3">
      <c r="A241" s="1">
        <f t="shared" si="5"/>
        <v>124019</v>
      </c>
      <c r="B241" s="1">
        <f t="shared" si="4"/>
        <v>10000414</v>
      </c>
      <c r="C241" s="1" t="s">
        <v>416</v>
      </c>
      <c r="F241" s="1">
        <v>5</v>
      </c>
      <c r="G241" s="1">
        <v>2</v>
      </c>
      <c r="H241" s="1">
        <v>10005</v>
      </c>
      <c r="I241" s="1">
        <v>10005</v>
      </c>
      <c r="J241" s="1">
        <v>10005</v>
      </c>
      <c r="K241" s="1">
        <v>20005</v>
      </c>
      <c r="L241" s="1">
        <v>20005</v>
      </c>
      <c r="M241" s="1">
        <v>20015</v>
      </c>
      <c r="N241" s="1">
        <v>30005</v>
      </c>
      <c r="O241" s="1">
        <v>30015</v>
      </c>
      <c r="P241" s="1">
        <v>30005</v>
      </c>
      <c r="Q241" s="1">
        <v>10005</v>
      </c>
      <c r="R241" s="1">
        <v>10005</v>
      </c>
      <c r="S241" s="1">
        <v>10005</v>
      </c>
      <c r="T241" s="1">
        <v>40055</v>
      </c>
      <c r="U241" s="1">
        <v>40025</v>
      </c>
      <c r="V241" s="1">
        <v>40085</v>
      </c>
    </row>
  </sheetData>
  <phoneticPr fontId="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F15" sqref="F15"/>
    </sheetView>
  </sheetViews>
  <sheetFormatPr defaultColWidth="9" defaultRowHeight="16.5" x14ac:dyDescent="0.3"/>
  <cols>
    <col min="1" max="20" width="9" style="1"/>
    <col min="21" max="21" width="15.125" style="1" customWidth="1"/>
    <col min="22" max="16384" width="9" style="1"/>
  </cols>
  <sheetData>
    <row r="1" spans="1:20" x14ac:dyDescent="0.3">
      <c r="A1" s="1" t="s">
        <v>214</v>
      </c>
      <c r="B1" s="1" t="s">
        <v>442</v>
      </c>
      <c r="C1" s="1" t="s">
        <v>443</v>
      </c>
      <c r="D1" s="1" t="s">
        <v>444</v>
      </c>
      <c r="E1" s="1" t="s">
        <v>169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</row>
    <row r="2" spans="1:20" x14ac:dyDescent="0.3">
      <c r="A2" s="1">
        <v>201010</v>
      </c>
      <c r="B2" s="1" t="s">
        <v>416</v>
      </c>
      <c r="E2" s="1">
        <v>1</v>
      </c>
      <c r="F2" s="1">
        <v>10001</v>
      </c>
      <c r="G2" s="1">
        <v>10001</v>
      </c>
      <c r="H2" s="1">
        <v>10001</v>
      </c>
      <c r="I2" s="1">
        <v>20001</v>
      </c>
      <c r="J2" s="1">
        <v>20001</v>
      </c>
      <c r="K2" s="1">
        <v>20001</v>
      </c>
      <c r="L2" s="1">
        <v>30001</v>
      </c>
      <c r="M2" s="1">
        <v>30011</v>
      </c>
      <c r="N2" s="1">
        <v>30001</v>
      </c>
      <c r="O2" s="1">
        <v>10001</v>
      </c>
      <c r="P2" s="1">
        <v>10001</v>
      </c>
      <c r="Q2" s="1">
        <v>10001</v>
      </c>
      <c r="R2" s="1">
        <v>40011</v>
      </c>
      <c r="S2" s="1">
        <v>40021</v>
      </c>
      <c r="T2" s="1">
        <v>40031</v>
      </c>
    </row>
    <row r="3" spans="1:20" x14ac:dyDescent="0.3">
      <c r="A3" s="1">
        <v>201011</v>
      </c>
      <c r="B3" s="1" t="s">
        <v>416</v>
      </c>
      <c r="E3" s="1">
        <v>2</v>
      </c>
      <c r="F3" s="1">
        <v>10002</v>
      </c>
      <c r="G3" s="1">
        <v>10002</v>
      </c>
      <c r="H3" s="1">
        <v>10002</v>
      </c>
      <c r="I3" s="1">
        <v>20002</v>
      </c>
      <c r="J3" s="1">
        <v>20002</v>
      </c>
      <c r="K3" s="1">
        <v>20002</v>
      </c>
      <c r="L3" s="1">
        <v>30002</v>
      </c>
      <c r="M3" s="1">
        <v>30012</v>
      </c>
      <c r="N3" s="1">
        <v>30002</v>
      </c>
      <c r="O3" s="1">
        <v>10002</v>
      </c>
      <c r="P3" s="1">
        <v>10002</v>
      </c>
      <c r="Q3" s="1">
        <v>10002</v>
      </c>
      <c r="R3" s="1">
        <v>40012</v>
      </c>
      <c r="S3" s="1">
        <v>40022</v>
      </c>
      <c r="T3" s="1">
        <v>40032</v>
      </c>
    </row>
    <row r="4" spans="1:20" x14ac:dyDescent="0.3">
      <c r="A4" s="1">
        <v>201012</v>
      </c>
      <c r="B4" s="1" t="s">
        <v>416</v>
      </c>
      <c r="E4" s="1">
        <v>3</v>
      </c>
      <c r="F4" s="1">
        <v>10003</v>
      </c>
      <c r="G4" s="1">
        <v>10003</v>
      </c>
      <c r="H4" s="1">
        <v>10003</v>
      </c>
      <c r="I4" s="1">
        <v>20003</v>
      </c>
      <c r="J4" s="1">
        <v>20003</v>
      </c>
      <c r="K4" s="1">
        <v>20003</v>
      </c>
      <c r="L4" s="1">
        <v>30003</v>
      </c>
      <c r="M4" s="1">
        <v>30013</v>
      </c>
      <c r="N4" s="1">
        <v>30003</v>
      </c>
      <c r="O4" s="1">
        <v>10003</v>
      </c>
      <c r="P4" s="1">
        <v>10003</v>
      </c>
      <c r="Q4" s="1">
        <v>10003</v>
      </c>
      <c r="R4" s="1">
        <v>40013</v>
      </c>
      <c r="S4" s="1">
        <v>40023</v>
      </c>
      <c r="T4" s="1">
        <v>40033</v>
      </c>
    </row>
    <row r="5" spans="1:20" x14ac:dyDescent="0.3">
      <c r="A5" s="1">
        <v>201013</v>
      </c>
      <c r="B5" s="1" t="s">
        <v>416</v>
      </c>
      <c r="E5" s="1">
        <v>4</v>
      </c>
      <c r="F5" s="1">
        <v>10004</v>
      </c>
      <c r="G5" s="1">
        <v>10004</v>
      </c>
      <c r="H5" s="1">
        <v>10004</v>
      </c>
      <c r="I5" s="1">
        <v>20004</v>
      </c>
      <c r="J5" s="1">
        <v>20004</v>
      </c>
      <c r="K5" s="1">
        <v>20004</v>
      </c>
      <c r="L5" s="1">
        <v>30004</v>
      </c>
      <c r="M5" s="1">
        <v>30014</v>
      </c>
      <c r="N5" s="1">
        <v>30004</v>
      </c>
      <c r="O5" s="1">
        <v>10004</v>
      </c>
      <c r="P5" s="1">
        <v>10004</v>
      </c>
      <c r="Q5" s="1">
        <v>10004</v>
      </c>
      <c r="R5" s="1">
        <v>40014</v>
      </c>
      <c r="S5" s="1">
        <v>40024</v>
      </c>
      <c r="T5" s="1">
        <v>40034</v>
      </c>
    </row>
    <row r="6" spans="1:20" x14ac:dyDescent="0.3">
      <c r="A6" s="1">
        <v>201014</v>
      </c>
      <c r="B6" s="1" t="s">
        <v>416</v>
      </c>
      <c r="E6" s="1">
        <v>5</v>
      </c>
      <c r="F6" s="1">
        <v>10005</v>
      </c>
      <c r="G6" s="1">
        <v>10005</v>
      </c>
      <c r="H6" s="1">
        <v>10005</v>
      </c>
      <c r="I6" s="1">
        <v>20005</v>
      </c>
      <c r="J6" s="1">
        <v>20005</v>
      </c>
      <c r="K6" s="1">
        <v>20005</v>
      </c>
      <c r="L6" s="1">
        <v>30005</v>
      </c>
      <c r="M6" s="1">
        <v>30015</v>
      </c>
      <c r="N6" s="1">
        <v>30005</v>
      </c>
      <c r="O6" s="1">
        <v>10005</v>
      </c>
      <c r="P6" s="1">
        <v>10005</v>
      </c>
      <c r="Q6" s="1">
        <v>10005</v>
      </c>
      <c r="R6" s="1">
        <v>40015</v>
      </c>
      <c r="S6" s="1">
        <v>40025</v>
      </c>
      <c r="T6" s="1">
        <v>40035</v>
      </c>
    </row>
    <row r="7" spans="1:20" x14ac:dyDescent="0.3">
      <c r="A7" s="1">
        <v>201015</v>
      </c>
      <c r="B7" s="1" t="s">
        <v>417</v>
      </c>
      <c r="E7" s="1">
        <v>1</v>
      </c>
      <c r="F7" s="1">
        <v>10001</v>
      </c>
      <c r="G7" s="1">
        <v>10001</v>
      </c>
      <c r="H7" s="1">
        <v>10001</v>
      </c>
      <c r="I7" s="1">
        <v>20001</v>
      </c>
      <c r="J7" s="1">
        <v>20001</v>
      </c>
      <c r="K7" s="1">
        <v>20001</v>
      </c>
      <c r="L7" s="1">
        <v>30001</v>
      </c>
      <c r="M7" s="1">
        <v>30001</v>
      </c>
      <c r="N7" s="1">
        <v>30001</v>
      </c>
      <c r="O7" s="1">
        <v>20001</v>
      </c>
      <c r="P7" s="1">
        <v>30001</v>
      </c>
      <c r="Q7" s="1">
        <v>30001</v>
      </c>
      <c r="R7" s="1">
        <v>40001</v>
      </c>
      <c r="S7" s="1">
        <v>40081</v>
      </c>
      <c r="T7" s="1">
        <v>40111</v>
      </c>
    </row>
    <row r="8" spans="1:20" x14ac:dyDescent="0.3">
      <c r="A8" s="1">
        <v>201016</v>
      </c>
      <c r="B8" s="1" t="s">
        <v>417</v>
      </c>
      <c r="E8" s="1">
        <v>2</v>
      </c>
      <c r="F8" s="1">
        <v>10002</v>
      </c>
      <c r="G8" s="1">
        <v>10002</v>
      </c>
      <c r="H8" s="1">
        <v>10002</v>
      </c>
      <c r="I8" s="1">
        <v>20002</v>
      </c>
      <c r="J8" s="1">
        <v>20002</v>
      </c>
      <c r="K8" s="1">
        <v>20002</v>
      </c>
      <c r="L8" s="1">
        <v>30002</v>
      </c>
      <c r="M8" s="1">
        <v>30002</v>
      </c>
      <c r="N8" s="1">
        <v>30002</v>
      </c>
      <c r="O8" s="1">
        <v>20002</v>
      </c>
      <c r="P8" s="1">
        <v>30002</v>
      </c>
      <c r="Q8" s="1">
        <v>30002</v>
      </c>
      <c r="R8" s="1">
        <v>40002</v>
      </c>
      <c r="S8" s="1">
        <v>40082</v>
      </c>
      <c r="T8" s="1">
        <v>40112</v>
      </c>
    </row>
    <row r="9" spans="1:20" x14ac:dyDescent="0.3">
      <c r="A9" s="1">
        <v>201017</v>
      </c>
      <c r="B9" s="1" t="s">
        <v>417</v>
      </c>
      <c r="E9" s="1">
        <v>3</v>
      </c>
      <c r="F9" s="1">
        <v>10003</v>
      </c>
      <c r="G9" s="1">
        <v>10003</v>
      </c>
      <c r="H9" s="1">
        <v>10003</v>
      </c>
      <c r="I9" s="1">
        <v>20003</v>
      </c>
      <c r="J9" s="1">
        <v>20003</v>
      </c>
      <c r="K9" s="1">
        <v>20003</v>
      </c>
      <c r="L9" s="1">
        <v>30003</v>
      </c>
      <c r="M9" s="1">
        <v>30003</v>
      </c>
      <c r="N9" s="1">
        <v>30003</v>
      </c>
      <c r="O9" s="1">
        <v>20003</v>
      </c>
      <c r="P9" s="1">
        <v>30003</v>
      </c>
      <c r="Q9" s="1">
        <v>30003</v>
      </c>
      <c r="R9" s="1">
        <v>40003</v>
      </c>
      <c r="S9" s="1">
        <v>40083</v>
      </c>
      <c r="T9" s="1">
        <v>40113</v>
      </c>
    </row>
    <row r="10" spans="1:20" x14ac:dyDescent="0.3">
      <c r="A10" s="1">
        <v>201018</v>
      </c>
      <c r="B10" s="1" t="s">
        <v>417</v>
      </c>
      <c r="E10" s="1">
        <v>4</v>
      </c>
      <c r="F10" s="1">
        <v>10004</v>
      </c>
      <c r="G10" s="1">
        <v>10004</v>
      </c>
      <c r="H10" s="1">
        <v>10004</v>
      </c>
      <c r="I10" s="1">
        <v>20004</v>
      </c>
      <c r="J10" s="1">
        <v>20004</v>
      </c>
      <c r="K10" s="1">
        <v>20004</v>
      </c>
      <c r="L10" s="1">
        <v>30004</v>
      </c>
      <c r="M10" s="1">
        <v>30004</v>
      </c>
      <c r="N10" s="1">
        <v>30004</v>
      </c>
      <c r="O10" s="1">
        <v>20004</v>
      </c>
      <c r="P10" s="1">
        <v>30004</v>
      </c>
      <c r="Q10" s="1">
        <v>30004</v>
      </c>
      <c r="R10" s="1">
        <v>40004</v>
      </c>
      <c r="S10" s="1">
        <v>40084</v>
      </c>
      <c r="T10" s="1">
        <v>40114</v>
      </c>
    </row>
    <row r="11" spans="1:20" x14ac:dyDescent="0.3">
      <c r="A11" s="1">
        <v>201019</v>
      </c>
      <c r="B11" s="1" t="s">
        <v>417</v>
      </c>
      <c r="E11" s="1">
        <v>5</v>
      </c>
      <c r="F11" s="1">
        <v>10005</v>
      </c>
      <c r="G11" s="1">
        <v>10005</v>
      </c>
      <c r="H11" s="1">
        <v>10005</v>
      </c>
      <c r="I11" s="1">
        <v>20005</v>
      </c>
      <c r="J11" s="1">
        <v>20005</v>
      </c>
      <c r="K11" s="1">
        <v>20005</v>
      </c>
      <c r="L11" s="1">
        <v>30005</v>
      </c>
      <c r="M11" s="1">
        <v>30005</v>
      </c>
      <c r="N11" s="1">
        <v>30005</v>
      </c>
      <c r="O11" s="1">
        <v>20005</v>
      </c>
      <c r="P11" s="1">
        <v>30005</v>
      </c>
      <c r="Q11" s="1">
        <v>30005</v>
      </c>
      <c r="R11" s="1">
        <v>40005</v>
      </c>
      <c r="S11" s="1">
        <v>40085</v>
      </c>
      <c r="T11" s="1">
        <v>40115</v>
      </c>
    </row>
    <row r="12" spans="1:20" x14ac:dyDescent="0.3">
      <c r="A12" s="1">
        <v>201020</v>
      </c>
      <c r="B12" s="1" t="s">
        <v>418</v>
      </c>
      <c r="E12" s="1">
        <v>1</v>
      </c>
      <c r="F12" s="1">
        <v>10001</v>
      </c>
      <c r="G12" s="1">
        <v>10001</v>
      </c>
      <c r="H12" s="1">
        <v>10001</v>
      </c>
      <c r="I12" s="1">
        <v>20001</v>
      </c>
      <c r="J12" s="1">
        <v>20001</v>
      </c>
      <c r="K12" s="1">
        <v>20001</v>
      </c>
      <c r="L12" s="1">
        <v>30001</v>
      </c>
      <c r="M12" s="1">
        <v>30011</v>
      </c>
      <c r="N12" s="1">
        <v>30001</v>
      </c>
      <c r="O12" s="1">
        <v>10001</v>
      </c>
      <c r="P12" s="1">
        <v>20001</v>
      </c>
      <c r="Q12" s="1">
        <v>30001</v>
      </c>
      <c r="R12" s="1">
        <v>40041</v>
      </c>
      <c r="S12" s="1">
        <v>40091</v>
      </c>
      <c r="T12" s="1">
        <v>40101</v>
      </c>
    </row>
    <row r="13" spans="1:20" x14ac:dyDescent="0.3">
      <c r="A13" s="1">
        <v>201021</v>
      </c>
      <c r="B13" s="1" t="s">
        <v>418</v>
      </c>
      <c r="E13" s="1">
        <v>2</v>
      </c>
      <c r="F13" s="1">
        <v>10002</v>
      </c>
      <c r="G13" s="1">
        <v>10002</v>
      </c>
      <c r="H13" s="1">
        <v>10002</v>
      </c>
      <c r="I13" s="1">
        <v>20002</v>
      </c>
      <c r="J13" s="1">
        <v>20002</v>
      </c>
      <c r="K13" s="1">
        <v>20002</v>
      </c>
      <c r="L13" s="1">
        <v>30002</v>
      </c>
      <c r="M13" s="1">
        <v>30012</v>
      </c>
      <c r="N13" s="1">
        <v>30002</v>
      </c>
      <c r="O13" s="1">
        <v>10002</v>
      </c>
      <c r="P13" s="1">
        <v>20002</v>
      </c>
      <c r="Q13" s="1">
        <v>30002</v>
      </c>
      <c r="R13" s="1">
        <v>40042</v>
      </c>
      <c r="S13" s="1">
        <v>40092</v>
      </c>
      <c r="T13" s="1">
        <v>40102</v>
      </c>
    </row>
    <row r="14" spans="1:20" x14ac:dyDescent="0.3">
      <c r="A14" s="1">
        <v>201022</v>
      </c>
      <c r="B14" s="1" t="s">
        <v>418</v>
      </c>
      <c r="E14" s="1">
        <v>3</v>
      </c>
      <c r="F14" s="1">
        <v>10003</v>
      </c>
      <c r="G14" s="1">
        <v>10003</v>
      </c>
      <c r="H14" s="1">
        <v>10003</v>
      </c>
      <c r="I14" s="1">
        <v>20003</v>
      </c>
      <c r="J14" s="1">
        <v>20003</v>
      </c>
      <c r="K14" s="1">
        <v>20003</v>
      </c>
      <c r="L14" s="1">
        <v>30003</v>
      </c>
      <c r="M14" s="1">
        <v>30013</v>
      </c>
      <c r="N14" s="1">
        <v>30003</v>
      </c>
      <c r="O14" s="1">
        <v>10003</v>
      </c>
      <c r="P14" s="1">
        <v>20003</v>
      </c>
      <c r="Q14" s="1">
        <v>30003</v>
      </c>
      <c r="R14" s="1">
        <v>40043</v>
      </c>
      <c r="S14" s="1">
        <v>40093</v>
      </c>
      <c r="T14" s="1">
        <v>40103</v>
      </c>
    </row>
    <row r="15" spans="1:20" x14ac:dyDescent="0.3">
      <c r="A15" s="1">
        <v>201023</v>
      </c>
      <c r="B15" s="1" t="s">
        <v>418</v>
      </c>
      <c r="E15" s="1">
        <v>4</v>
      </c>
      <c r="F15" s="1">
        <v>10004</v>
      </c>
      <c r="G15" s="1">
        <v>10004</v>
      </c>
      <c r="H15" s="1">
        <v>10004</v>
      </c>
      <c r="I15" s="1">
        <v>20004</v>
      </c>
      <c r="J15" s="1">
        <v>20004</v>
      </c>
      <c r="K15" s="1">
        <v>20004</v>
      </c>
      <c r="L15" s="1">
        <v>30004</v>
      </c>
      <c r="M15" s="1">
        <v>30014</v>
      </c>
      <c r="N15" s="1">
        <v>30004</v>
      </c>
      <c r="O15" s="1">
        <v>10004</v>
      </c>
      <c r="P15" s="1">
        <v>20004</v>
      </c>
      <c r="Q15" s="1">
        <v>30004</v>
      </c>
      <c r="R15" s="1">
        <v>40044</v>
      </c>
      <c r="S15" s="1">
        <v>40094</v>
      </c>
      <c r="T15" s="1">
        <v>40104</v>
      </c>
    </row>
    <row r="16" spans="1:20" x14ac:dyDescent="0.3">
      <c r="A16" s="1">
        <v>201024</v>
      </c>
      <c r="B16" s="1" t="s">
        <v>418</v>
      </c>
      <c r="E16" s="1">
        <v>5</v>
      </c>
      <c r="F16" s="1">
        <v>10005</v>
      </c>
      <c r="G16" s="1">
        <v>10005</v>
      </c>
      <c r="H16" s="1">
        <v>10005</v>
      </c>
      <c r="I16" s="1">
        <v>20005</v>
      </c>
      <c r="J16" s="1">
        <v>20005</v>
      </c>
      <c r="K16" s="1">
        <v>20005</v>
      </c>
      <c r="L16" s="1">
        <v>30005</v>
      </c>
      <c r="M16" s="1">
        <v>30015</v>
      </c>
      <c r="N16" s="1">
        <v>30005</v>
      </c>
      <c r="O16" s="1">
        <v>10005</v>
      </c>
      <c r="P16" s="1">
        <v>20005</v>
      </c>
      <c r="Q16" s="1">
        <v>30005</v>
      </c>
      <c r="R16" s="1">
        <v>40045</v>
      </c>
      <c r="S16" s="1">
        <v>40095</v>
      </c>
      <c r="T16" s="1">
        <v>40105</v>
      </c>
    </row>
    <row r="17" spans="1:20" x14ac:dyDescent="0.3">
      <c r="A17" s="1">
        <v>201025</v>
      </c>
      <c r="B17" s="1" t="s">
        <v>419</v>
      </c>
      <c r="E17" s="1">
        <v>1</v>
      </c>
      <c r="F17" s="1">
        <v>10001</v>
      </c>
      <c r="G17" s="1">
        <v>10001</v>
      </c>
      <c r="H17" s="1">
        <v>10001</v>
      </c>
      <c r="I17" s="1">
        <v>20001</v>
      </c>
      <c r="J17" s="1">
        <v>20001</v>
      </c>
      <c r="K17" s="1">
        <v>20001</v>
      </c>
      <c r="L17" s="1">
        <v>30001</v>
      </c>
      <c r="M17" s="1">
        <v>30011</v>
      </c>
      <c r="N17" s="1">
        <v>30001</v>
      </c>
      <c r="O17" s="1">
        <v>10001</v>
      </c>
      <c r="P17" s="1">
        <v>20001</v>
      </c>
      <c r="Q17" s="1">
        <v>30001</v>
      </c>
      <c r="R17" s="1">
        <v>40081</v>
      </c>
      <c r="S17" s="1">
        <v>40131</v>
      </c>
      <c r="T17" s="1">
        <v>40141</v>
      </c>
    </row>
    <row r="18" spans="1:20" x14ac:dyDescent="0.3">
      <c r="A18" s="1">
        <v>201026</v>
      </c>
      <c r="B18" s="1" t="s">
        <v>419</v>
      </c>
      <c r="E18" s="1">
        <v>2</v>
      </c>
      <c r="F18" s="1">
        <v>10002</v>
      </c>
      <c r="G18" s="1">
        <v>10002</v>
      </c>
      <c r="H18" s="1">
        <v>10002</v>
      </c>
      <c r="I18" s="1">
        <v>20002</v>
      </c>
      <c r="J18" s="1">
        <v>20002</v>
      </c>
      <c r="K18" s="1">
        <v>20002</v>
      </c>
      <c r="L18" s="1">
        <v>30002</v>
      </c>
      <c r="M18" s="1">
        <v>30012</v>
      </c>
      <c r="N18" s="1">
        <v>30002</v>
      </c>
      <c r="O18" s="1">
        <v>10002</v>
      </c>
      <c r="P18" s="1">
        <v>20002</v>
      </c>
      <c r="Q18" s="1">
        <v>30002</v>
      </c>
      <c r="R18" s="1">
        <v>40082</v>
      </c>
      <c r="S18" s="1">
        <v>40132</v>
      </c>
      <c r="T18" s="1">
        <v>40142</v>
      </c>
    </row>
    <row r="19" spans="1:20" x14ac:dyDescent="0.3">
      <c r="A19" s="1">
        <v>201027</v>
      </c>
      <c r="B19" s="1" t="s">
        <v>419</v>
      </c>
      <c r="E19" s="1">
        <v>3</v>
      </c>
      <c r="F19" s="1">
        <v>10003</v>
      </c>
      <c r="G19" s="1">
        <v>10003</v>
      </c>
      <c r="H19" s="1">
        <v>10003</v>
      </c>
      <c r="I19" s="1">
        <v>20003</v>
      </c>
      <c r="J19" s="1">
        <v>20003</v>
      </c>
      <c r="K19" s="1">
        <v>20003</v>
      </c>
      <c r="L19" s="1">
        <v>30003</v>
      </c>
      <c r="M19" s="1">
        <v>30013</v>
      </c>
      <c r="N19" s="1">
        <v>30003</v>
      </c>
      <c r="O19" s="1">
        <v>10003</v>
      </c>
      <c r="P19" s="1">
        <v>20003</v>
      </c>
      <c r="Q19" s="1">
        <v>30003</v>
      </c>
      <c r="R19" s="1">
        <v>40083</v>
      </c>
      <c r="S19" s="1">
        <v>40133</v>
      </c>
      <c r="T19" s="1">
        <v>40143</v>
      </c>
    </row>
    <row r="20" spans="1:20" x14ac:dyDescent="0.3">
      <c r="A20" s="1">
        <v>201028</v>
      </c>
      <c r="B20" s="1" t="s">
        <v>419</v>
      </c>
      <c r="E20" s="1">
        <v>4</v>
      </c>
      <c r="F20" s="1">
        <v>10004</v>
      </c>
      <c r="G20" s="1">
        <v>10004</v>
      </c>
      <c r="H20" s="1">
        <v>10004</v>
      </c>
      <c r="I20" s="1">
        <v>20004</v>
      </c>
      <c r="J20" s="1">
        <v>20004</v>
      </c>
      <c r="K20" s="1">
        <v>20004</v>
      </c>
      <c r="L20" s="1">
        <v>30004</v>
      </c>
      <c r="M20" s="1">
        <v>30014</v>
      </c>
      <c r="N20" s="1">
        <v>30004</v>
      </c>
      <c r="O20" s="1">
        <v>10004</v>
      </c>
      <c r="P20" s="1">
        <v>20004</v>
      </c>
      <c r="Q20" s="1">
        <v>30004</v>
      </c>
      <c r="R20" s="1">
        <v>40084</v>
      </c>
      <c r="S20" s="1">
        <v>40134</v>
      </c>
      <c r="T20" s="1">
        <v>40144</v>
      </c>
    </row>
    <row r="21" spans="1:20" x14ac:dyDescent="0.3">
      <c r="A21" s="1">
        <v>201029</v>
      </c>
      <c r="B21" s="1" t="s">
        <v>419</v>
      </c>
      <c r="E21" s="1">
        <v>5</v>
      </c>
      <c r="F21" s="1">
        <v>10005</v>
      </c>
      <c r="G21" s="1">
        <v>10005</v>
      </c>
      <c r="H21" s="1">
        <v>10005</v>
      </c>
      <c r="I21" s="1">
        <v>20005</v>
      </c>
      <c r="J21" s="1">
        <v>20005</v>
      </c>
      <c r="K21" s="1">
        <v>20005</v>
      </c>
      <c r="L21" s="1">
        <v>30005</v>
      </c>
      <c r="M21" s="1">
        <v>30015</v>
      </c>
      <c r="N21" s="1">
        <v>30005</v>
      </c>
      <c r="O21" s="1">
        <v>10005</v>
      </c>
      <c r="P21" s="1">
        <v>20005</v>
      </c>
      <c r="Q21" s="1">
        <v>30005</v>
      </c>
      <c r="R21" s="1">
        <v>40085</v>
      </c>
      <c r="S21" s="1">
        <v>40135</v>
      </c>
      <c r="T21" s="1">
        <v>40145</v>
      </c>
    </row>
  </sheetData>
  <phoneticPr fontId="2" type="noConversion"/>
  <pageMargins left="0.75" right="0.75" top="1" bottom="1" header="0.51180555555555596" footer="0.51180555555555596"/>
  <pageSetup paperSize="9" orientation="portrait" horizontalDpi="30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B1" sqref="B1:D1"/>
    </sheetView>
  </sheetViews>
  <sheetFormatPr defaultColWidth="9" defaultRowHeight="16.5" x14ac:dyDescent="0.3"/>
  <cols>
    <col min="1" max="4" width="9" style="1"/>
    <col min="5" max="5" width="10.375" style="1" customWidth="1"/>
    <col min="6" max="6" width="18" style="1" customWidth="1"/>
    <col min="7" max="7" width="23" style="1" customWidth="1"/>
    <col min="8" max="16384" width="9" style="1"/>
  </cols>
  <sheetData>
    <row r="1" spans="1:7" x14ac:dyDescent="0.3">
      <c r="A1" s="1" t="s">
        <v>186</v>
      </c>
      <c r="B1" s="1" t="s">
        <v>445</v>
      </c>
      <c r="C1" s="1" t="s">
        <v>446</v>
      </c>
      <c r="D1" s="1" t="s">
        <v>447</v>
      </c>
      <c r="E1" s="1" t="s">
        <v>187</v>
      </c>
      <c r="F1" s="1" t="s">
        <v>188</v>
      </c>
      <c r="G1" s="1" t="s">
        <v>189</v>
      </c>
    </row>
    <row r="2" spans="1:7" x14ac:dyDescent="0.3">
      <c r="A2" s="1">
        <v>1</v>
      </c>
      <c r="B2" s="1" t="s">
        <v>190</v>
      </c>
      <c r="E2" s="1" t="s">
        <v>191</v>
      </c>
    </row>
    <row r="3" spans="1:7" x14ac:dyDescent="0.3">
      <c r="A3" s="1">
        <v>2</v>
      </c>
      <c r="B3" s="1" t="s">
        <v>192</v>
      </c>
      <c r="E3" s="1" t="s">
        <v>191</v>
      </c>
    </row>
    <row r="4" spans="1:7" x14ac:dyDescent="0.3">
      <c r="A4" s="1">
        <v>3</v>
      </c>
      <c r="B4" s="1" t="s">
        <v>193</v>
      </c>
      <c r="E4" s="1" t="s">
        <v>194</v>
      </c>
      <c r="F4" s="1" t="s">
        <v>8</v>
      </c>
      <c r="G4" s="1">
        <v>400</v>
      </c>
    </row>
    <row r="5" spans="1:7" x14ac:dyDescent="0.3">
      <c r="A5" s="1">
        <v>4</v>
      </c>
      <c r="B5" s="1" t="s">
        <v>195</v>
      </c>
      <c r="E5" s="1" t="s">
        <v>194</v>
      </c>
      <c r="F5" s="1" t="s">
        <v>8</v>
      </c>
      <c r="G5" s="1">
        <v>400</v>
      </c>
    </row>
    <row r="6" spans="1:7" x14ac:dyDescent="0.3">
      <c r="A6" s="1">
        <v>5</v>
      </c>
      <c r="B6" s="1" t="s">
        <v>196</v>
      </c>
      <c r="E6" s="1" t="s">
        <v>194</v>
      </c>
      <c r="F6" s="1" t="s">
        <v>8</v>
      </c>
      <c r="G6" s="1">
        <v>400</v>
      </c>
    </row>
    <row r="7" spans="1:7" x14ac:dyDescent="0.3">
      <c r="A7" s="1">
        <v>6</v>
      </c>
      <c r="B7" s="1" t="s">
        <v>197</v>
      </c>
      <c r="E7" s="1" t="s">
        <v>194</v>
      </c>
      <c r="F7" s="1" t="s">
        <v>8</v>
      </c>
      <c r="G7" s="1">
        <v>400</v>
      </c>
    </row>
    <row r="8" spans="1:7" x14ac:dyDescent="0.3">
      <c r="A8" s="1">
        <v>7</v>
      </c>
      <c r="B8" s="1" t="s">
        <v>198</v>
      </c>
      <c r="E8" s="1" t="s">
        <v>194</v>
      </c>
      <c r="F8" s="1" t="s">
        <v>8</v>
      </c>
      <c r="G8" s="1">
        <v>400</v>
      </c>
    </row>
    <row r="9" spans="1:7" x14ac:dyDescent="0.3">
      <c r="A9" s="1">
        <v>8</v>
      </c>
      <c r="B9" s="1" t="s">
        <v>199</v>
      </c>
      <c r="E9" s="1" t="s">
        <v>194</v>
      </c>
      <c r="F9" s="1" t="s">
        <v>8</v>
      </c>
      <c r="G9" s="1">
        <v>400</v>
      </c>
    </row>
    <row r="10" spans="1:7" x14ac:dyDescent="0.3">
      <c r="A10" s="1">
        <v>9</v>
      </c>
      <c r="B10" s="1" t="s">
        <v>200</v>
      </c>
      <c r="E10" s="1" t="s">
        <v>194</v>
      </c>
      <c r="F10" s="1" t="s">
        <v>8</v>
      </c>
      <c r="G10" s="1">
        <v>400</v>
      </c>
    </row>
    <row r="11" spans="1:7" x14ac:dyDescent="0.3">
      <c r="A11" s="1">
        <v>10</v>
      </c>
      <c r="B11" s="1" t="s">
        <v>201</v>
      </c>
      <c r="E11" s="1" t="s">
        <v>194</v>
      </c>
      <c r="F11" s="1" t="s">
        <v>8</v>
      </c>
      <c r="G11" s="1">
        <v>400</v>
      </c>
    </row>
    <row r="12" spans="1:7" x14ac:dyDescent="0.3">
      <c r="A12" s="1">
        <v>11</v>
      </c>
      <c r="B12" s="1" t="s">
        <v>202</v>
      </c>
      <c r="E12" s="1" t="s">
        <v>194</v>
      </c>
      <c r="F12" s="1" t="s">
        <v>8</v>
      </c>
      <c r="G12" s="1">
        <v>400</v>
      </c>
    </row>
    <row r="13" spans="1:7" x14ac:dyDescent="0.3">
      <c r="A13" s="1">
        <v>12</v>
      </c>
      <c r="B13" s="1" t="s">
        <v>203</v>
      </c>
      <c r="E13" s="1" t="s">
        <v>194</v>
      </c>
      <c r="F13" s="1" t="s">
        <v>8</v>
      </c>
      <c r="G13" s="1">
        <v>400</v>
      </c>
    </row>
    <row r="14" spans="1:7" x14ac:dyDescent="0.3">
      <c r="A14" s="1">
        <v>13</v>
      </c>
      <c r="B14" s="1" t="s">
        <v>204</v>
      </c>
      <c r="E14" s="1" t="s">
        <v>194</v>
      </c>
      <c r="F14" s="1" t="s">
        <v>8</v>
      </c>
      <c r="G14" s="1">
        <v>400</v>
      </c>
    </row>
    <row r="15" spans="1:7" x14ac:dyDescent="0.3">
      <c r="A15" s="1">
        <v>14</v>
      </c>
      <c r="B15" s="1" t="s">
        <v>205</v>
      </c>
      <c r="E15" s="1" t="s">
        <v>194</v>
      </c>
      <c r="F15" s="1" t="s">
        <v>8</v>
      </c>
      <c r="G15" s="1">
        <v>400</v>
      </c>
    </row>
    <row r="16" spans="1:7" x14ac:dyDescent="0.3">
      <c r="A16" s="1">
        <v>15</v>
      </c>
      <c r="B16" s="1" t="s">
        <v>206</v>
      </c>
      <c r="E16" s="1" t="s">
        <v>194</v>
      </c>
      <c r="F16" s="1" t="s">
        <v>8</v>
      </c>
      <c r="G16" s="1">
        <v>400</v>
      </c>
    </row>
    <row r="17" spans="1:7" x14ac:dyDescent="0.3">
      <c r="A17" s="1">
        <v>16</v>
      </c>
      <c r="B17" s="1" t="s">
        <v>207</v>
      </c>
      <c r="E17" s="1" t="s">
        <v>194</v>
      </c>
      <c r="F17" s="1" t="s">
        <v>8</v>
      </c>
      <c r="G17" s="1">
        <v>400</v>
      </c>
    </row>
    <row r="18" spans="1:7" x14ac:dyDescent="0.3">
      <c r="A18" s="1">
        <v>17</v>
      </c>
      <c r="B18" s="1" t="s">
        <v>208</v>
      </c>
      <c r="E18" s="1" t="s">
        <v>194</v>
      </c>
      <c r="F18" s="1" t="s">
        <v>8</v>
      </c>
      <c r="G18" s="1">
        <v>400</v>
      </c>
    </row>
    <row r="19" spans="1:7" x14ac:dyDescent="0.3">
      <c r="A19" s="1">
        <v>18</v>
      </c>
      <c r="B19" s="1" t="s">
        <v>209</v>
      </c>
      <c r="E19" s="1" t="s">
        <v>194</v>
      </c>
      <c r="F19" s="1" t="s">
        <v>8</v>
      </c>
      <c r="G19" s="1">
        <v>400</v>
      </c>
    </row>
    <row r="20" spans="1:7" x14ac:dyDescent="0.3">
      <c r="A20" s="1">
        <v>19</v>
      </c>
      <c r="B20" s="1" t="s">
        <v>210</v>
      </c>
      <c r="E20" s="1" t="s">
        <v>194</v>
      </c>
      <c r="F20" s="1" t="s">
        <v>8</v>
      </c>
      <c r="G20" s="1">
        <v>400</v>
      </c>
    </row>
    <row r="21" spans="1:7" x14ac:dyDescent="0.3">
      <c r="A21" s="1">
        <v>20</v>
      </c>
      <c r="B21" s="1" t="s">
        <v>211</v>
      </c>
      <c r="E21" s="1" t="s">
        <v>194</v>
      </c>
      <c r="F21" s="1" t="s">
        <v>8</v>
      </c>
      <c r="G21" s="1">
        <v>400</v>
      </c>
    </row>
  </sheetData>
  <phoneticPr fontId="2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19" sqref="K19"/>
    </sheetView>
  </sheetViews>
  <sheetFormatPr defaultColWidth="9" defaultRowHeight="16.5" x14ac:dyDescent="0.3"/>
  <cols>
    <col min="1" max="4" width="9" style="1"/>
    <col min="5" max="5" width="13.25" style="1" customWidth="1"/>
    <col min="6" max="6" width="14.5" style="1" customWidth="1"/>
    <col min="7" max="7" width="13.25" style="1" bestFit="1" customWidth="1"/>
    <col min="8" max="16384" width="9" style="1"/>
  </cols>
  <sheetData>
    <row r="1" spans="1:7" x14ac:dyDescent="0.3">
      <c r="A1" s="1" t="s">
        <v>186</v>
      </c>
      <c r="B1" s="1" t="s">
        <v>445</v>
      </c>
      <c r="C1" s="1" t="s">
        <v>446</v>
      </c>
      <c r="D1" s="1" t="s">
        <v>447</v>
      </c>
      <c r="E1" s="1" t="s">
        <v>187</v>
      </c>
      <c r="F1" s="1" t="s">
        <v>188</v>
      </c>
      <c r="G1" s="1" t="s">
        <v>189</v>
      </c>
    </row>
    <row r="2" spans="1:7" x14ac:dyDescent="0.3">
      <c r="A2" s="1">
        <v>1</v>
      </c>
      <c r="B2" s="1" t="s">
        <v>190</v>
      </c>
      <c r="E2" s="1" t="s">
        <v>191</v>
      </c>
    </row>
    <row r="3" spans="1:7" x14ac:dyDescent="0.3">
      <c r="A3" s="1">
        <v>2</v>
      </c>
      <c r="B3" s="1" t="s">
        <v>192</v>
      </c>
      <c r="E3" s="1" t="s">
        <v>191</v>
      </c>
    </row>
    <row r="4" spans="1:7" x14ac:dyDescent="0.3">
      <c r="A4" s="1">
        <v>3</v>
      </c>
      <c r="B4" s="1" t="s">
        <v>193</v>
      </c>
      <c r="E4" s="1" t="s">
        <v>194</v>
      </c>
      <c r="F4" s="1" t="s">
        <v>8</v>
      </c>
      <c r="G4" s="1">
        <v>400</v>
      </c>
    </row>
    <row r="5" spans="1:7" x14ac:dyDescent="0.3">
      <c r="A5" s="1">
        <v>4</v>
      </c>
      <c r="B5" s="1" t="s">
        <v>195</v>
      </c>
      <c r="E5" s="1" t="s">
        <v>194</v>
      </c>
      <c r="F5" s="1" t="s">
        <v>8</v>
      </c>
      <c r="G5" s="1">
        <v>400</v>
      </c>
    </row>
    <row r="6" spans="1:7" x14ac:dyDescent="0.3">
      <c r="A6" s="1">
        <v>5</v>
      </c>
      <c r="B6" s="1" t="s">
        <v>196</v>
      </c>
      <c r="E6" s="1" t="s">
        <v>194</v>
      </c>
      <c r="F6" s="1" t="s">
        <v>8</v>
      </c>
      <c r="G6" s="1">
        <v>400</v>
      </c>
    </row>
    <row r="7" spans="1:7" x14ac:dyDescent="0.3">
      <c r="A7" s="1">
        <v>6</v>
      </c>
      <c r="B7" s="1" t="s">
        <v>197</v>
      </c>
      <c r="E7" s="1" t="s">
        <v>194</v>
      </c>
      <c r="F7" s="1" t="s">
        <v>8</v>
      </c>
      <c r="G7" s="1">
        <v>400</v>
      </c>
    </row>
    <row r="8" spans="1:7" x14ac:dyDescent="0.3">
      <c r="A8" s="1">
        <v>7</v>
      </c>
      <c r="B8" s="1" t="s">
        <v>198</v>
      </c>
      <c r="E8" s="1" t="s">
        <v>194</v>
      </c>
      <c r="F8" s="1" t="s">
        <v>8</v>
      </c>
      <c r="G8" s="1">
        <v>400</v>
      </c>
    </row>
    <row r="9" spans="1:7" x14ac:dyDescent="0.3">
      <c r="A9" s="1">
        <v>8</v>
      </c>
      <c r="B9" s="1" t="s">
        <v>199</v>
      </c>
      <c r="E9" s="1" t="s">
        <v>194</v>
      </c>
      <c r="F9" s="1" t="s">
        <v>8</v>
      </c>
      <c r="G9" s="1">
        <v>400</v>
      </c>
    </row>
    <row r="10" spans="1:7" x14ac:dyDescent="0.3">
      <c r="A10" s="1">
        <v>9</v>
      </c>
      <c r="B10" s="1" t="s">
        <v>200</v>
      </c>
      <c r="E10" s="1" t="s">
        <v>194</v>
      </c>
      <c r="F10" s="1" t="s">
        <v>8</v>
      </c>
      <c r="G10" s="1">
        <v>400</v>
      </c>
    </row>
    <row r="11" spans="1:7" x14ac:dyDescent="0.3">
      <c r="A11" s="1">
        <v>10</v>
      </c>
      <c r="B11" s="1" t="s">
        <v>201</v>
      </c>
      <c r="E11" s="1" t="s">
        <v>194</v>
      </c>
      <c r="F11" s="1" t="s">
        <v>8</v>
      </c>
      <c r="G11" s="1">
        <v>400</v>
      </c>
    </row>
    <row r="12" spans="1:7" x14ac:dyDescent="0.3">
      <c r="A12" s="1">
        <v>11</v>
      </c>
      <c r="B12" s="1" t="s">
        <v>202</v>
      </c>
      <c r="E12" s="1" t="s">
        <v>194</v>
      </c>
      <c r="F12" s="1" t="s">
        <v>8</v>
      </c>
      <c r="G12" s="1">
        <v>400</v>
      </c>
    </row>
    <row r="13" spans="1:7" x14ac:dyDescent="0.3">
      <c r="A13" s="1">
        <v>12</v>
      </c>
      <c r="B13" s="1" t="s">
        <v>203</v>
      </c>
      <c r="E13" s="1" t="s">
        <v>194</v>
      </c>
      <c r="F13" s="1" t="s">
        <v>8</v>
      </c>
      <c r="G13" s="1">
        <v>400</v>
      </c>
    </row>
    <row r="14" spans="1:7" x14ac:dyDescent="0.3">
      <c r="A14" s="1">
        <v>13</v>
      </c>
      <c r="B14" s="1" t="s">
        <v>204</v>
      </c>
      <c r="E14" s="1" t="s">
        <v>194</v>
      </c>
      <c r="F14" s="1" t="s">
        <v>8</v>
      </c>
      <c r="G14" s="1">
        <v>400</v>
      </c>
    </row>
    <row r="15" spans="1:7" x14ac:dyDescent="0.3">
      <c r="A15" s="1">
        <v>14</v>
      </c>
      <c r="B15" s="1" t="s">
        <v>205</v>
      </c>
      <c r="E15" s="1" t="s">
        <v>194</v>
      </c>
      <c r="F15" s="1" t="s">
        <v>8</v>
      </c>
      <c r="G15" s="1">
        <v>400</v>
      </c>
    </row>
    <row r="16" spans="1:7" x14ac:dyDescent="0.3">
      <c r="A16" s="1">
        <v>15</v>
      </c>
      <c r="B16" s="1" t="s">
        <v>206</v>
      </c>
      <c r="E16" s="1" t="s">
        <v>194</v>
      </c>
      <c r="F16" s="1" t="s">
        <v>8</v>
      </c>
      <c r="G16" s="1">
        <v>400</v>
      </c>
    </row>
    <row r="17" spans="1:7" x14ac:dyDescent="0.3">
      <c r="A17" s="1">
        <v>16</v>
      </c>
      <c r="B17" s="1" t="s">
        <v>207</v>
      </c>
      <c r="E17" s="1" t="s">
        <v>194</v>
      </c>
      <c r="F17" s="1" t="s">
        <v>8</v>
      </c>
      <c r="G17" s="1">
        <v>400</v>
      </c>
    </row>
    <row r="18" spans="1:7" x14ac:dyDescent="0.3">
      <c r="A18" s="1">
        <v>17</v>
      </c>
      <c r="B18" s="1" t="s">
        <v>208</v>
      </c>
      <c r="E18" s="1" t="s">
        <v>194</v>
      </c>
      <c r="F18" s="1" t="s">
        <v>8</v>
      </c>
      <c r="G18" s="1">
        <v>400</v>
      </c>
    </row>
    <row r="19" spans="1:7" x14ac:dyDescent="0.3">
      <c r="A19" s="1">
        <v>18</v>
      </c>
      <c r="B19" s="1" t="s">
        <v>209</v>
      </c>
      <c r="E19" s="1" t="s">
        <v>194</v>
      </c>
      <c r="F19" s="1" t="s">
        <v>8</v>
      </c>
      <c r="G19" s="1">
        <v>400</v>
      </c>
    </row>
    <row r="20" spans="1:7" x14ac:dyDescent="0.3">
      <c r="A20" s="1">
        <v>19</v>
      </c>
      <c r="B20" s="1" t="s">
        <v>210</v>
      </c>
      <c r="E20" s="1" t="s">
        <v>194</v>
      </c>
      <c r="F20" s="1" t="s">
        <v>8</v>
      </c>
      <c r="G20" s="1">
        <v>400</v>
      </c>
    </row>
    <row r="21" spans="1:7" x14ac:dyDescent="0.3">
      <c r="A21" s="1">
        <v>20</v>
      </c>
      <c r="B21" s="1" t="s">
        <v>211</v>
      </c>
      <c r="E21" s="1" t="s">
        <v>194</v>
      </c>
      <c r="F21" s="1" t="s">
        <v>8</v>
      </c>
      <c r="G21" s="1">
        <v>400</v>
      </c>
    </row>
  </sheetData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英雄战旗镶嵌</vt:lpstr>
      <vt:lpstr>英雄战旗属性</vt:lpstr>
      <vt:lpstr>种族战旗镶嵌</vt:lpstr>
      <vt:lpstr>种族战旗属性</vt:lpstr>
      <vt:lpstr>英雄战旗推荐</vt:lpstr>
      <vt:lpstr>种族战旗推荐</vt:lpstr>
      <vt:lpstr>英雄战旗页开启</vt:lpstr>
      <vt:lpstr>种族战旗页开启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黄江</cp:lastModifiedBy>
  <dcterms:created xsi:type="dcterms:W3CDTF">2006-09-16T00:00:00Z</dcterms:created>
  <dcterms:modified xsi:type="dcterms:W3CDTF">2018-10-19T11:57:39Z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2052-10.1.0.7401</vt:lpwstr>
  </property>
</Properties>
</file>