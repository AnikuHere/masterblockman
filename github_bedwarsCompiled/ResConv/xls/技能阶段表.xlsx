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arX\trunk\ResConv\xls\"/>
    </mc:Choice>
  </mc:AlternateContent>
  <bookViews>
    <workbookView xWindow="0" yWindow="0" windowWidth="23730" windowHeight="13050"/>
  </bookViews>
  <sheets>
    <sheet name="基础表格" sheetId="1" r:id="rId1"/>
    <sheet name="配表说明" sheetId="3" r:id="rId2"/>
    <sheet name="Sheet1" sheetId="2" r:id="rId3"/>
  </sheets>
  <definedNames>
    <definedName name="_xlnm._FilterDatabase" localSheetId="0" hidden="1">基础表格!$K$1:$K$1148</definedName>
  </definedNames>
  <calcPr calcId="152511"/>
</workbook>
</file>

<file path=xl/calcChain.xml><?xml version="1.0" encoding="utf-8"?>
<calcChain xmlns="http://schemas.openxmlformats.org/spreadsheetml/2006/main">
  <c r="S1027" i="1" l="1"/>
  <c r="Q1027" i="1"/>
  <c r="S1026" i="1"/>
  <c r="Q1026" i="1"/>
  <c r="S1025" i="1"/>
  <c r="Q1025" i="1"/>
  <c r="S1024" i="1"/>
  <c r="Q1024" i="1"/>
  <c r="Z674" i="1"/>
  <c r="Z673" i="1"/>
  <c r="Z672" i="1"/>
  <c r="Z671" i="1"/>
  <c r="S654" i="1"/>
  <c r="Q654" i="1"/>
  <c r="Y653" i="1"/>
  <c r="S653" i="1"/>
  <c r="Q653" i="1"/>
  <c r="S652" i="1"/>
  <c r="Q652" i="1"/>
  <c r="Y651" i="1"/>
  <c r="S651" i="1"/>
  <c r="Q651" i="1"/>
  <c r="AA588" i="1"/>
  <c r="Z588" i="1" s="1"/>
  <c r="AA587" i="1"/>
  <c r="Z587" i="1" s="1"/>
  <c r="AA586" i="1"/>
  <c r="Z586" i="1" s="1"/>
  <c r="AA585" i="1"/>
  <c r="Z585" i="1" s="1"/>
  <c r="AA579" i="1"/>
  <c r="Z579" i="1" s="1"/>
  <c r="AA578" i="1"/>
  <c r="Z578" i="1" s="1"/>
  <c r="AA577" i="1"/>
  <c r="Z577" i="1" s="1"/>
  <c r="AA576" i="1"/>
  <c r="Z576" i="1" s="1"/>
</calcChain>
</file>

<file path=xl/comments1.xml><?xml version="1.0" encoding="utf-8"?>
<comments xmlns="http://schemas.openxmlformats.org/spreadsheetml/2006/main">
  <authors>
    <author>作者</author>
  </authors>
  <commentList>
    <comment ref="O1" authorId="0" shapeId="0">
      <text>
        <r>
          <rPr>
            <sz val="9"/>
            <rFont val="宋体"/>
            <family val="3"/>
            <charset val="134"/>
          </rPr>
          <t xml:space="preserve">作者:
普通攻击
主动技能
BUFF
</t>
        </r>
      </text>
    </comment>
    <comment ref="AJ1" authorId="0" shapeId="0">
      <text>
        <r>
          <rPr>
            <sz val="9"/>
            <rFont val="宋体"/>
            <family val="3"/>
            <charset val="134"/>
          </rPr>
          <t xml:space="preserve">作者:
普通攻击
主动技能
BUFF
</t>
        </r>
      </text>
    </comment>
    <comment ref="BE1" authorId="0" shapeId="0">
      <text>
        <r>
          <rPr>
            <sz val="9"/>
            <rFont val="宋体"/>
            <family val="3"/>
            <charset val="134"/>
          </rPr>
          <t xml:space="preserve">作者:
普通攻击
主动技能
BUFF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M1" authorId="0" shapeId="0">
      <text>
        <r>
          <rPr>
            <sz val="9"/>
            <rFont val="宋体"/>
            <family val="3"/>
            <charset val="134"/>
          </rPr>
          <t xml:space="preserve">作者:
普通攻击
主动技能
BUFF
</t>
        </r>
      </text>
    </comment>
    <comment ref="AI1" authorId="0" shapeId="0">
      <text>
        <r>
          <rPr>
            <sz val="9"/>
            <rFont val="宋体"/>
            <family val="3"/>
            <charset val="134"/>
          </rPr>
          <t xml:space="preserve">作者:
普通攻击
主动技能
BUFF
</t>
        </r>
      </text>
    </comment>
    <comment ref="AY1" authorId="0" shapeId="0">
      <text>
        <r>
          <rPr>
            <sz val="9"/>
            <rFont val="宋体"/>
            <family val="3"/>
            <charset val="134"/>
          </rPr>
          <t xml:space="preserve">作者:
普通攻击
主动技能
BUFF
</t>
        </r>
      </text>
    </comment>
  </commentList>
</comments>
</file>

<file path=xl/sharedStrings.xml><?xml version="1.0" encoding="utf-8"?>
<sst xmlns="http://schemas.openxmlformats.org/spreadsheetml/2006/main" count="6828" uniqueCount="861">
  <si>
    <t>阶段ID</t>
  </si>
  <si>
    <t>所属技能(备注用)</t>
  </si>
  <si>
    <t>作用对象类型</t>
  </si>
  <si>
    <t>是否包含技能目标</t>
  </si>
  <si>
    <t>区域类型</t>
  </si>
  <si>
    <t>区域参数1</t>
  </si>
  <si>
    <t>区域参数2</t>
  </si>
  <si>
    <t>区域参数3</t>
  </si>
  <si>
    <t>区域参数4</t>
  </si>
  <si>
    <t>受击数是否包含英雄</t>
  </si>
  <si>
    <t>受击数目上限类型</t>
  </si>
  <si>
    <t>受击数目上限参数</t>
  </si>
  <si>
    <t>是否搜索隐身单位</t>
  </si>
  <si>
    <t>效果属性1效果类型</t>
  </si>
  <si>
    <t>效果属性1伤害类型</t>
  </si>
  <si>
    <t>效果属性1固定伤害值</t>
  </si>
  <si>
    <t>效果属性1物理加成系数</t>
  </si>
  <si>
    <t>效果属性1法术加成系数</t>
  </si>
  <si>
    <t>效果属性1生命偷取系数</t>
  </si>
  <si>
    <t>效果属性1法术吸血系数</t>
  </si>
  <si>
    <t>效果属性1能否暴击</t>
  </si>
  <si>
    <t>效果属性1伤害系数类型</t>
  </si>
  <si>
    <t>效果属性1伤害系数参数1</t>
  </si>
  <si>
    <t>效果属性1伤害系数参数2</t>
  </si>
  <si>
    <t>效果属性1伤害系数参数3</t>
  </si>
  <si>
    <t>效果属性1伤害系数参数4</t>
  </si>
  <si>
    <t>效果属性1伤害系数参数5</t>
  </si>
  <si>
    <t>效果属性1普通单位BUFFID</t>
  </si>
  <si>
    <t>效果属性1英雄单位BUFFID</t>
  </si>
  <si>
    <t>效果属性1附加参数1</t>
  </si>
  <si>
    <t>效果属性1附加参数2</t>
  </si>
  <si>
    <t>效果属性1附加参数3</t>
  </si>
  <si>
    <t>效果属性1附加参数4</t>
  </si>
  <si>
    <t>效果属性1附加参数5</t>
  </si>
  <si>
    <t>效果属性2效果类型</t>
  </si>
  <si>
    <t>效果属性2伤害类型</t>
  </si>
  <si>
    <t>效果属性2固定伤害值</t>
  </si>
  <si>
    <t>效果属性2物理加成系数</t>
  </si>
  <si>
    <t>效果属性2法术加成系数</t>
  </si>
  <si>
    <t>效果属性2生命偷取系数</t>
  </si>
  <si>
    <t>效果属性2法术吸血系数</t>
  </si>
  <si>
    <t>效果属性2能否暴击</t>
  </si>
  <si>
    <t>效果属性2伤害系数类型</t>
  </si>
  <si>
    <t>效果属性2伤害系数参数1</t>
  </si>
  <si>
    <t>效果属性2伤害系数参数2</t>
  </si>
  <si>
    <t>效果属性2伤害系数参数3</t>
  </si>
  <si>
    <t>效果属性2伤害系数参数4</t>
  </si>
  <si>
    <t>效果属性2伤害系数参数5</t>
  </si>
  <si>
    <t>效果属性2普通单位BUFFID</t>
  </si>
  <si>
    <t>效果属性2英雄单位BUFFID</t>
  </si>
  <si>
    <t>效果属性2附加参数1</t>
  </si>
  <si>
    <t>效果属性2附加参数2</t>
  </si>
  <si>
    <t>效果属性2附加参数3</t>
  </si>
  <si>
    <t>效果属性2附加参数4</t>
  </si>
  <si>
    <t>效果属性2附加参数5</t>
  </si>
  <si>
    <t>效果属性3效果类型</t>
  </si>
  <si>
    <t>效果属性3伤害类型</t>
  </si>
  <si>
    <t>效果属性3固定伤害值</t>
  </si>
  <si>
    <t>效果属性3物理加成系数</t>
  </si>
  <si>
    <t>效果属性3法术加成系数</t>
  </si>
  <si>
    <t>效果属性3生命偷取系数</t>
  </si>
  <si>
    <t>效果属性3法术吸血系数</t>
  </si>
  <si>
    <t>效果属性3能否暴击</t>
  </si>
  <si>
    <t>效果属性3伤害系数类型</t>
  </si>
  <si>
    <t>效果属性3伤害系数参数1</t>
  </si>
  <si>
    <t>效果属性3伤害系数参数2</t>
  </si>
  <si>
    <t>效果属性3伤害系数参数3</t>
  </si>
  <si>
    <t>效果属性3伤害系数参数4</t>
  </si>
  <si>
    <t>效果属性3伤害系数参数5</t>
  </si>
  <si>
    <t>效果属性3普通单位BUFFID</t>
  </si>
  <si>
    <t>效果属性3英雄单位BUFFID</t>
  </si>
  <si>
    <t>效果属性3附加参数1</t>
  </si>
  <si>
    <t>效果属性3附加参数2</t>
  </si>
  <si>
    <t>效果属性3附加参数3</t>
  </si>
  <si>
    <t>效果属性3附加参数4</t>
  </si>
  <si>
    <t>效果属性3附加参数5</t>
  </si>
  <si>
    <t>测试普攻伤害</t>
  </si>
  <si>
    <t>所有敌方</t>
  </si>
  <si>
    <t>无区域</t>
  </si>
  <si>
    <t>造成伤害</t>
  </si>
  <si>
    <t>物理伤害</t>
  </si>
  <si>
    <t>否</t>
  </si>
  <si>
    <t>测试圆形测试</t>
  </si>
  <si>
    <t>圆形</t>
  </si>
  <si>
    <t>测试箭头测试</t>
  </si>
  <si>
    <t>矩形</t>
  </si>
  <si>
    <t>测试扇形群体测试</t>
  </si>
  <si>
    <t>测试扇形单体测试</t>
  </si>
  <si>
    <t>金币+10</t>
  </si>
  <si>
    <t>自身</t>
  </si>
  <si>
    <t>添加buff</t>
  </si>
  <si>
    <t>金币+20</t>
  </si>
  <si>
    <t>金币+50</t>
  </si>
  <si>
    <t>金币+100</t>
  </si>
  <si>
    <t>召唤沙漠之子</t>
  </si>
  <si>
    <t>召唤怪物</t>
  </si>
  <si>
    <t>当前目标位置召唤</t>
  </si>
  <si>
    <t>火焰披风献祭</t>
  </si>
  <si>
    <t>召唤法术场</t>
  </si>
  <si>
    <t>火焰披风献祭伤害</t>
  </si>
  <si>
    <t>所有敌方除建筑</t>
  </si>
  <si>
    <t>是</t>
  </si>
  <si>
    <t>法术伤害</t>
  </si>
  <si>
    <t>角色等级系数</t>
  </si>
  <si>
    <t>亡灵骨钟天赋技能</t>
  </si>
  <si>
    <t>强袭装甲加法术场</t>
  </si>
  <si>
    <t>冰霜守护加法术场</t>
  </si>
  <si>
    <t>移速光环加法术场</t>
  </si>
  <si>
    <t>妖精斗篷加BUFF</t>
  </si>
  <si>
    <t>复活法术场表现</t>
  </si>
  <si>
    <t>回城无敌</t>
  </si>
  <si>
    <t>回城</t>
  </si>
  <si>
    <t>所有己方除建筑</t>
  </si>
  <si>
    <t>技能回城</t>
  </si>
  <si>
    <t>回城到地图传送点</t>
  </si>
  <si>
    <t>群体加血</t>
  </si>
  <si>
    <t>群体加蓝</t>
  </si>
  <si>
    <t>群体加移速</t>
  </si>
  <si>
    <t>新手引导群体加移速</t>
  </si>
  <si>
    <t>群体加防御</t>
  </si>
  <si>
    <t>群体加血加蓝</t>
  </si>
  <si>
    <t>传送</t>
  </si>
  <si>
    <t>群体传送到单位位置</t>
  </si>
  <si>
    <t>传送返CD</t>
  </si>
  <si>
    <t>重置道具CD</t>
  </si>
  <si>
    <t>群体瞬移</t>
  </si>
  <si>
    <t>建筑大师我方建筑上BUFF</t>
  </si>
  <si>
    <t>我方建筑</t>
  </si>
  <si>
    <t>建筑大师敌方建筑上BUFF</t>
  </si>
  <si>
    <t>敌方建筑</t>
  </si>
  <si>
    <t>冲锋</t>
  </si>
  <si>
    <t>所有己方近战除建筑</t>
  </si>
  <si>
    <t>医疗药剂（自身）</t>
  </si>
  <si>
    <t>医疗药剂（小兵）</t>
  </si>
  <si>
    <t>我方士兵</t>
  </si>
  <si>
    <t>战吼</t>
  </si>
  <si>
    <t>群体潜行</t>
  </si>
  <si>
    <t>荒芜之地</t>
  </si>
  <si>
    <t>召唤小骷髅</t>
  </si>
  <si>
    <t>技能操控尸体</t>
  </si>
  <si>
    <t>操控尸体召唤</t>
  </si>
  <si>
    <t>召唤月亮井</t>
  </si>
  <si>
    <t>当前目标朝向位置召唤</t>
  </si>
  <si>
    <t>活体护甲</t>
  </si>
  <si>
    <t>战争古树</t>
  </si>
  <si>
    <t>战争古树驻扎</t>
  </si>
  <si>
    <t>精灵树坐地</t>
  </si>
  <si>
    <t>侦查守卫</t>
  </si>
  <si>
    <t>侦查</t>
  </si>
  <si>
    <t>技能侦查迷雾位置</t>
  </si>
  <si>
    <t>召唤亡灵</t>
  </si>
  <si>
    <t>召唤猫头鹰</t>
  </si>
  <si>
    <t>侦查召唤怪物</t>
  </si>
  <si>
    <t>侦查召唤反隐法术场</t>
  </si>
  <si>
    <t>烈焰战士砸地攻击（新手）</t>
  </si>
  <si>
    <t>圣甲虫穿刺伤害（新手）</t>
  </si>
  <si>
    <t>沙漠之王旋风斩（新手）</t>
  </si>
  <si>
    <t>沙漠之王死亡射线召唤法术场（新手）</t>
  </si>
  <si>
    <t>沙漠之王死亡射线法术场伤害（新手）</t>
  </si>
  <si>
    <t>基地泉水加血</t>
  </si>
  <si>
    <t>基地泉水加速</t>
  </si>
  <si>
    <t>黑暗法阵链接表现用</t>
  </si>
  <si>
    <t>圣甲虫穿刺伤害</t>
  </si>
  <si>
    <t>沙漠之王旋风斩</t>
  </si>
  <si>
    <t>沙漠之王死亡射线召唤法术场</t>
  </si>
  <si>
    <t>沙漠之王死亡射线法术场伤害</t>
  </si>
  <si>
    <t>沙漠之王巨力挥霍对建筑</t>
  </si>
  <si>
    <t>全额伤害</t>
  </si>
  <si>
    <t>生命值效果固定值</t>
  </si>
  <si>
    <t>己方单位</t>
  </si>
  <si>
    <t>当前生命值</t>
  </si>
  <si>
    <t>固定数值</t>
  </si>
  <si>
    <t>沙漠之王巨力挥霍对区域</t>
  </si>
  <si>
    <t>沙漠之王巨力挥霍对自身扣血</t>
  </si>
  <si>
    <t>中立泉水加血</t>
  </si>
  <si>
    <t>泉水普攻</t>
  </si>
  <si>
    <t>中立加速符</t>
  </si>
  <si>
    <t>加速符自杀</t>
  </si>
  <si>
    <t>中立加速加BUFF</t>
  </si>
  <si>
    <t>目标阵营所有英雄和士兵</t>
  </si>
  <si>
    <t>巴克龙普攻</t>
  </si>
  <si>
    <t>巴克龙灼烧法术场添加</t>
  </si>
  <si>
    <t>巴克龙灼烧伤害</t>
  </si>
  <si>
    <t>枪女陷阱法术场</t>
  </si>
  <si>
    <t>枪女陷阱伤害</t>
  </si>
  <si>
    <t>枪女陷阱自杀</t>
  </si>
  <si>
    <t>技能修改召唤物存活时间</t>
  </si>
  <si>
    <t>米诺普攻</t>
  </si>
  <si>
    <t>米诺触发眩晕</t>
  </si>
  <si>
    <t>米诺眩晕准备BUFF</t>
  </si>
  <si>
    <t>魂使普攻</t>
  </si>
  <si>
    <t>灵魂之剑减伤</t>
  </si>
  <si>
    <t>我方队伍英雄</t>
  </si>
  <si>
    <t>灵魂之剑减CD</t>
  </si>
  <si>
    <t>光之道标普攻</t>
  </si>
  <si>
    <t>光之道标增幅加BUFF</t>
  </si>
  <si>
    <t>墓碑挂法术场</t>
  </si>
  <si>
    <t>墓碑的buff召唤死灵</t>
  </si>
  <si>
    <t>所有士兵及野怪除召唤物</t>
  </si>
  <si>
    <t>墓碑重复召唤死灵</t>
  </si>
  <si>
    <t>不散之魂普攻</t>
  </si>
  <si>
    <t>不散之魂减速</t>
  </si>
  <si>
    <t>幽魂隐身</t>
  </si>
  <si>
    <t>幽魂加BUFF</t>
  </si>
  <si>
    <t>幽魂自杀</t>
  </si>
  <si>
    <t>幽魂挂法术场</t>
  </si>
  <si>
    <t>猫头鹰隐身</t>
  </si>
  <si>
    <t>猫头鹰挂法术场</t>
  </si>
  <si>
    <t>荒芜之地召尸体</t>
  </si>
  <si>
    <t>腐地生成尸体</t>
  </si>
  <si>
    <t>骷髅战士普攻</t>
  </si>
  <si>
    <t>小骷髅加buff</t>
  </si>
  <si>
    <t>小骷髅buff召唤怪物</t>
  </si>
  <si>
    <t>月亮井加血</t>
  </si>
  <si>
    <t>战争古树近战普攻</t>
  </si>
  <si>
    <t>战争古树远程普攻</t>
  </si>
  <si>
    <t>骷髅弓箭手普攻</t>
  </si>
  <si>
    <t>野猪普攻</t>
  </si>
  <si>
    <t>白狼普攻</t>
  </si>
  <si>
    <t>食人魔普攻</t>
  </si>
  <si>
    <t>烈焰熊普攻</t>
  </si>
  <si>
    <t>岩魔天赋命令光环</t>
  </si>
  <si>
    <t>岩魔普攻</t>
  </si>
  <si>
    <t>黑暗泰坦普攻</t>
  </si>
  <si>
    <t>黑暗泰坦能量喷发</t>
  </si>
  <si>
    <t>黑暗泰坦飓风</t>
  </si>
  <si>
    <t>黑暗泰坦击杀BUFF</t>
  </si>
  <si>
    <t>地精弓箭手普攻</t>
  </si>
  <si>
    <t>地精炮兵普攻</t>
  </si>
  <si>
    <t>巨魔投斧手普攻</t>
  </si>
  <si>
    <t>巨魔投斧手普攻带毒</t>
  </si>
  <si>
    <t>红袍牧师普攻</t>
  </si>
  <si>
    <t>红袍牧师治疗</t>
  </si>
  <si>
    <t>亡灵法师普攻</t>
  </si>
  <si>
    <t>亡灵法师加嗜血</t>
  </si>
  <si>
    <t>红色巨龙普攻</t>
  </si>
  <si>
    <t>红色巨龙龙息伤害</t>
  </si>
  <si>
    <t>红色巨龙龙息召唤法术场</t>
  </si>
  <si>
    <t>红色巨龙龙息点燃地面伤害</t>
  </si>
  <si>
    <t>红色巨龙击杀BUFF</t>
  </si>
  <si>
    <t>攻城光环：减建筑伤害</t>
  </si>
  <si>
    <t>烈焰战士普攻</t>
  </si>
  <si>
    <t>烈焰战士砸地攻击</t>
  </si>
  <si>
    <t>红BUFF普攻</t>
  </si>
  <si>
    <t>蓝BUFF普攻</t>
  </si>
  <si>
    <t>红BUFF技能</t>
  </si>
  <si>
    <t>红BUFF灼烧伤害</t>
  </si>
  <si>
    <t>蓝BUFF技能</t>
  </si>
  <si>
    <t>侦查守卫隐身</t>
  </si>
  <si>
    <t>侦查守卫挂法术场</t>
  </si>
  <si>
    <t>圣甲虫普攻</t>
  </si>
  <si>
    <t>沙漠之王普攻</t>
  </si>
  <si>
    <t>矮人步兵普攻</t>
  </si>
  <si>
    <t>矮人步兵防御形态</t>
  </si>
  <si>
    <t>弩手普攻</t>
  </si>
  <si>
    <t>弩手连击</t>
  </si>
  <si>
    <t>弩手连击加变体</t>
  </si>
  <si>
    <t>男巫普攻</t>
  </si>
  <si>
    <t>男巫缓速</t>
  </si>
  <si>
    <t>男巫变形术</t>
  </si>
  <si>
    <t>修女普攻</t>
  </si>
  <si>
    <t>修女治愈术</t>
  </si>
  <si>
    <t>修女散灵术</t>
  </si>
  <si>
    <t>所有单位</t>
  </si>
  <si>
    <t>技能驱散</t>
  </si>
  <si>
    <t>修女圣甲术</t>
  </si>
  <si>
    <t>矮人轰炸机普攻</t>
  </si>
  <si>
    <t>矮人轰炸机集束炸弹</t>
  </si>
  <si>
    <t>矮人轰炸机集束炸弹搜索范围</t>
  </si>
  <si>
    <t>魔法守卫普攻</t>
  </si>
  <si>
    <t>魔法守卫普攻法力损毁</t>
  </si>
  <si>
    <t xml:space="preserve">技能法力损毁 </t>
  </si>
  <si>
    <t>魔法守卫盗取魔法</t>
  </si>
  <si>
    <t>魔法盗取阶段效果</t>
  </si>
  <si>
    <t>鹰骑士普攻</t>
  </si>
  <si>
    <t>鹰骑士锁链</t>
  </si>
  <si>
    <t>鹰骑士锁链清除</t>
  </si>
  <si>
    <t>移除buff</t>
  </si>
  <si>
    <t>鹰骑士锁链伤害</t>
  </si>
  <si>
    <t>骑士普攻</t>
  </si>
  <si>
    <t>骑士冲锋</t>
  </si>
  <si>
    <t>炮车普攻</t>
  </si>
  <si>
    <t>炮车烟幕弹</t>
  </si>
  <si>
    <t>龙骑士普攻</t>
  </si>
  <si>
    <t>龙骑士吐息</t>
  </si>
  <si>
    <t>人族副基地普攻</t>
  </si>
  <si>
    <t>人族副基地普攻溅射</t>
  </si>
  <si>
    <t>人族一级防御塔普攻</t>
  </si>
  <si>
    <t>人族二级防御塔普攻</t>
  </si>
  <si>
    <t>人族群体恢复符</t>
  </si>
  <si>
    <t>恢复符自杀</t>
  </si>
  <si>
    <t>水元素普攻</t>
  </si>
  <si>
    <t>兽人战士普攻</t>
  </si>
  <si>
    <t>兽人战士狂暴力量</t>
  </si>
  <si>
    <t>地精炮手普攻</t>
  </si>
  <si>
    <t>地精炮手火力全开</t>
  </si>
  <si>
    <t>嗜血术士普攻</t>
  </si>
  <si>
    <t>嗜血术士闪电护盾</t>
  </si>
  <si>
    <t>嗜血术士闪电护盾伤害</t>
  </si>
  <si>
    <t>嗜血术士嗜血术</t>
  </si>
  <si>
    <t>嗜血术士驱散魔法敌军</t>
  </si>
  <si>
    <t>嗜血术士驱散魔法友军</t>
  </si>
  <si>
    <t>地精巫医普攻</t>
  </si>
  <si>
    <t>地精巫医麻痹药剂</t>
  </si>
  <si>
    <t>所有敌方除英雄和建筑</t>
  </si>
  <si>
    <t>地精巫医治疗链接</t>
  </si>
  <si>
    <t>技能阶段加血</t>
  </si>
  <si>
    <t>技能受击排序系数</t>
  </si>
  <si>
    <t>万分比</t>
  </si>
  <si>
    <t>食人魔祭司普攻</t>
  </si>
  <si>
    <t>食人魔祭司灵魂链接</t>
  </si>
  <si>
    <t>食人魔祭司扭曲虚空</t>
  </si>
  <si>
    <t>食人魔祭司先祖之魂</t>
  </si>
  <si>
    <t>操控尸体复活</t>
  </si>
  <si>
    <t>巨狼骑士普攻</t>
  </si>
  <si>
    <t>攻击掠夺金钱</t>
  </si>
  <si>
    <t>巨狼骑士诱捕</t>
  </si>
  <si>
    <t>巨狼骑士诱捕清BUFF</t>
  </si>
  <si>
    <t>巨狼骑士诱捕后禁锢</t>
  </si>
  <si>
    <t>巨狼骑士对空诱捕</t>
  </si>
  <si>
    <t>蝙蝠骑士普攻</t>
  </si>
  <si>
    <t>蝙蝠骑士不稳定化合物目标</t>
  </si>
  <si>
    <t>蝙蝠骑士不稳定化合物溅射</t>
  </si>
  <si>
    <t>巨翼飞龙普攻</t>
  </si>
  <si>
    <t>巨翼飞龙浸毒标枪普攻</t>
  </si>
  <si>
    <t>敌方单位</t>
  </si>
  <si>
    <t>损失生命值</t>
  </si>
  <si>
    <t>巨翼飞龙浸毒标枪带毒</t>
  </si>
  <si>
    <t>投石车普攻</t>
  </si>
  <si>
    <r>
      <rPr>
        <sz val="10"/>
        <color indexed="8"/>
        <rFont val="微软雅黑"/>
        <family val="2"/>
        <charset val="134"/>
      </rPr>
      <t>投石车普攻A</t>
    </r>
    <r>
      <rPr>
        <sz val="10"/>
        <color indexed="8"/>
        <rFont val="微软雅黑"/>
        <family val="2"/>
        <charset val="134"/>
      </rPr>
      <t>OE</t>
    </r>
  </si>
  <si>
    <t>投石车燃烧弹伤害</t>
  </si>
  <si>
    <t>投石车燃烧弹BUFF</t>
  </si>
  <si>
    <t>投石车燃烧弹燃烧伤害</t>
  </si>
  <si>
    <t>食人魔战将普攻</t>
  </si>
  <si>
    <t>食人魔战将变体普攻</t>
  </si>
  <si>
    <t>食人魔战将撼地</t>
  </si>
  <si>
    <t>兽族副基地普攻</t>
  </si>
  <si>
    <t>兽族副基地普攻溅射</t>
  </si>
  <si>
    <t>兽族一级防御塔普攻</t>
  </si>
  <si>
    <t>兽族群体恢复符</t>
  </si>
  <si>
    <t>幽灵狼普攻</t>
  </si>
  <si>
    <t>锤子闪电连</t>
  </si>
  <si>
    <t>基地反隐形</t>
  </si>
  <si>
    <t>地狱犬普攻</t>
  </si>
  <si>
    <t>地狱犬狂暴</t>
  </si>
  <si>
    <t>地穴蜘蛛普攻</t>
  </si>
  <si>
    <t>地穴蜘蛛蜘蛛网</t>
  </si>
  <si>
    <t>黑暗女妖普攻</t>
  </si>
  <si>
    <t>黑暗女妖黑暗诅咒</t>
  </si>
  <si>
    <t>黑暗女妖魔法护盾</t>
  </si>
  <si>
    <t>死灵法师普攻</t>
  </si>
  <si>
    <t>死灵法师亡灵大军</t>
  </si>
  <si>
    <t>死灵法师生死结界</t>
  </si>
  <si>
    <t>噬魂鬼普攻</t>
  </si>
  <si>
    <t>噬魂鬼驱散魔法</t>
  </si>
  <si>
    <t>吞噬魔法</t>
  </si>
  <si>
    <t>鬼面兽近战普攻</t>
  </si>
  <si>
    <t>鬼面兽远程普攻</t>
  </si>
  <si>
    <t>瘟疫战车普攻</t>
  </si>
  <si>
    <r>
      <rPr>
        <sz val="10"/>
        <color indexed="8"/>
        <rFont val="微软雅黑"/>
        <family val="2"/>
        <charset val="134"/>
      </rPr>
      <t>瘟疫战车普攻A</t>
    </r>
    <r>
      <rPr>
        <sz val="10"/>
        <color indexed="8"/>
        <rFont val="微软雅黑"/>
        <family val="2"/>
        <charset val="134"/>
      </rPr>
      <t>OE</t>
    </r>
  </si>
  <si>
    <t>瘟疫战车收集灵魂</t>
  </si>
  <si>
    <t>技能产生尸体</t>
  </si>
  <si>
    <t>瘟疫战车瘟疫云雾</t>
  </si>
  <si>
    <t>瘟疫战车瘟疫云雾伤害</t>
  </si>
  <si>
    <t>巨锤恶魔普攻</t>
  </si>
  <si>
    <t>巨锤恶魔瘟疫云雾</t>
  </si>
  <si>
    <t>冰霜骨龙普攻</t>
  </si>
  <si>
    <t>冰霜骨龙普攻AOE中心</t>
  </si>
  <si>
    <t>冰霜骨龙普攻AOE溅射</t>
  </si>
  <si>
    <t>冰霜骨龙普攻冰冻建筑</t>
  </si>
  <si>
    <t>噬魂恶魔普攻</t>
  </si>
  <si>
    <t>噬魂恶魔普攻AOE额外伤害</t>
  </si>
  <si>
    <t>噬魂恶魔普攻耗蓝</t>
  </si>
  <si>
    <t>噬魂恶魔嗜血盛宴</t>
  </si>
  <si>
    <t>生命值效果固定值附带吸血效果</t>
  </si>
  <si>
    <t>噬魂恶魔驱散魔法</t>
  </si>
  <si>
    <t>噬魂恶魔驱散魔法加血</t>
  </si>
  <si>
    <t>技能击中目标数目操作数系数</t>
  </si>
  <si>
    <t>亡灵副基地普攻</t>
  </si>
  <si>
    <t>亡灵副基地普攻溅射</t>
  </si>
  <si>
    <t>亡灵一级防御塔普攻</t>
  </si>
  <si>
    <t>亡灵群体恢复符</t>
  </si>
  <si>
    <t>治疗守卫加血</t>
  </si>
  <si>
    <t>精灵战士普攻</t>
  </si>
  <si>
    <t>精灵战士反弹BUFF</t>
  </si>
  <si>
    <t>精灵战士夜晚加BUFF</t>
  </si>
  <si>
    <t>精灵族夜晚通用加速加BUFF</t>
  </si>
  <si>
    <t>精灵射手普攻</t>
  </si>
  <si>
    <t>精灵射手普攻分裂箭</t>
  </si>
  <si>
    <t>累计受击数目上限</t>
  </si>
  <si>
    <t>驭风德鲁伊普攻</t>
  </si>
  <si>
    <t>驭风德鲁伊精灵之火</t>
  </si>
  <si>
    <t>驭风德鲁伊飓风</t>
  </si>
  <si>
    <t>精灵龙普攻</t>
  </si>
  <si>
    <t>精灵龙相位转移</t>
  </si>
  <si>
    <t>精灵龙魔法闪耀</t>
  </si>
  <si>
    <t>精灵龙魔法闪耀伤害</t>
  </si>
  <si>
    <t>狂狮德鲁伊普攻</t>
  </si>
  <si>
    <t>狂狮德鲁伊变身后普攻</t>
  </si>
  <si>
    <t>狂狮德鲁伊返老还童</t>
  </si>
  <si>
    <t>狂狮德鲁伊战吼</t>
  </si>
  <si>
    <t>德鲁伊夜晚增强</t>
  </si>
  <si>
    <t>角鹰兽对地普攻</t>
  </si>
  <si>
    <t>角鹰兽对空普攻</t>
  </si>
  <si>
    <t>森林魔女普攻</t>
  </si>
  <si>
    <t>森林魔女普攻毒伤</t>
  </si>
  <si>
    <t>森林魔女驱散魔法</t>
  </si>
  <si>
    <t>弩车普攻</t>
  </si>
  <si>
    <t>弩车普攻对建筑</t>
  </si>
  <si>
    <t>巨型树人普攻</t>
  </si>
  <si>
    <t>巨型树人嘲讽</t>
  </si>
  <si>
    <t>巨型树人爆炸果实</t>
  </si>
  <si>
    <t>巨型树人爆炸果实搜索用</t>
  </si>
  <si>
    <t>巨型树人爆炸果实自身BUFF</t>
  </si>
  <si>
    <t>奇美拉普攻</t>
  </si>
  <si>
    <t>奇美拉腐蚀喷吐</t>
  </si>
  <si>
    <t>奇美拉腐蚀喷吐毒伤</t>
  </si>
  <si>
    <t>精灵副基地普攻</t>
  </si>
  <si>
    <t>精灵副基地普攻溅射</t>
  </si>
  <si>
    <t>精灵一级防御塔普攻</t>
  </si>
  <si>
    <t>精灵群体恢复符</t>
  </si>
  <si>
    <t>新手引导英雄血量低于30%无敌</t>
  </si>
  <si>
    <t>新手引导英雄血量低于30%回满</t>
  </si>
  <si>
    <t>风暴之锤普攻单体</t>
  </si>
  <si>
    <t>风暴之锤普攻AOE</t>
  </si>
  <si>
    <t>扇形</t>
  </si>
  <si>
    <t>风暴之锤普攻单体带晕英雄</t>
  </si>
  <si>
    <t>风暴之锤普攻远程对空</t>
  </si>
  <si>
    <t>风暴之锤Q技能</t>
  </si>
  <si>
    <t>风暴之锤W技能</t>
  </si>
  <si>
    <t>风暴之锤R技能</t>
  </si>
  <si>
    <t>风暴之锤天赋技能</t>
  </si>
  <si>
    <t>守护者普攻单体</t>
  </si>
  <si>
    <t>守护者Q技能法术场调取</t>
  </si>
  <si>
    <t>守护者Q技能伤害</t>
  </si>
  <si>
    <t>守护者W技能</t>
  </si>
  <si>
    <t>守护者R技能给敌人法术场调取</t>
  </si>
  <si>
    <t>守护者R技能法术场用伤害</t>
  </si>
  <si>
    <t>守护者天赋技能</t>
  </si>
  <si>
    <t>先知普攻单体</t>
  </si>
  <si>
    <t>先知Q技能</t>
  </si>
  <si>
    <t>先知天赋技能净化</t>
  </si>
  <si>
    <t>先知W技能</t>
  </si>
  <si>
    <t>先知R技能法术场</t>
  </si>
  <si>
    <t>嗜血领主普攻单体</t>
  </si>
  <si>
    <t>嗜血领主普攻AOE</t>
  </si>
  <si>
    <t>嗜血领主远程普攻对空单体</t>
  </si>
  <si>
    <t>嗜血领主Q技能</t>
  </si>
  <si>
    <t>嗜血领主W技能</t>
  </si>
  <si>
    <t>嗜血领主E技能</t>
  </si>
  <si>
    <t>嗜血领主R技能</t>
  </si>
  <si>
    <t>嗜血领主排重BUFF</t>
  </si>
  <si>
    <t>亡魂之主普攻单体</t>
  </si>
  <si>
    <t>亡魂之主普攻AOE</t>
  </si>
  <si>
    <t>亡魂之主远程普攻对空单体</t>
  </si>
  <si>
    <t>亡魂之主天赋技能</t>
  </si>
  <si>
    <t>亡魂之主Q技能伤害</t>
  </si>
  <si>
    <t>亡魂之主Q技能加血</t>
  </si>
  <si>
    <t>所有己方除建筑除施法者</t>
  </si>
  <si>
    <t>亡魂之主W技能伤害</t>
  </si>
  <si>
    <t>亡魂之主W技能吸血</t>
  </si>
  <si>
    <t>亡魂之主W技能加护盾</t>
  </si>
  <si>
    <t>亡魂之主R技能伤害+冻结</t>
  </si>
  <si>
    <t>亡魂之主R技能法术场</t>
  </si>
  <si>
    <t>2B普攻单体</t>
  </si>
  <si>
    <t>2B普攻AOE</t>
  </si>
  <si>
    <t>2B远程普攻对空单体</t>
  </si>
  <si>
    <t>2B天赋技能</t>
  </si>
  <si>
    <t>2BQ技能</t>
  </si>
  <si>
    <t>2BW技能伤害</t>
  </si>
  <si>
    <t>2BW技能法术场</t>
  </si>
  <si>
    <t>2BW法术场加buff</t>
  </si>
  <si>
    <t>2BR技能第一段</t>
  </si>
  <si>
    <t>2BR技能第二段法术场</t>
  </si>
  <si>
    <t>2BR技能第二段法术场伤害</t>
  </si>
  <si>
    <t>2BR技能第三段</t>
  </si>
  <si>
    <t>2BR技能第三段法术场</t>
  </si>
  <si>
    <t>2BR技能霸体添加</t>
  </si>
  <si>
    <t>机器人被动技能</t>
  </si>
  <si>
    <t>机器人普攻单体</t>
  </si>
  <si>
    <t>机器人普攻AOE</t>
  </si>
  <si>
    <t>机器人远程普攻对空单体</t>
  </si>
  <si>
    <t>机器人Q技能</t>
  </si>
  <si>
    <t>机器人Q技能自身加速</t>
  </si>
  <si>
    <t>机器人W技能</t>
  </si>
  <si>
    <t>机器人W技能法术场减攻速</t>
  </si>
  <si>
    <t>机器人W技能单次打击伤害</t>
  </si>
  <si>
    <t>机器人W技能范围搜索阶段</t>
  </si>
  <si>
    <t>机器人R技能</t>
  </si>
  <si>
    <t>安妮普攻单体</t>
  </si>
  <si>
    <t>安妮天赋技能增加能量点</t>
  </si>
  <si>
    <t>修改计数能量点</t>
  </si>
  <si>
    <t>安妮天赋技能添加眩晕BUFF</t>
  </si>
  <si>
    <t>技能阶段所需计数能量点数目</t>
  </si>
  <si>
    <t>安妮眩晕BUFF取消</t>
  </si>
  <si>
    <t>安妮Q技能伤害</t>
  </si>
  <si>
    <t>安妮Q技能眩晕</t>
  </si>
  <si>
    <t>安妮W技能伤害加击退</t>
  </si>
  <si>
    <t>安妮W技能眩晕</t>
  </si>
  <si>
    <t>安妮R技能伤害</t>
  </si>
  <si>
    <t>安妮R技能召宝宝</t>
  </si>
  <si>
    <t>安妮R技能眩晕</t>
  </si>
  <si>
    <t>维京人普攻单体</t>
  </si>
  <si>
    <t>维京人普攻AOE</t>
  </si>
  <si>
    <t>维京人远程普攻对空单体</t>
  </si>
  <si>
    <t>维京人天赋技能</t>
  </si>
  <si>
    <t>维京人Q技能伤害+嘲讽</t>
  </si>
  <si>
    <t>维京人Q技能加防御</t>
  </si>
  <si>
    <t>维京人W技能加技能加护盾</t>
  </si>
  <si>
    <t>维京人反击伤害</t>
  </si>
  <si>
    <t>维京人R技能单体斩杀</t>
  </si>
  <si>
    <t>敌方英雄</t>
  </si>
  <si>
    <t>造成致命伤害</t>
  </si>
  <si>
    <t>维京人R技能斩杀成功AOE</t>
  </si>
  <si>
    <t>维京人R技能斩杀失败AOE</t>
  </si>
  <si>
    <t>维京人R技能斩杀成功减CD</t>
  </si>
  <si>
    <t>修改当前释放技能CD</t>
  </si>
  <si>
    <t>技能阶段效果_修改技能CD</t>
  </si>
  <si>
    <t>迪亚布罗普攻单体</t>
  </si>
  <si>
    <t>迪亚布罗普攻AOE</t>
  </si>
  <si>
    <t>迪亚布罗远程普攻对空单体</t>
  </si>
  <si>
    <t>迪亚布罗天赋技能</t>
  </si>
  <si>
    <t>BUFF层级系数</t>
  </si>
  <si>
    <t>迪亚布罗爆燃伤害</t>
  </si>
  <si>
    <t>迪亚布罗Q技能伤害</t>
  </si>
  <si>
    <t>迪亚布罗Q技能路径场</t>
  </si>
  <si>
    <t>迪亚布罗Q技能加霸体</t>
  </si>
  <si>
    <t>迪亚布罗W技能伤害+恐惧</t>
  </si>
  <si>
    <t>迪亚布罗R技能伤害</t>
  </si>
  <si>
    <t>迪亚布罗R技能霸体</t>
  </si>
  <si>
    <t>迪亚布罗R技能二段关闭</t>
  </si>
  <si>
    <t>中断释放中技能</t>
  </si>
  <si>
    <t>泰兰德普攻单体</t>
  </si>
  <si>
    <t>泰兰德Q技能第一段打击</t>
  </si>
  <si>
    <t>泰兰德Q技能第二段打击</t>
  </si>
  <si>
    <t>泰兰德W开视野</t>
  </si>
  <si>
    <t>所有敌方除建筑和野怪</t>
  </si>
  <si>
    <t>泰兰德W伤害</t>
  </si>
  <si>
    <t>距离效果系数</t>
  </si>
  <si>
    <t>泰兰德W击中目标减CD</t>
  </si>
  <si>
    <t>泰兰德W增加攻速</t>
  </si>
  <si>
    <t>泰兰德W伤害(野怪)</t>
  </si>
  <si>
    <t>所有野怪</t>
  </si>
  <si>
    <t>泰兰德W开视野法术场</t>
  </si>
  <si>
    <t>泰兰德R技能BUFF触发法术场</t>
  </si>
  <si>
    <t>泰兰德R技能隐身挂BUFF</t>
  </si>
  <si>
    <t>目标阵营所有英雄</t>
  </si>
  <si>
    <t>泰兰德R技能获取视野</t>
  </si>
  <si>
    <t>施法者敌对阵营所有英雄</t>
  </si>
  <si>
    <t>泰兰德天赋技能</t>
  </si>
  <si>
    <t>死灵女巫普攻单体</t>
  </si>
  <si>
    <t>死灵女巫天赋技能</t>
  </si>
  <si>
    <t>死灵女巫霜冻新星</t>
  </si>
  <si>
    <t>死灵女巫冰霜加护</t>
  </si>
  <si>
    <t>死灵女巫驱使恶灵伤害</t>
  </si>
  <si>
    <t>死灵女巫驱使恶灵加血</t>
  </si>
  <si>
    <t>驱使恶灵吸血</t>
  </si>
  <si>
    <t>死灵女巫驱使恶灵时间条</t>
  </si>
  <si>
    <t>追猎者普攻单体</t>
  </si>
  <si>
    <t>追猎者普攻AOE</t>
  </si>
  <si>
    <t>追猎者远程普攻对空单体</t>
  </si>
  <si>
    <t>追猎者普攻变体</t>
  </si>
  <si>
    <t>追猎者Q技能伤害</t>
  </si>
  <si>
    <t>追猎者Q技能自身加攻击</t>
  </si>
  <si>
    <t>追猎者Q技能命中数量加攻击</t>
  </si>
  <si>
    <t>追猎者W技能法术场+BUFF</t>
  </si>
  <si>
    <t>追猎者W技能灼烧伤害</t>
  </si>
  <si>
    <t>追猎者R技能范围伤害</t>
  </si>
  <si>
    <t>追猎者变身增加BUFF</t>
  </si>
  <si>
    <t>追猎者Q技能路径场空阶段</t>
  </si>
  <si>
    <t>追猎者给自身加追击BUFF</t>
  </si>
  <si>
    <t>大天使远程普攻对空单体</t>
  </si>
  <si>
    <t>大天使神圣冲击伤害</t>
  </si>
  <si>
    <t>计数能量点系数</t>
  </si>
  <si>
    <t>大天使神圣冲击加血</t>
  </si>
  <si>
    <t>大天使蓄力加能量点</t>
  </si>
  <si>
    <t>大天使清除能量点</t>
  </si>
  <si>
    <t>大天使纯净领域净化友军</t>
  </si>
  <si>
    <t>技能驱散_阵营优先</t>
  </si>
  <si>
    <t>大天使纯净领域减速敌军</t>
  </si>
  <si>
    <t>大天使不灭之魂加BUFF</t>
  </si>
  <si>
    <t>大天使落地召唤法术场</t>
  </si>
  <si>
    <t>法术场加血</t>
  </si>
  <si>
    <t>大天使传送</t>
  </si>
  <si>
    <t>我方英雄</t>
  </si>
  <si>
    <t>大天使打断</t>
  </si>
  <si>
    <t>鹰女普攻单体</t>
  </si>
  <si>
    <t>鹰女野性投掷</t>
  </si>
  <si>
    <t>鹰女飓风伤害加减速</t>
  </si>
  <si>
    <t>鹰女飓风隐藏宠物</t>
  </si>
  <si>
    <t>米诺属性增强</t>
  </si>
  <si>
    <t>鹰女顺风形态法术场</t>
  </si>
  <si>
    <t>鹰女顺风形态隐藏宠物</t>
  </si>
  <si>
    <t>鹰女普通形态加速</t>
  </si>
  <si>
    <t>鹰女普通形态移除法术场</t>
  </si>
  <si>
    <t>技能移除法术场</t>
  </si>
  <si>
    <t>鹰女普通形态重新唤出宠物</t>
  </si>
  <si>
    <t>移除BUFF</t>
  </si>
  <si>
    <t>枪女普攻单体</t>
  </si>
  <si>
    <t>枪女瞄准姿态清除充能点</t>
  </si>
  <si>
    <t>14102001</t>
  </si>
  <si>
    <t>枪女普攻AOE变体</t>
  </si>
  <si>
    <t>枪女普攻AOE单体伤害</t>
  </si>
  <si>
    <t>枪女电磁炮伤害</t>
  </si>
  <si>
    <t>枪女电磁炮加攻速</t>
  </si>
  <si>
    <t>枪女切换炮形态</t>
  </si>
  <si>
    <t>枪女瞄准姿态加充能点</t>
  </si>
  <si>
    <t>枪女召唤陷阱</t>
  </si>
  <si>
    <t>圣职者普攻单体</t>
  </si>
  <si>
    <t>圣职者普攻AOE</t>
  </si>
  <si>
    <t>圣职者远程普攻对空单体</t>
  </si>
  <si>
    <t>圣职者天赋技能</t>
  </si>
  <si>
    <t>圣职者圣洁怒火伤害</t>
  </si>
  <si>
    <t>圣职者圣洁怒火治疗</t>
  </si>
  <si>
    <t>圣职者圣估之盾</t>
  </si>
  <si>
    <t>圣职者死者复生</t>
  </si>
  <si>
    <t>貂蝉普攻单体</t>
  </si>
  <si>
    <t>貂蝉被动添加buff</t>
  </si>
  <si>
    <t>貂蝉被动引爆伤害</t>
  </si>
  <si>
    <t>貂蝉被动引爆加血</t>
  </si>
  <si>
    <t>貂蝉蝶舞第一段</t>
  </si>
  <si>
    <t>貂蝉蝶舞第二段</t>
  </si>
  <si>
    <t>貂蝉Q技能触碰W法术场爆发</t>
  </si>
  <si>
    <t>貂蝉引蝶伞</t>
  </si>
  <si>
    <t>貂蝉引蝶伞放置伤害</t>
  </si>
  <si>
    <t>貂蝉倾城之舞伤害</t>
  </si>
  <si>
    <t>貂蝉倾城之舞表现buff</t>
  </si>
  <si>
    <t>貂蝉倾城之舞表现buff清除</t>
  </si>
  <si>
    <t>忍者普攻单体</t>
  </si>
  <si>
    <t>忍者普攻AOE</t>
  </si>
  <si>
    <t>忍者远程普攻对空单体</t>
  </si>
  <si>
    <t>忍者被动技能叠加伤害</t>
  </si>
  <si>
    <t>忍者普攻变体单体</t>
  </si>
  <si>
    <t>忍者变体普攻眩晕</t>
  </si>
  <si>
    <t>旋影刺伤害+减速</t>
  </si>
  <si>
    <t>幻影鬼步加速</t>
  </si>
  <si>
    <t>幻影鬼步标记目标点</t>
  </si>
  <si>
    <t>技能X位置标记</t>
  </si>
  <si>
    <t>幻影鬼步闪回</t>
  </si>
  <si>
    <t>技能X标记返回</t>
  </si>
  <si>
    <t>幻影鬼步闪回清除怪物</t>
  </si>
  <si>
    <t>忍者召唤替身</t>
  </si>
  <si>
    <t>艾希普攻单体</t>
  </si>
  <si>
    <t>艾希天赋技能</t>
  </si>
  <si>
    <t>艾希唤魔之箭伤害</t>
  </si>
  <si>
    <t>艾希唤魔之箭召唤</t>
  </si>
  <si>
    <t>艾希W技能伤害加击退加沉默</t>
  </si>
  <si>
    <t>艾希R技能魅惑</t>
  </si>
  <si>
    <t>魅惑符咒</t>
  </si>
  <si>
    <t>乐神普攻</t>
  </si>
  <si>
    <t>乐神普攻变体伤害</t>
  </si>
  <si>
    <t>乐神强大普攻清除BUFF</t>
  </si>
  <si>
    <t>乐神技能叠层</t>
  </si>
  <si>
    <t>乐神技能添加自身变体普攻BUFF</t>
  </si>
  <si>
    <t>乐神清除计数点显示buff</t>
  </si>
  <si>
    <t xml:space="preserve"> </t>
  </si>
  <si>
    <t>乐神Q技能飞行</t>
  </si>
  <si>
    <t>乐神Q技能爆炸</t>
  </si>
  <si>
    <t>乐神Q技能变形</t>
  </si>
  <si>
    <t>乐神W技能搜索阶段</t>
  </si>
  <si>
    <t>乐神W伤害和减速</t>
  </si>
  <si>
    <t>乐神W添加红色封印buff</t>
  </si>
  <si>
    <t>乐神W技能变形</t>
  </si>
  <si>
    <t>乐神W标记</t>
  </si>
  <si>
    <t>乐神R技能搜索阶段</t>
  </si>
  <si>
    <t>乐神R技能变形</t>
  </si>
  <si>
    <t>乐神R技能加点燃buff</t>
  </si>
  <si>
    <t>乐神大招点燃伤害</t>
  </si>
  <si>
    <t>光之女普攻单体</t>
  </si>
  <si>
    <t>光之女被动添加标记</t>
  </si>
  <si>
    <t>光之女被动伤害</t>
  </si>
  <si>
    <t>光之女Q技能伤害</t>
  </si>
  <si>
    <t>光之女Q技能召唤炮台</t>
  </si>
  <si>
    <t>光之女W光击阵内圈伤害+击晕</t>
  </si>
  <si>
    <t>光之女W光击阵外圈伤害+减速</t>
  </si>
  <si>
    <t>光之女无风带法术场</t>
  </si>
  <si>
    <t>镰刀死神普攻单体</t>
  </si>
  <si>
    <t>镰刀死神普攻AOE</t>
  </si>
  <si>
    <t>镰刀死神远程普攻对空单体</t>
  </si>
  <si>
    <t>镰刀死神Q技能减少CD</t>
  </si>
  <si>
    <t>镰刀死神被动召唤法术场</t>
  </si>
  <si>
    <t>镰刀死神Q技能造成伤害</t>
  </si>
  <si>
    <t>镰刀死神Q技能召唤怪物</t>
  </si>
  <si>
    <t>镰刀死神Q技能击中英雄回血</t>
  </si>
  <si>
    <t>镰刀死神W主动添加固定数值BUFF</t>
  </si>
  <si>
    <t>镰刀死神W主动添加动态数值BUFF</t>
  </si>
  <si>
    <t>技能阶段范围内特定友军单位数目添加BUFF层</t>
  </si>
  <si>
    <t>镰刀死神R技能召唤墓碑</t>
  </si>
  <si>
    <t>镰刀死神R技能召唤怪物</t>
  </si>
  <si>
    <t>熊猫人普攻单体</t>
  </si>
  <si>
    <t>熊猫人普攻AOE</t>
  </si>
  <si>
    <t>熊猫人普攻远程对空</t>
  </si>
  <si>
    <t>熊猫人Q技能搜索</t>
  </si>
  <si>
    <t>熊猫人Q技能丢武器小兵伤害</t>
  </si>
  <si>
    <t>熊猫人Q技能一段到达伤害+击晕</t>
  </si>
  <si>
    <t>熊猫人Q技能二段砸地减速</t>
  </si>
  <si>
    <t>熊猫人W技能</t>
  </si>
  <si>
    <t>熊猫人W技能伤害</t>
  </si>
  <si>
    <t>熊猫人清除能量点</t>
  </si>
  <si>
    <t>熊猫人蓄力加能量点</t>
  </si>
  <si>
    <t>熊猫人R技能判定搜索范围</t>
  </si>
  <si>
    <t>熊猫人R技能对英雄伤害和减速</t>
  </si>
  <si>
    <t xml:space="preserve">  </t>
  </si>
  <si>
    <t>熊猫人R技能对小兵伤害和减速</t>
  </si>
  <si>
    <t>熊猫人R技能添加视野</t>
  </si>
  <si>
    <t>熊猫人R技能添加撼地buff</t>
  </si>
  <si>
    <t>熊猫人R技能移除撼地buff</t>
  </si>
  <si>
    <t>熊猫人R技能撼地击</t>
  </si>
  <si>
    <t>熊猫人天赋技能</t>
  </si>
  <si>
    <t>剑圣普攻单体</t>
  </si>
  <si>
    <t>剑圣普攻AOE</t>
  </si>
  <si>
    <r>
      <rPr>
        <sz val="10"/>
        <rFont val="微软雅黑"/>
        <family val="2"/>
        <charset val="134"/>
      </rPr>
      <t>剑圣普攻必暴B</t>
    </r>
    <r>
      <rPr>
        <sz val="10"/>
        <rFont val="微软雅黑"/>
        <family val="2"/>
        <charset val="134"/>
      </rPr>
      <t>UFF</t>
    </r>
  </si>
  <si>
    <t>剑圣普攻必暴BUFF移除</t>
  </si>
  <si>
    <r>
      <rPr>
        <sz val="10"/>
        <rFont val="微软雅黑"/>
        <family val="2"/>
        <charset val="134"/>
      </rPr>
      <t>移除b</t>
    </r>
    <r>
      <rPr>
        <sz val="10"/>
        <rFont val="微软雅黑"/>
        <family val="2"/>
        <charset val="134"/>
      </rPr>
      <t>uff</t>
    </r>
  </si>
  <si>
    <t>剑圣远程普攻对空单体</t>
  </si>
  <si>
    <t>剑圣变体普攻单体</t>
  </si>
  <si>
    <t>剑圣变体普攻扇形</t>
  </si>
  <si>
    <t>剑圣疾风步加BUFF</t>
  </si>
  <si>
    <t>剑圣格挡加BUFF</t>
  </si>
  <si>
    <t>剑圣剑刃风暴伤害</t>
  </si>
  <si>
    <t>剑圣剑刃风暴加霸体</t>
  </si>
  <si>
    <t>剑圣R技能二段关闭</t>
  </si>
  <si>
    <t>格挡伤害</t>
  </si>
  <si>
    <t>正太射手普攻单体</t>
  </si>
  <si>
    <t>正太被动技能加BUFF</t>
  </si>
  <si>
    <t>正太添加暴走姿态</t>
  </si>
  <si>
    <t>正太暴走姿态附加伤害</t>
  </si>
  <si>
    <t>正太Q技能翻滚加BUFF</t>
  </si>
  <si>
    <t>正太Q技能变体普攻</t>
  </si>
  <si>
    <t>正太Q技能变体普攻破甲</t>
  </si>
  <si>
    <t>正太W技能伤害</t>
  </si>
  <si>
    <t>正太W技能减速</t>
  </si>
  <si>
    <t>正太W技能眩晕</t>
  </si>
  <si>
    <t>正太R技能加速</t>
  </si>
  <si>
    <t>正太R技能减速</t>
  </si>
  <si>
    <t>白龙普攻单体</t>
  </si>
  <si>
    <t>白龙天赋技能叠层</t>
  </si>
  <si>
    <t>白龙天赋加变体</t>
  </si>
  <si>
    <t>白龙普攻变体单体伤害</t>
  </si>
  <si>
    <t>白龙普攻变体范围伤害</t>
  </si>
  <si>
    <t>白龙变体普攻清除BUFF</t>
  </si>
  <si>
    <t>山河扇出现伤害</t>
  </si>
  <si>
    <t>山河扇召唤法术场</t>
  </si>
  <si>
    <t>山河扇法术场造成伤害减速</t>
  </si>
  <si>
    <t>画地为牢加BUFF敌方</t>
  </si>
  <si>
    <t>画地为牢加BUFF友方</t>
  </si>
  <si>
    <t>画地为牢伤害</t>
  </si>
  <si>
    <t>画地为牢治疗</t>
  </si>
  <si>
    <t>白龙R技能搜索用阶段</t>
  </si>
  <si>
    <t>白龙R技能小兵X空间</t>
  </si>
  <si>
    <t>白龙R技能英雄取消X空间</t>
  </si>
  <si>
    <t>白龙R技能小兵取消X空间</t>
  </si>
  <si>
    <t>白龙R技能减伤BUFF</t>
  </si>
  <si>
    <t>白龙取消仙人游</t>
  </si>
  <si>
    <t>效果属性1固定伤害最大值</t>
  </si>
  <si>
    <t>效果属性2固定伤害最大值</t>
  </si>
  <si>
    <t>效果属性3固定伤害最大值</t>
  </si>
  <si>
    <t xml:space="preserve">技能阶段ID
例：1021020011
1是起始位
021是英雄ID（1001之前用于建筑和野怪）
020是技能组ID
（001普攻）
（002普攻变体）
（200天赋）
（010Q技能）
（020W技能）
（030E技能）
（040R技能）
01等级
1阶段数
</t>
  </si>
  <si>
    <t>技能作用对象类型
0 = ”所有单位“
1 = ”自身“
2 = ”所有敌方“
3 = ”所有己方“
4 = ”我方英雄“
5 = ”我方士兵“
6 = ”我方建筑“
7 = ”敌方英雄“
8 = ”敌方士兵“
9 = ”敌方建筑“
10=”自身队伍召唤物“
11=”敌方召唤物“
12=”所有己方除建筑“
13=”所有己方除建筑除施法者“
14= ”所有敌方除建筑“
15 = “所有敌方除英雄和建筑”
16= "所有己方远程除建筑"
17 = ”所有己方近战除建筑“
18 = ”所有敌方除建筑和野怪“
19 = "所有己方队伍除建筑"
20=”所有己方队伍远程除建筑“
21 = "目标阵营单位"
22 = ”目标阵营所有英雄“
23 = "目标阵营所有英雄和士兵"
24 = "目标队伍所有英雄"
25 = "施法者敌对阵营所有英雄"
26 = "所有野怪"</t>
  </si>
  <si>
    <t>如果技能是对目标释放才有有效
0 = “否”
1 = "是"</t>
  </si>
  <si>
    <t>技能指向区域类型
0 = ”无区域“
1 = ”矩形“
2 = ”圆形“
3 = ”扇形“</t>
  </si>
  <si>
    <t>矩形：宽（万分比）,横向
圆形：半径（万分比）
扇形：半径（长万分比）</t>
  </si>
  <si>
    <t>矩形：长（万分比），纵向
扇形：角度（全角乘10）</t>
  </si>
  <si>
    <t>矩形=横向偏移距离，正值向右</t>
  </si>
  <si>
    <t>矩形=纵向偏移距离，正值向前</t>
  </si>
  <si>
    <t>受击数是否包含英雄
0="否"（不计算英雄跟小兵共同计数或分摊伤害）
1=“是”</t>
  </si>
  <si>
    <t>效果伤害类型
1 = “物理伤害”
2 = “法术伤害”
3 = “全额伤害”（真实）</t>
  </si>
  <si>
    <t>【技能阶段加血=加血数值】</t>
  </si>
  <si>
    <t>【技能阶段加血=法术加成系数】</t>
  </si>
  <si>
    <t>【距离效果系数=单次具体数值】
【生命值效果固定值=数据操作类型
1 = ”固定数值“
2 = ”万分比“】（指的是跟前面固定伤害的关系）
【生命值效果固定值附带吸血效果=数据操作类型
1 = ”固定数值“
2 = ”万分比“】
【技能击中目标数目属性系数=具体数值】
【buff层级系数=加成系数】</t>
  </si>
  <si>
    <t>【距离效果系数=累计最大值】
【生命值效果固定值=比值（系数）】
【生命值效果固定值附带吸血效果=比值（系数）】</t>
  </si>
  <si>
    <t>【生命值效果固定值=对野怪的伤害上限（固定值）】
【生命值效果固定值附带吸血效果=对野怪的伤害上限（固定值）】</t>
  </si>
  <si>
    <t>【添加BUFF=加给小兵的buffID】</t>
  </si>
  <si>
    <t>【添加BUFF=加给英雄的buffID】</t>
  </si>
  <si>
    <t xml:space="preserve">【修改计数能量点=数值】
【召唤怪物=技能阶段召唤物召唤类型
0=“当前目标位置召唤”
1=“当前目标朝向位置召唤”】
【移除debuff加血=加蓝值】
【移除敌方法术场并加血=加蓝值】
【技能召唤复活=怪物ID】
【操控尸体复活=复活生命魔法万分比】
【操控尸体召唤=单位1ID】
【技能产生尸体=累计尸体上限
】
【技能法力损毁=对小兵伤害值=对小兵扣蓝值】
【修改当前释放技能CD=技能组ID】
【技能驱散=对召唤物的伤害数值】
【添加BUFF
=角色等级添加BUFF层】
【魅惑符咒=持续时间】
【吞噬魔法=数据类型
1=固定数值
2=万分比
【技能侦查迷雾位置=半径】
【重置道具CD=时间】
</t>
  </si>
  <si>
    <t>【添加BUFF=技能阶段所需计数能量点数目】
【召唤怪物=朝向距离】
【操控尸体召唤=召唤单位1召唤数量】
【修改当前释放技能CD=数据操作类型
0=“固定数值”
1=“万分比”】
【技能法力损毁=扣蓝值的伤害系数】
【添加BUFF
=具体数值（万分比）】
【技能驱散=驱散类型：
0="技能驱散_所有“
1=”技能驱散_阵营优先“
】
【魅惑符咒=BUFFID】
【吞噬魔法=对召唤物的伤害数值】</t>
  </si>
  <si>
    <t>【技能阶段所需计数能量点数目=具体数目】
【召唤怪物=召唤数量】
【操控尸体召唤=召唤单位2ID】
【修改当前释放技能CD=具体数值】</t>
  </si>
  <si>
    <t xml:space="preserve">【召唤怪物=是否唯一
】
【操控尸体召唤=单位2召唤数目】
</t>
  </si>
  <si>
    <t>能否抵挡魔法护盾</t>
  </si>
  <si>
    <t>亡魂之主天赋技能加BUFF</t>
    <phoneticPr fontId="12" type="noConversion"/>
  </si>
  <si>
    <t>自身</t>
    <phoneticPr fontId="12" type="noConversion"/>
  </si>
  <si>
    <t>亡魂之主增减计数点</t>
    <phoneticPr fontId="12" type="noConversion"/>
  </si>
  <si>
    <t>自身</t>
    <phoneticPr fontId="12" type="noConversion"/>
  </si>
  <si>
    <t>亡魂之主增加计数点</t>
    <phoneticPr fontId="12" type="noConversion"/>
  </si>
  <si>
    <t>固定数值</t>
    <phoneticPr fontId="12" type="noConversion"/>
  </si>
  <si>
    <t>亡魂之主天赋加计数点</t>
    <phoneticPr fontId="12" type="noConversion"/>
  </si>
  <si>
    <t>自身</t>
    <phoneticPr fontId="12" type="noConversion"/>
  </si>
  <si>
    <t>固定数值</t>
    <phoneticPr fontId="12" type="noConversion"/>
  </si>
  <si>
    <t>亡魂之主符能之刃</t>
    <phoneticPr fontId="12" type="noConversion"/>
  </si>
  <si>
    <t>亡魂之主W技能加护盾</t>
    <phoneticPr fontId="12" type="noConversion"/>
  </si>
  <si>
    <t>无区域</t>
    <phoneticPr fontId="12" type="noConversion"/>
  </si>
  <si>
    <t>亡魂之主W技能加护盾</t>
    <phoneticPr fontId="12" type="noConversion"/>
  </si>
  <si>
    <t>自身</t>
    <phoneticPr fontId="12" type="noConversion"/>
  </si>
  <si>
    <t>无区域</t>
    <phoneticPr fontId="12" type="noConversion"/>
  </si>
  <si>
    <t>亡魂之主W技能伤害</t>
    <phoneticPr fontId="12" type="noConversion"/>
  </si>
  <si>
    <t>所有敌方除建筑</t>
    <phoneticPr fontId="12" type="noConversion"/>
  </si>
  <si>
    <t>圆形</t>
    <phoneticPr fontId="12" type="noConversion"/>
  </si>
  <si>
    <t>亡魂之主W技能伤害</t>
    <phoneticPr fontId="12" type="noConversion"/>
  </si>
  <si>
    <t>亡魂之主W技能伤害</t>
    <phoneticPr fontId="12" type="noConversion"/>
  </si>
  <si>
    <t>亡魂之主召唤法术场</t>
    <phoneticPr fontId="12" type="noConversion"/>
  </si>
  <si>
    <t>亡魂之主召唤法术场</t>
    <phoneticPr fontId="12" type="noConversion"/>
  </si>
  <si>
    <t>亡魂之主大招伤害</t>
    <phoneticPr fontId="12" type="noConversion"/>
  </si>
  <si>
    <t>【移除BUFF=buff组ID】
【修改计数能量点=数据操作类型
1 = ”固定数值“
2 = ”万分比“】
【召唤法术场=法术场ID】
【召唤怪物=怪物ID】
【移除debuff加血=加血值】
【移除敌方法术场并加血=加血值】
【添加BUFF=BUFF层数】
【技能召唤复活=复活单位类型
0=“召唤复活指定怪物ID”
1=“召唤复活随机怪物ID”
【技能操控尸体=技能阶段操控尸体类型
1="操控尸体复活"
2="操控尸体召唤"】
【技能产生尸体=产生尸体个数】
【技能法力损毁=对英雄伤害值=对英雄扣蓝值】
【修改当前释放技能CD
1=“技能阶段效果_修改技能CD”
2=“技能阶段效果_技能进入CD”】
【驱使恶灵吸血=吸血万分比】
【技能驱散=数据操作类型（对召唤物伤害）
1 = ”固定数值“
2 = ”万分比（召唤物最大生命值）“】
【技能移除法术场=被移除的法术场组ID】
【技能回城=技能阶段回城类型
1=“回城到出生点”
2=“群体传送到单位位置”
】
【技能修改召唤物存活时间=剩余存活时间】
【中断释放中技能=释放中技能组ID】
【魅惑符咒=单位战斗AIID】
【吞噬魔法=回血数值】
【技能侦查迷雾位置=持续时间】
【重置道具CD=道具ID】</t>
    <phoneticPr fontId="12" type="noConversion"/>
  </si>
  <si>
    <t>12052001</t>
  </si>
  <si>
    <t>扇形</t>
    <phoneticPr fontId="12" type="noConversion"/>
  </si>
  <si>
    <t>【生命值效果固定值=属性数值类型
0 = “当前最大生命值”
1 = “当前生命值”
2 = “损失生命值”】
【距离效果系数=数据操作类型
1=“固定数值”
2=“万分比”】
【角色等级系数=等级系数伤害】
【技能能量点系数=能量点系数伤害】
【BUFF层级系数=（加成系数）数据操作类型：
1=”万分比“
2=”固定数值“
】
【护甲数值系数=护甲系数伤害】
【技能受击排序系数=具体数值】
【生命值效果固定值附带吸血效果=属性数值类型
0 = “当前最大生命值”
1 = “当前生命值”
2 = “损失生命值”】
【技能击中目标数目属性系数=数据操作类型
1=“固定数值”
2=“万分比”】
【技能击中目标数目操作数系数=具体数值】</t>
    <phoneticPr fontId="12" type="noConversion"/>
  </si>
  <si>
    <t>当前最大生命值</t>
  </si>
  <si>
    <t>风暴之锤W技能碰撞击飞</t>
    <phoneticPr fontId="12" type="noConversion"/>
  </si>
  <si>
    <t>风暴之锤W技能冲锋</t>
    <phoneticPr fontId="12" type="noConversion"/>
  </si>
  <si>
    <t>矩形</t>
    <phoneticPr fontId="12" type="noConversion"/>
  </si>
  <si>
    <t>复苏之风回复加BUFF</t>
    <phoneticPr fontId="12" type="noConversion"/>
  </si>
  <si>
    <t>自身</t>
    <phoneticPr fontId="12" type="noConversion"/>
  </si>
  <si>
    <t>添加buff</t>
    <phoneticPr fontId="12" type="noConversion"/>
  </si>
  <si>
    <t>风暴之锤变体普攻单体</t>
    <phoneticPr fontId="12" type="noConversion"/>
  </si>
  <si>
    <t>风暴之锤变体普攻加计数点</t>
    <phoneticPr fontId="12" type="noConversion"/>
  </si>
  <si>
    <t>风暴之锤变体普攻加BUFF</t>
    <phoneticPr fontId="12" type="noConversion"/>
  </si>
  <si>
    <t>风暴之锤R技能清除能量点</t>
    <phoneticPr fontId="12" type="noConversion"/>
  </si>
  <si>
    <t>万分比</t>
    <phoneticPr fontId="12" type="noConversion"/>
  </si>
  <si>
    <t>风暴之锤变体普攻眩晕</t>
    <phoneticPr fontId="12" type="noConversion"/>
  </si>
  <si>
    <t>风暴之锤变体普攻触发眩晕清除计数点</t>
    <phoneticPr fontId="12" type="noConversion"/>
  </si>
  <si>
    <t>追猎者Q技能自身加攻速</t>
    <phoneticPr fontId="12" type="noConversion"/>
  </si>
  <si>
    <t>追猎者Q技能命中数量加攻速</t>
    <phoneticPr fontId="12" type="noConversion"/>
  </si>
  <si>
    <t>追猎者W技能伤害</t>
    <phoneticPr fontId="12" type="noConversion"/>
  </si>
  <si>
    <t>圆形</t>
    <phoneticPr fontId="12" type="noConversion"/>
  </si>
  <si>
    <t>法术伤害</t>
    <phoneticPr fontId="12" type="noConversion"/>
  </si>
  <si>
    <t>追猎者被动加BUFF</t>
    <phoneticPr fontId="12" type="noConversion"/>
  </si>
  <si>
    <t>自身</t>
    <phoneticPr fontId="12" type="noConversion"/>
  </si>
  <si>
    <t>无区域</t>
    <phoneticPr fontId="12" type="noConversion"/>
  </si>
  <si>
    <t>添加buff</t>
    <phoneticPr fontId="12" type="noConversion"/>
  </si>
  <si>
    <t>追猎者添加计数点</t>
    <phoneticPr fontId="12" type="noConversion"/>
  </si>
  <si>
    <t>自身</t>
    <phoneticPr fontId="12" type="noConversion"/>
  </si>
  <si>
    <t>固定数值</t>
    <phoneticPr fontId="12" type="noConversion"/>
  </si>
  <si>
    <t>追猎者天赋添加计数点</t>
    <phoneticPr fontId="12" type="noConversion"/>
  </si>
  <si>
    <t>亡魂之主R技能二段关闭</t>
    <phoneticPr fontId="12" type="noConversion"/>
  </si>
  <si>
    <t>亡魂之主提前关闭大招伤害</t>
    <phoneticPr fontId="12" type="noConversion"/>
  </si>
  <si>
    <t>物理伤害</t>
    <phoneticPr fontId="12" type="noConversion"/>
  </si>
  <si>
    <t>追猎者R技能前摇霸体</t>
    <phoneticPr fontId="12" type="noConversion"/>
  </si>
  <si>
    <t>法术伤害</t>
    <phoneticPr fontId="12" type="noConversion"/>
  </si>
  <si>
    <t>追猎者R技能伤害</t>
    <phoneticPr fontId="12" type="noConversion"/>
  </si>
  <si>
    <t>追猎者R技能伤害</t>
    <phoneticPr fontId="12" type="noConversion"/>
  </si>
  <si>
    <t>技能阶段伤害系数类型
0 = “技能阶段默认效果系数”
1 = “距离效果系数”
2 = “生命值效果固定值”
3 = “法术值效果固定值”
4=“计数能量点系数”（用于BUFF叠层）
5=“角色等级系数”
6=“BUFF层级系数”
7="护甲数值系数"
8="技能受击排序系数"
9=“技能击中目标数目操作数系数”
10=“技能击中目标数目属性系数”
11=“生命值效果固定值附带吸血效果”
12="技能阶段效果系数最大值"</t>
    <phoneticPr fontId="12" type="noConversion"/>
  </si>
  <si>
    <t>【生命值效果固定值=技能效果作用类型
0 = “己方单位”
1 = “敌方单位”】
【角色等级系数=等级系数万分比】
【距离效果系数=作用间隔距离】
【技能能量豆系数=能量点系数万分比】
【BUFF层级系数=BUFF组ID】
【护甲数值系数=护甲系数万分比】
【技能受击排序系数=数据操作类型
1=“固定数值”
2=“万分比”】
【生命值效果固定值附带吸血效果=技能效果作用类型
0 = “己方单位”
1 = “敌方单位”】
【技能击中目标数目属性系数=属性类型
1= “当前最大生命值”
2= “当前生命值”
3=  “损失生命值”
4=  “损失生命值万分比”
5=“当前最大法术值”
6=“当前法术值”
7=“损失法术值”】
【技能击中目标数目操作数系数=数据操作类型
1=“固定数值”
2=“万分比”】</t>
    <phoneticPr fontId="12" type="noConversion"/>
  </si>
  <si>
    <t>是</t>
    <phoneticPr fontId="12" type="noConversion"/>
  </si>
  <si>
    <t>是</t>
    <phoneticPr fontId="12" type="noConversion"/>
  </si>
  <si>
    <t>是</t>
    <phoneticPr fontId="12" type="noConversion"/>
  </si>
  <si>
    <t>是</t>
    <phoneticPr fontId="12" type="noConversion"/>
  </si>
  <si>
    <t>是</t>
    <phoneticPr fontId="12" type="noConversion"/>
  </si>
  <si>
    <t>是</t>
    <phoneticPr fontId="12" type="noConversion"/>
  </si>
  <si>
    <t>是</t>
    <phoneticPr fontId="12" type="noConversion"/>
  </si>
  <si>
    <t>是</t>
    <phoneticPr fontId="12" type="noConversion"/>
  </si>
  <si>
    <t>是</t>
    <phoneticPr fontId="12" type="noConversion"/>
  </si>
  <si>
    <t>是</t>
    <phoneticPr fontId="12" type="noConversion"/>
  </si>
  <si>
    <t>是</t>
    <phoneticPr fontId="12" type="noConversion"/>
  </si>
  <si>
    <t>貂蝉蝶舞第二段</t>
    <phoneticPr fontId="12" type="noConversion"/>
  </si>
  <si>
    <t>亡魂之主增加吸血BUFF</t>
    <phoneticPr fontId="12" type="noConversion"/>
  </si>
  <si>
    <t>亡魂之主吸血BUFF移除</t>
    <phoneticPr fontId="12" type="noConversion"/>
  </si>
  <si>
    <t xml:space="preserve">技能效果类型
0 = “无特殊效果”
1 = “添加buff”
2 = “移除buff”
3 =  “修改buff层数”
4 = “造成伤害”
5 = “造成致命伤害”
6= "召唤法术场"
7="技能移除法术场"
8= "召唤怪物"
9= "技能回城"
10= "造成反弹伤害"
11=“技能驱散”
12=“魔法盗取阶段效果”
13=“技能阶段加血”
14=“技能操控尸体”
15="修改计数能量点"
16=“中断释放中技能”
17=“技能产生尸体 ”
18=“技能法力损毁”
19=“修改当前释放技能CD”
20=“驱使恶灵吸血”
21=”技能修改召唤物存活时间“
22=”吞噬魔法“
23=”魅惑符咒“
24=”技能X位置标记“
25="技能X标记返回"
26=“技能侦查迷雾位置”
27=“重置道具CD”
</t>
    <phoneticPr fontId="12" type="noConversion"/>
  </si>
  <si>
    <t>累计受击数目上限=实际受击最大数目
单次受击数目上限=伤害最大值理论上限数目（受击数目大于理论值时伤害分摊）</t>
    <phoneticPr fontId="12" type="noConversion"/>
  </si>
  <si>
    <t>受击数目上限类型
0="累计受击数目上限"
1="单次受击数目上限"</t>
    <phoneticPr fontId="12" type="noConversion"/>
  </si>
  <si>
    <t>累计受击数目上限</t>
    <phoneticPr fontId="12" type="noConversion"/>
  </si>
  <si>
    <t>是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</si>
</sst>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3" x14ac:knownFonts="1">
    <font>
      <sz val="11"/>
      <color indexed="8"/>
      <name val="宋体"/>
      <charset val="134"/>
    </font>
    <font>
      <sz val="11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theme="6" tint="0.7994018372142704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395733512375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4323557237464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0.7993713187047945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9" tint="0.79940183721427049"/>
        <bgColor indexed="64"/>
      </patternFill>
    </fill>
    <fill>
      <patternFill patternType="solid">
        <fgColor theme="9" tint="0.79946287423322249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204">
    <xf numFmtId="0" fontId="0" fillId="0" borderId="0" xfId="0">
      <alignment vertical="center"/>
    </xf>
    <xf numFmtId="0" fontId="1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1" applyFont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center"/>
    </xf>
    <xf numFmtId="0" fontId="6" fillId="1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 wrapText="1"/>
    </xf>
    <xf numFmtId="0" fontId="6" fillId="10" borderId="0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2085"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Y1148"/>
  <sheetViews>
    <sheetView tabSelected="1" workbookViewId="0">
      <pane xSplit="2" ySplit="1" topLeftCell="G209" activePane="bottomRight" state="frozen"/>
      <selection pane="topRight"/>
      <selection pane="bottomLeft"/>
      <selection pane="bottomRight" activeCell="J222" sqref="J222"/>
    </sheetView>
  </sheetViews>
  <sheetFormatPr defaultColWidth="16.75" defaultRowHeight="16.5" x14ac:dyDescent="0.15"/>
  <cols>
    <col min="1" max="1" width="16.75" style="20" customWidth="1"/>
    <col min="2" max="2" width="26.75" style="21" customWidth="1"/>
    <col min="3" max="3" width="25.5" style="20" customWidth="1"/>
    <col min="4" max="4" width="11.5" style="20" customWidth="1"/>
    <col min="5" max="9" width="16.75" style="20" customWidth="1"/>
    <col min="10" max="14" width="16.75" style="22" customWidth="1"/>
    <col min="15" max="15" width="16.75" style="20" customWidth="1"/>
    <col min="16" max="22" width="16.75" style="20"/>
    <col min="23" max="23" width="25.75" style="20" customWidth="1"/>
    <col min="24" max="31" width="16.75" style="20"/>
    <col min="32" max="32" width="36.25" style="20" customWidth="1"/>
    <col min="33" max="33" width="24" style="20" customWidth="1"/>
    <col min="34" max="34" width="16" style="20" customWidth="1"/>
    <col min="35" max="43" width="16.75" style="20"/>
    <col min="44" max="44" width="25.5" style="20" customWidth="1"/>
    <col min="45" max="77" width="16.75" style="20"/>
    <col min="78" max="16384" width="16.75" style="23"/>
  </cols>
  <sheetData>
    <row r="1" spans="1:77" s="7" customFormat="1" ht="33" x14ac:dyDescent="0.15">
      <c r="A1" s="24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25" t="s">
        <v>778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48</v>
      </c>
      <c r="AY1" s="25" t="s">
        <v>49</v>
      </c>
      <c r="AZ1" s="25" t="s">
        <v>50</v>
      </c>
      <c r="BA1" s="25" t="s">
        <v>51</v>
      </c>
      <c r="BB1" s="25" t="s">
        <v>52</v>
      </c>
      <c r="BC1" s="25" t="s">
        <v>53</v>
      </c>
      <c r="BD1" s="25" t="s">
        <v>54</v>
      </c>
      <c r="BE1" s="25" t="s">
        <v>55</v>
      </c>
      <c r="BF1" s="25" t="s">
        <v>56</v>
      </c>
      <c r="BG1" s="25" t="s">
        <v>57</v>
      </c>
      <c r="BH1" s="25" t="s">
        <v>58</v>
      </c>
      <c r="BI1" s="25" t="s">
        <v>59</v>
      </c>
      <c r="BJ1" s="25" t="s">
        <v>60</v>
      </c>
      <c r="BK1" s="25" t="s">
        <v>61</v>
      </c>
      <c r="BL1" s="25" t="s">
        <v>62</v>
      </c>
      <c r="BM1" s="25" t="s">
        <v>63</v>
      </c>
      <c r="BN1" s="25" t="s">
        <v>64</v>
      </c>
      <c r="BO1" s="25" t="s">
        <v>65</v>
      </c>
      <c r="BP1" s="25" t="s">
        <v>66</v>
      </c>
      <c r="BQ1" s="25" t="s">
        <v>67</v>
      </c>
      <c r="BR1" s="25" t="s">
        <v>68</v>
      </c>
      <c r="BS1" s="25" t="s">
        <v>69</v>
      </c>
      <c r="BT1" s="25" t="s">
        <v>70</v>
      </c>
      <c r="BU1" s="25" t="s">
        <v>71</v>
      </c>
      <c r="BV1" s="25" t="s">
        <v>72</v>
      </c>
      <c r="BW1" s="25" t="s">
        <v>73</v>
      </c>
      <c r="BX1" s="25" t="s">
        <v>74</v>
      </c>
      <c r="BY1" s="74" t="s">
        <v>75</v>
      </c>
    </row>
    <row r="2" spans="1:77" s="8" customFormat="1" x14ac:dyDescent="0.15">
      <c r="A2" s="26">
        <v>122001011</v>
      </c>
      <c r="B2" s="27" t="s">
        <v>76</v>
      </c>
      <c r="C2" s="28" t="s">
        <v>77</v>
      </c>
      <c r="D2" s="28"/>
      <c r="E2" s="28" t="s">
        <v>78</v>
      </c>
      <c r="F2" s="28"/>
      <c r="G2" s="28"/>
      <c r="H2" s="28"/>
      <c r="I2" s="28"/>
      <c r="J2" s="59"/>
      <c r="K2" s="59"/>
      <c r="L2" s="59"/>
      <c r="M2" s="59"/>
      <c r="N2" s="59"/>
      <c r="O2" s="28" t="s">
        <v>79</v>
      </c>
      <c r="P2" s="26" t="s">
        <v>80</v>
      </c>
      <c r="Q2" s="26"/>
      <c r="R2" s="26">
        <v>10000</v>
      </c>
      <c r="S2" s="68"/>
      <c r="T2" s="68"/>
      <c r="U2" s="68"/>
      <c r="V2" s="26" t="s">
        <v>81</v>
      </c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75"/>
    </row>
    <row r="3" spans="1:77" s="8" customFormat="1" x14ac:dyDescent="0.15">
      <c r="A3" s="29">
        <v>122002011</v>
      </c>
      <c r="B3" s="30" t="s">
        <v>82</v>
      </c>
      <c r="C3" s="31" t="s">
        <v>77</v>
      </c>
      <c r="D3" s="31"/>
      <c r="E3" s="29" t="s">
        <v>83</v>
      </c>
      <c r="F3" s="29">
        <v>50000</v>
      </c>
      <c r="G3" s="29"/>
      <c r="H3" s="29"/>
      <c r="I3" s="29"/>
      <c r="J3" s="60"/>
      <c r="K3" s="60"/>
      <c r="L3" s="60"/>
      <c r="M3" s="60"/>
      <c r="N3" s="60"/>
      <c r="O3" s="31" t="s">
        <v>79</v>
      </c>
      <c r="P3" s="29" t="s">
        <v>80</v>
      </c>
      <c r="Q3" s="29"/>
      <c r="R3" s="29">
        <v>10000</v>
      </c>
      <c r="S3" s="69"/>
      <c r="T3" s="69"/>
      <c r="U3" s="69"/>
      <c r="V3" s="29" t="s">
        <v>81</v>
      </c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76"/>
    </row>
    <row r="4" spans="1:77" s="8" customFormat="1" x14ac:dyDescent="0.15">
      <c r="A4" s="29">
        <v>122003011</v>
      </c>
      <c r="B4" s="30" t="s">
        <v>84</v>
      </c>
      <c r="C4" s="31" t="s">
        <v>77</v>
      </c>
      <c r="D4" s="31"/>
      <c r="E4" s="29" t="s">
        <v>85</v>
      </c>
      <c r="F4" s="29">
        <v>110000</v>
      </c>
      <c r="G4" s="29">
        <v>30000</v>
      </c>
      <c r="H4" s="29"/>
      <c r="I4" s="29"/>
      <c r="J4" s="60"/>
      <c r="K4" s="60"/>
      <c r="L4" s="60"/>
      <c r="M4" s="60"/>
      <c r="N4" s="60"/>
      <c r="O4" s="31" t="s">
        <v>79</v>
      </c>
      <c r="P4" s="29" t="s">
        <v>80</v>
      </c>
      <c r="Q4" s="29"/>
      <c r="R4" s="29">
        <v>10000</v>
      </c>
      <c r="S4" s="69"/>
      <c r="T4" s="69"/>
      <c r="U4" s="69"/>
      <c r="V4" s="29" t="s">
        <v>81</v>
      </c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76"/>
    </row>
    <row r="5" spans="1:77" s="8" customFormat="1" x14ac:dyDescent="0.15">
      <c r="A5" s="29">
        <v>122004011</v>
      </c>
      <c r="B5" s="32" t="s">
        <v>86</v>
      </c>
      <c r="C5" s="31" t="s">
        <v>77</v>
      </c>
      <c r="D5" s="31"/>
      <c r="E5" s="29" t="s">
        <v>85</v>
      </c>
      <c r="F5" s="29">
        <v>110000</v>
      </c>
      <c r="G5" s="29">
        <v>30000</v>
      </c>
      <c r="H5" s="29"/>
      <c r="I5" s="29"/>
      <c r="J5" s="60"/>
      <c r="K5" s="60"/>
      <c r="L5" s="60"/>
      <c r="M5" s="60"/>
      <c r="N5" s="60"/>
      <c r="O5" s="31" t="s">
        <v>79</v>
      </c>
      <c r="P5" s="29" t="s">
        <v>80</v>
      </c>
      <c r="Q5" s="29"/>
      <c r="R5" s="29">
        <v>10000</v>
      </c>
      <c r="S5" s="69"/>
      <c r="T5" s="69"/>
      <c r="U5" s="69"/>
      <c r="V5" s="29" t="s">
        <v>81</v>
      </c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76"/>
    </row>
    <row r="6" spans="1:77" s="8" customFormat="1" x14ac:dyDescent="0.15">
      <c r="A6" s="33">
        <v>122005011</v>
      </c>
      <c r="B6" s="34" t="s">
        <v>87</v>
      </c>
      <c r="C6" s="35" t="s">
        <v>77</v>
      </c>
      <c r="D6" s="35"/>
      <c r="E6" s="33" t="s">
        <v>78</v>
      </c>
      <c r="F6" s="33"/>
      <c r="G6" s="33"/>
      <c r="H6" s="33"/>
      <c r="I6" s="33"/>
      <c r="J6" s="61"/>
      <c r="K6" s="61"/>
      <c r="L6" s="61"/>
      <c r="M6" s="61"/>
      <c r="N6" s="61"/>
      <c r="O6" s="35" t="s">
        <v>79</v>
      </c>
      <c r="P6" s="33" t="s">
        <v>80</v>
      </c>
      <c r="Q6" s="33"/>
      <c r="R6" s="33">
        <v>10000</v>
      </c>
      <c r="S6" s="70"/>
      <c r="T6" s="70"/>
      <c r="U6" s="70"/>
      <c r="V6" s="33" t="s">
        <v>81</v>
      </c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7"/>
    </row>
    <row r="7" spans="1:77" s="8" customFormat="1" x14ac:dyDescent="0.15">
      <c r="A7" s="36">
        <v>600201011</v>
      </c>
      <c r="B7" s="37" t="s">
        <v>88</v>
      </c>
      <c r="C7" s="38" t="s">
        <v>89</v>
      </c>
      <c r="D7" s="38"/>
      <c r="E7" s="38" t="s">
        <v>78</v>
      </c>
      <c r="F7" s="38"/>
      <c r="G7" s="38"/>
      <c r="H7" s="38"/>
      <c r="I7" s="38"/>
      <c r="J7" s="62"/>
      <c r="K7" s="62"/>
      <c r="L7" s="62"/>
      <c r="M7" s="62"/>
      <c r="N7" s="62"/>
      <c r="O7" s="38" t="s">
        <v>90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>
        <v>600201101</v>
      </c>
      <c r="AD7" s="38">
        <v>600201101</v>
      </c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78"/>
    </row>
    <row r="8" spans="1:77" s="8" customFormat="1" x14ac:dyDescent="0.15">
      <c r="A8" s="36">
        <v>600202011</v>
      </c>
      <c r="B8" s="37" t="s">
        <v>91</v>
      </c>
      <c r="C8" s="38" t="s">
        <v>89</v>
      </c>
      <c r="D8" s="38"/>
      <c r="E8" s="38" t="s">
        <v>78</v>
      </c>
      <c r="F8" s="38"/>
      <c r="G8" s="38"/>
      <c r="H8" s="38"/>
      <c r="I8" s="38"/>
      <c r="J8" s="62"/>
      <c r="K8" s="62"/>
      <c r="L8" s="62"/>
      <c r="M8" s="62"/>
      <c r="N8" s="62"/>
      <c r="O8" s="38" t="s">
        <v>90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>
        <v>600202101</v>
      </c>
      <c r="AD8" s="38">
        <v>600202101</v>
      </c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78"/>
    </row>
    <row r="9" spans="1:77" s="8" customFormat="1" x14ac:dyDescent="0.15">
      <c r="A9" s="36">
        <v>600203011</v>
      </c>
      <c r="B9" s="37" t="s">
        <v>92</v>
      </c>
      <c r="C9" s="38" t="s">
        <v>89</v>
      </c>
      <c r="D9" s="38"/>
      <c r="E9" s="38" t="s">
        <v>78</v>
      </c>
      <c r="F9" s="38"/>
      <c r="G9" s="38"/>
      <c r="H9" s="38"/>
      <c r="I9" s="38"/>
      <c r="J9" s="62"/>
      <c r="K9" s="62"/>
      <c r="L9" s="62"/>
      <c r="M9" s="62"/>
      <c r="N9" s="62"/>
      <c r="O9" s="38" t="s">
        <v>90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>
        <v>600203101</v>
      </c>
      <c r="AD9" s="38">
        <v>600203101</v>
      </c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78"/>
    </row>
    <row r="10" spans="1:77" s="8" customFormat="1" x14ac:dyDescent="0.15">
      <c r="A10" s="36">
        <v>600204011</v>
      </c>
      <c r="B10" s="37" t="s">
        <v>93</v>
      </c>
      <c r="C10" s="38" t="s">
        <v>89</v>
      </c>
      <c r="D10" s="38"/>
      <c r="E10" s="38" t="s">
        <v>78</v>
      </c>
      <c r="F10" s="38"/>
      <c r="G10" s="38"/>
      <c r="H10" s="38"/>
      <c r="I10" s="38"/>
      <c r="J10" s="62"/>
      <c r="K10" s="62"/>
      <c r="L10" s="62"/>
      <c r="M10" s="62"/>
      <c r="N10" s="62"/>
      <c r="O10" s="38" t="s">
        <v>90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>
        <v>600204101</v>
      </c>
      <c r="AD10" s="38">
        <v>600204101</v>
      </c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78"/>
    </row>
    <row r="11" spans="1:77" s="8" customFormat="1" x14ac:dyDescent="0.15">
      <c r="A11" s="36">
        <v>600600011</v>
      </c>
      <c r="B11" s="39" t="s">
        <v>94</v>
      </c>
      <c r="C11" s="38" t="s">
        <v>89</v>
      </c>
      <c r="D11" s="38"/>
      <c r="E11" s="38" t="s">
        <v>78</v>
      </c>
      <c r="F11" s="38"/>
      <c r="G11" s="38"/>
      <c r="H11" s="38"/>
      <c r="I11" s="38"/>
      <c r="J11" s="62"/>
      <c r="K11" s="62"/>
      <c r="L11" s="62"/>
      <c r="M11" s="62"/>
      <c r="N11" s="62"/>
      <c r="O11" s="38" t="s">
        <v>95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>
        <v>20000921</v>
      </c>
      <c r="AF11" s="38" t="s">
        <v>96</v>
      </c>
      <c r="AG11" s="38"/>
      <c r="AH11" s="38">
        <v>1</v>
      </c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73"/>
      <c r="AY11" s="73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78"/>
    </row>
    <row r="12" spans="1:77" s="8" customFormat="1" x14ac:dyDescent="0.15">
      <c r="A12" s="36">
        <v>600610011</v>
      </c>
      <c r="B12" s="39" t="s">
        <v>94</v>
      </c>
      <c r="C12" s="38" t="s">
        <v>89</v>
      </c>
      <c r="D12" s="38"/>
      <c r="E12" s="38" t="s">
        <v>78</v>
      </c>
      <c r="F12" s="38"/>
      <c r="G12" s="38"/>
      <c r="H12" s="38"/>
      <c r="I12" s="38"/>
      <c r="J12" s="62"/>
      <c r="K12" s="62"/>
      <c r="L12" s="62"/>
      <c r="M12" s="62"/>
      <c r="N12" s="62"/>
      <c r="O12" s="38" t="s">
        <v>95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>
        <v>20000758</v>
      </c>
      <c r="AF12" s="38" t="s">
        <v>96</v>
      </c>
      <c r="AG12" s="38"/>
      <c r="AH12" s="38">
        <v>1</v>
      </c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73"/>
      <c r="AY12" s="73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78"/>
    </row>
    <row r="13" spans="1:77" s="8" customFormat="1" x14ac:dyDescent="0.15">
      <c r="A13" s="36">
        <v>600001011</v>
      </c>
      <c r="B13" s="37" t="s">
        <v>97</v>
      </c>
      <c r="C13" s="38" t="s">
        <v>89</v>
      </c>
      <c r="D13" s="38"/>
      <c r="E13" s="38" t="s">
        <v>78</v>
      </c>
      <c r="F13" s="38"/>
      <c r="G13" s="38"/>
      <c r="H13" s="38"/>
      <c r="I13" s="38"/>
      <c r="J13" s="62"/>
      <c r="K13" s="62"/>
      <c r="L13" s="62"/>
      <c r="M13" s="62"/>
      <c r="N13" s="62"/>
      <c r="O13" s="38" t="s">
        <v>98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>
        <v>60000101</v>
      </c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73"/>
      <c r="AY13" s="73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78"/>
    </row>
    <row r="14" spans="1:77" s="8" customFormat="1" x14ac:dyDescent="0.15">
      <c r="A14" s="36">
        <v>600001012</v>
      </c>
      <c r="B14" s="37" t="s">
        <v>99</v>
      </c>
      <c r="C14" s="38" t="s">
        <v>100</v>
      </c>
      <c r="D14" s="38"/>
      <c r="E14" s="38" t="s">
        <v>78</v>
      </c>
      <c r="F14" s="38"/>
      <c r="G14" s="38"/>
      <c r="H14" s="38"/>
      <c r="I14" s="38"/>
      <c r="J14" s="62"/>
      <c r="K14" s="62"/>
      <c r="L14" s="62"/>
      <c r="M14" s="62" t="s">
        <v>101</v>
      </c>
      <c r="N14" s="62"/>
      <c r="O14" s="38" t="s">
        <v>79</v>
      </c>
      <c r="P14" s="38" t="s">
        <v>102</v>
      </c>
      <c r="Q14" s="38">
        <v>25</v>
      </c>
      <c r="R14" s="38"/>
      <c r="S14" s="38"/>
      <c r="T14" s="38"/>
      <c r="U14" s="38"/>
      <c r="V14" s="38"/>
      <c r="W14" s="38" t="s">
        <v>103</v>
      </c>
      <c r="X14" s="38">
        <v>10000</v>
      </c>
      <c r="Y14" s="38">
        <v>5</v>
      </c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73"/>
      <c r="AY14" s="73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78"/>
    </row>
    <row r="15" spans="1:77" s="8" customFormat="1" x14ac:dyDescent="0.15">
      <c r="A15" s="36">
        <v>600002011</v>
      </c>
      <c r="B15" s="37" t="s">
        <v>104</v>
      </c>
      <c r="C15" s="38" t="s">
        <v>89</v>
      </c>
      <c r="D15" s="38"/>
      <c r="E15" s="38" t="s">
        <v>78</v>
      </c>
      <c r="F15" s="38"/>
      <c r="G15" s="38"/>
      <c r="H15" s="38"/>
      <c r="I15" s="38"/>
      <c r="J15" s="62"/>
      <c r="K15" s="62"/>
      <c r="L15" s="62"/>
      <c r="M15" s="62"/>
      <c r="N15" s="62"/>
      <c r="O15" s="38" t="s">
        <v>98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>
        <v>60000201</v>
      </c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78"/>
    </row>
    <row r="16" spans="1:77" s="8" customFormat="1" x14ac:dyDescent="0.15">
      <c r="A16" s="36">
        <v>600003011</v>
      </c>
      <c r="B16" s="37" t="s">
        <v>105</v>
      </c>
      <c r="C16" s="38" t="s">
        <v>89</v>
      </c>
      <c r="D16" s="38"/>
      <c r="E16" s="38" t="s">
        <v>78</v>
      </c>
      <c r="F16" s="38"/>
      <c r="G16" s="38"/>
      <c r="H16" s="38"/>
      <c r="I16" s="38"/>
      <c r="J16" s="62"/>
      <c r="K16" s="62"/>
      <c r="L16" s="62"/>
      <c r="M16" s="62"/>
      <c r="N16" s="62"/>
      <c r="O16" s="38" t="s">
        <v>98</v>
      </c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>
        <v>60000301</v>
      </c>
      <c r="AF16" s="38"/>
      <c r="AG16" s="38"/>
      <c r="AH16" s="38"/>
      <c r="AI16" s="38"/>
      <c r="AJ16" s="38" t="s">
        <v>98</v>
      </c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>
        <v>60000302</v>
      </c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78"/>
    </row>
    <row r="17" spans="1:77" s="8" customFormat="1" x14ac:dyDescent="0.15">
      <c r="A17" s="36">
        <v>600004011</v>
      </c>
      <c r="B17" s="37" t="s">
        <v>106</v>
      </c>
      <c r="C17" s="38" t="s">
        <v>89</v>
      </c>
      <c r="D17" s="38"/>
      <c r="E17" s="38" t="s">
        <v>78</v>
      </c>
      <c r="F17" s="38"/>
      <c r="G17" s="38"/>
      <c r="H17" s="38"/>
      <c r="I17" s="38"/>
      <c r="J17" s="62"/>
      <c r="K17" s="62"/>
      <c r="L17" s="62"/>
      <c r="M17" s="62"/>
      <c r="N17" s="62"/>
      <c r="O17" s="38" t="s">
        <v>98</v>
      </c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>
        <v>60000401</v>
      </c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78"/>
    </row>
    <row r="18" spans="1:77" s="8" customFormat="1" x14ac:dyDescent="0.15">
      <c r="A18" s="36">
        <v>600005011</v>
      </c>
      <c r="B18" s="37" t="s">
        <v>107</v>
      </c>
      <c r="C18" s="38" t="s">
        <v>89</v>
      </c>
      <c r="D18" s="38"/>
      <c r="E18" s="38" t="s">
        <v>78</v>
      </c>
      <c r="F18" s="38"/>
      <c r="G18" s="38"/>
      <c r="H18" s="38"/>
      <c r="I18" s="38"/>
      <c r="J18" s="62"/>
      <c r="K18" s="62"/>
      <c r="L18" s="62"/>
      <c r="M18" s="62"/>
      <c r="N18" s="62"/>
      <c r="O18" s="38" t="s">
        <v>98</v>
      </c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>
        <v>60000501</v>
      </c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78"/>
    </row>
    <row r="19" spans="1:77" s="8" customFormat="1" x14ac:dyDescent="0.15">
      <c r="A19" s="36">
        <v>600010011</v>
      </c>
      <c r="B19" s="37" t="s">
        <v>108</v>
      </c>
      <c r="C19" s="38" t="s">
        <v>89</v>
      </c>
      <c r="D19" s="38"/>
      <c r="E19" s="38" t="s">
        <v>78</v>
      </c>
      <c r="F19" s="38"/>
      <c r="G19" s="38"/>
      <c r="H19" s="38"/>
      <c r="I19" s="38"/>
      <c r="J19" s="62"/>
      <c r="K19" s="62"/>
      <c r="L19" s="62"/>
      <c r="M19" s="62"/>
      <c r="N19" s="62"/>
      <c r="O19" s="38" t="s">
        <v>90</v>
      </c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>
        <v>600010101</v>
      </c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78"/>
    </row>
    <row r="20" spans="1:77" s="8" customFormat="1" x14ac:dyDescent="0.15">
      <c r="A20" s="36">
        <v>600011011</v>
      </c>
      <c r="B20" s="37" t="s">
        <v>109</v>
      </c>
      <c r="C20" s="38" t="s">
        <v>89</v>
      </c>
      <c r="D20" s="38"/>
      <c r="E20" s="38" t="s">
        <v>78</v>
      </c>
      <c r="F20" s="38"/>
      <c r="G20" s="38"/>
      <c r="H20" s="38"/>
      <c r="I20" s="38"/>
      <c r="J20" s="62"/>
      <c r="K20" s="62"/>
      <c r="L20" s="62"/>
      <c r="M20" s="62"/>
      <c r="N20" s="62"/>
      <c r="O20" s="38" t="s">
        <v>98</v>
      </c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>
        <v>60001101</v>
      </c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78"/>
    </row>
    <row r="21" spans="1:77" s="8" customFormat="1" x14ac:dyDescent="0.15">
      <c r="A21" s="9">
        <v>700000011</v>
      </c>
      <c r="B21" s="40" t="s">
        <v>110</v>
      </c>
      <c r="C21" s="41" t="s">
        <v>89</v>
      </c>
      <c r="D21" s="41"/>
      <c r="E21" s="41" t="s">
        <v>78</v>
      </c>
      <c r="F21" s="41"/>
      <c r="G21" s="41"/>
      <c r="H21" s="41"/>
      <c r="I21" s="41"/>
      <c r="J21" s="63"/>
      <c r="K21" s="63"/>
      <c r="L21" s="63"/>
      <c r="M21" s="63"/>
      <c r="N21" s="63"/>
      <c r="O21" s="41" t="s">
        <v>90</v>
      </c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>
        <v>100006101</v>
      </c>
      <c r="AD21" s="41">
        <v>100006101</v>
      </c>
      <c r="AE21" s="41"/>
      <c r="AF21" s="41"/>
      <c r="AG21" s="41"/>
      <c r="AH21" s="41"/>
      <c r="AI21" s="41"/>
      <c r="AJ21" s="41" t="s">
        <v>90</v>
      </c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>
        <v>700000101</v>
      </c>
      <c r="AY21" s="41">
        <v>700000101</v>
      </c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79"/>
    </row>
    <row r="22" spans="1:77" s="8" customFormat="1" x14ac:dyDescent="0.15">
      <c r="A22" s="9">
        <v>700000012</v>
      </c>
      <c r="B22" s="40" t="s">
        <v>111</v>
      </c>
      <c r="C22" s="41" t="s">
        <v>112</v>
      </c>
      <c r="D22" s="41"/>
      <c r="E22" s="41" t="s">
        <v>83</v>
      </c>
      <c r="F22" s="41">
        <v>250000</v>
      </c>
      <c r="G22" s="41"/>
      <c r="H22" s="41"/>
      <c r="I22" s="41"/>
      <c r="J22" s="63"/>
      <c r="K22" s="63"/>
      <c r="L22" s="63"/>
      <c r="M22" s="63"/>
      <c r="N22" s="63"/>
      <c r="O22" s="41" t="s">
        <v>113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 t="s">
        <v>114</v>
      </c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79"/>
    </row>
    <row r="23" spans="1:77" s="8" customFormat="1" x14ac:dyDescent="0.15">
      <c r="A23" s="9">
        <v>700002011</v>
      </c>
      <c r="B23" s="42" t="s">
        <v>115</v>
      </c>
      <c r="C23" s="41" t="s">
        <v>112</v>
      </c>
      <c r="D23" s="43"/>
      <c r="E23" s="41" t="s">
        <v>83</v>
      </c>
      <c r="F23" s="41">
        <v>250000</v>
      </c>
      <c r="G23" s="41"/>
      <c r="H23" s="43"/>
      <c r="I23" s="43"/>
      <c r="J23" s="64"/>
      <c r="K23" s="64"/>
      <c r="L23" s="64"/>
      <c r="M23" s="64"/>
      <c r="N23" s="64"/>
      <c r="O23" s="41" t="s">
        <v>90</v>
      </c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1">
        <v>700002101</v>
      </c>
      <c r="AD23" s="41">
        <v>700002101</v>
      </c>
      <c r="AE23" s="72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80"/>
    </row>
    <row r="24" spans="1:77" s="8" customFormat="1" x14ac:dyDescent="0.15">
      <c r="A24" s="9">
        <v>700003011</v>
      </c>
      <c r="B24" s="44" t="s">
        <v>116</v>
      </c>
      <c r="C24" s="41" t="s">
        <v>112</v>
      </c>
      <c r="D24" s="43"/>
      <c r="E24" s="41" t="s">
        <v>83</v>
      </c>
      <c r="F24" s="41">
        <v>250000</v>
      </c>
      <c r="G24" s="41"/>
      <c r="H24" s="43"/>
      <c r="I24" s="43"/>
      <c r="J24" s="64"/>
      <c r="K24" s="64"/>
      <c r="L24" s="64"/>
      <c r="M24" s="64"/>
      <c r="N24" s="64"/>
      <c r="O24" s="41" t="s">
        <v>90</v>
      </c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1">
        <v>700003101</v>
      </c>
      <c r="AD24" s="41">
        <v>700003101</v>
      </c>
      <c r="AE24" s="72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80"/>
    </row>
    <row r="25" spans="1:77" s="8" customFormat="1" x14ac:dyDescent="0.15">
      <c r="A25" s="9">
        <v>700004011</v>
      </c>
      <c r="B25" s="40" t="s">
        <v>117</v>
      </c>
      <c r="C25" s="41" t="s">
        <v>112</v>
      </c>
      <c r="D25" s="43"/>
      <c r="E25" s="41" t="s">
        <v>83</v>
      </c>
      <c r="F25" s="41">
        <v>250000</v>
      </c>
      <c r="G25" s="41"/>
      <c r="H25" s="43"/>
      <c r="I25" s="43"/>
      <c r="J25" s="64"/>
      <c r="K25" s="64"/>
      <c r="L25" s="64"/>
      <c r="M25" s="64"/>
      <c r="N25" s="64"/>
      <c r="O25" s="41" t="s">
        <v>90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1">
        <v>700004101</v>
      </c>
      <c r="AD25" s="41">
        <v>700004201</v>
      </c>
      <c r="AE25" s="72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80"/>
    </row>
    <row r="26" spans="1:77" s="8" customFormat="1" x14ac:dyDescent="0.15">
      <c r="A26" s="9">
        <v>700004021</v>
      </c>
      <c r="B26" s="40" t="s">
        <v>118</v>
      </c>
      <c r="C26" s="41" t="s">
        <v>112</v>
      </c>
      <c r="D26" s="43"/>
      <c r="E26" s="41" t="s">
        <v>83</v>
      </c>
      <c r="F26" s="41">
        <v>250000</v>
      </c>
      <c r="G26" s="41"/>
      <c r="H26" s="43"/>
      <c r="I26" s="43"/>
      <c r="J26" s="64"/>
      <c r="K26" s="64"/>
      <c r="L26" s="64"/>
      <c r="M26" s="64"/>
      <c r="N26" s="64"/>
      <c r="O26" s="41" t="s">
        <v>90</v>
      </c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1">
        <v>700004301</v>
      </c>
      <c r="AD26" s="41">
        <v>700004401</v>
      </c>
      <c r="AE26" s="72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80"/>
    </row>
    <row r="27" spans="1:77" s="8" customFormat="1" x14ac:dyDescent="0.15">
      <c r="A27" s="9">
        <v>700005011</v>
      </c>
      <c r="B27" s="42" t="s">
        <v>119</v>
      </c>
      <c r="C27" s="41" t="s">
        <v>112</v>
      </c>
      <c r="D27" s="43"/>
      <c r="E27" s="41" t="s">
        <v>83</v>
      </c>
      <c r="F27" s="41">
        <v>250000</v>
      </c>
      <c r="G27" s="41"/>
      <c r="H27" s="43"/>
      <c r="I27" s="43"/>
      <c r="J27" s="64"/>
      <c r="K27" s="64"/>
      <c r="L27" s="64"/>
      <c r="M27" s="64"/>
      <c r="N27" s="64"/>
      <c r="O27" s="41" t="s">
        <v>90</v>
      </c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1">
        <v>700005101</v>
      </c>
      <c r="AD27" s="41">
        <v>700005201</v>
      </c>
      <c r="AE27" s="72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80"/>
    </row>
    <row r="28" spans="1:77" s="8" customFormat="1" x14ac:dyDescent="0.15">
      <c r="A28" s="9">
        <v>700006011</v>
      </c>
      <c r="B28" s="42" t="s">
        <v>120</v>
      </c>
      <c r="C28" s="41" t="s">
        <v>112</v>
      </c>
      <c r="D28" s="43"/>
      <c r="E28" s="41" t="s">
        <v>83</v>
      </c>
      <c r="F28" s="41">
        <v>250000</v>
      </c>
      <c r="G28" s="41"/>
      <c r="H28" s="43"/>
      <c r="I28" s="43"/>
      <c r="J28" s="64"/>
      <c r="K28" s="64"/>
      <c r="L28" s="64"/>
      <c r="M28" s="64"/>
      <c r="N28" s="64"/>
      <c r="O28" s="41" t="s">
        <v>90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1">
        <v>700006101</v>
      </c>
      <c r="AD28" s="41">
        <v>700006101</v>
      </c>
      <c r="AE28" s="72"/>
      <c r="AF28" s="43"/>
      <c r="AG28" s="43"/>
      <c r="AH28" s="43"/>
      <c r="AI28" s="43"/>
      <c r="AJ28" s="41" t="s">
        <v>90</v>
      </c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1">
        <v>700006201</v>
      </c>
      <c r="AY28" s="41">
        <v>700006201</v>
      </c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80"/>
    </row>
    <row r="29" spans="1:77" s="8" customFormat="1" x14ac:dyDescent="0.15">
      <c r="A29" s="9">
        <v>700007011</v>
      </c>
      <c r="B29" s="40" t="s">
        <v>121</v>
      </c>
      <c r="C29" s="41" t="s">
        <v>112</v>
      </c>
      <c r="D29" s="41"/>
      <c r="E29" s="41" t="s">
        <v>83</v>
      </c>
      <c r="F29" s="41">
        <v>250000</v>
      </c>
      <c r="G29" s="41"/>
      <c r="H29" s="41"/>
      <c r="I29" s="41"/>
      <c r="J29" s="63"/>
      <c r="K29" s="63"/>
      <c r="L29" s="63"/>
      <c r="M29" s="63"/>
      <c r="N29" s="63"/>
      <c r="O29" s="41" t="s">
        <v>113</v>
      </c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 t="s">
        <v>122</v>
      </c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79"/>
    </row>
    <row r="30" spans="1:77" s="8" customFormat="1" x14ac:dyDescent="0.15">
      <c r="A30" s="9">
        <v>700007021</v>
      </c>
      <c r="B30" s="40" t="s">
        <v>123</v>
      </c>
      <c r="C30" s="41" t="s">
        <v>89</v>
      </c>
      <c r="D30" s="41"/>
      <c r="E30" s="41" t="s">
        <v>78</v>
      </c>
      <c r="F30" s="41"/>
      <c r="G30" s="41"/>
      <c r="H30" s="41"/>
      <c r="I30" s="41"/>
      <c r="J30" s="63"/>
      <c r="K30" s="63"/>
      <c r="L30" s="63"/>
      <c r="M30" s="63"/>
      <c r="N30" s="63"/>
      <c r="O30" s="41" t="s">
        <v>124</v>
      </c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>
        <v>10000102</v>
      </c>
      <c r="AF30" s="41">
        <v>60000</v>
      </c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79"/>
    </row>
    <row r="31" spans="1:77" s="8" customFormat="1" x14ac:dyDescent="0.15">
      <c r="A31" s="9">
        <v>700011011</v>
      </c>
      <c r="B31" s="40" t="s">
        <v>115</v>
      </c>
      <c r="C31" s="41" t="s">
        <v>112</v>
      </c>
      <c r="D31" s="41"/>
      <c r="E31" s="41" t="s">
        <v>83</v>
      </c>
      <c r="F31" s="41">
        <v>250000</v>
      </c>
      <c r="G31" s="41"/>
      <c r="H31" s="41"/>
      <c r="I31" s="41"/>
      <c r="J31" s="63"/>
      <c r="K31" s="63"/>
      <c r="L31" s="63"/>
      <c r="M31" s="63"/>
      <c r="N31" s="63"/>
      <c r="O31" s="41" t="s">
        <v>90</v>
      </c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>
        <v>700011101</v>
      </c>
      <c r="AD31" s="41">
        <v>700011101</v>
      </c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79"/>
    </row>
    <row r="32" spans="1:77" s="8" customFormat="1" x14ac:dyDescent="0.15">
      <c r="A32" s="9">
        <v>700011012</v>
      </c>
      <c r="B32" s="40" t="s">
        <v>116</v>
      </c>
      <c r="C32" s="41" t="s">
        <v>112</v>
      </c>
      <c r="D32" s="41"/>
      <c r="E32" s="41" t="s">
        <v>83</v>
      </c>
      <c r="F32" s="41">
        <v>250000</v>
      </c>
      <c r="G32" s="41"/>
      <c r="H32" s="41"/>
      <c r="I32" s="41"/>
      <c r="J32" s="63"/>
      <c r="K32" s="63"/>
      <c r="L32" s="63"/>
      <c r="M32" s="63"/>
      <c r="N32" s="63"/>
      <c r="O32" s="41" t="s">
        <v>90</v>
      </c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>
        <v>700011201</v>
      </c>
      <c r="AD32" s="41">
        <v>700011201</v>
      </c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79"/>
    </row>
    <row r="33" spans="1:77" s="8" customFormat="1" x14ac:dyDescent="0.15">
      <c r="A33" s="9">
        <v>700012011</v>
      </c>
      <c r="B33" s="40" t="s">
        <v>125</v>
      </c>
      <c r="C33" s="41" t="s">
        <v>112</v>
      </c>
      <c r="D33" s="41"/>
      <c r="E33" s="41" t="s">
        <v>83</v>
      </c>
      <c r="F33" s="41">
        <v>250000</v>
      </c>
      <c r="G33" s="41"/>
      <c r="H33" s="41"/>
      <c r="I33" s="41"/>
      <c r="J33" s="63"/>
      <c r="K33" s="63"/>
      <c r="L33" s="63"/>
      <c r="M33" s="63"/>
      <c r="N33" s="63"/>
      <c r="O33" s="41" t="s">
        <v>113</v>
      </c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 t="s">
        <v>114</v>
      </c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79"/>
    </row>
    <row r="34" spans="1:77" s="8" customFormat="1" x14ac:dyDescent="0.15">
      <c r="A34" s="9">
        <v>700013011</v>
      </c>
      <c r="B34" s="40" t="s">
        <v>126</v>
      </c>
      <c r="C34" s="41" t="s">
        <v>127</v>
      </c>
      <c r="D34" s="41"/>
      <c r="E34" s="41" t="s">
        <v>83</v>
      </c>
      <c r="F34" s="41">
        <v>250000</v>
      </c>
      <c r="G34" s="41"/>
      <c r="H34" s="41"/>
      <c r="I34" s="41"/>
      <c r="J34" s="63"/>
      <c r="K34" s="63"/>
      <c r="L34" s="63"/>
      <c r="M34" s="63"/>
      <c r="N34" s="63"/>
      <c r="O34" s="41" t="s">
        <v>90</v>
      </c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>
        <v>700013101</v>
      </c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79"/>
    </row>
    <row r="35" spans="1:77" s="8" customFormat="1" x14ac:dyDescent="0.15">
      <c r="A35" s="9">
        <v>700013012</v>
      </c>
      <c r="B35" s="40" t="s">
        <v>128</v>
      </c>
      <c r="C35" s="41" t="s">
        <v>129</v>
      </c>
      <c r="D35" s="41"/>
      <c r="E35" s="41" t="s">
        <v>83</v>
      </c>
      <c r="F35" s="41">
        <v>250000</v>
      </c>
      <c r="G35" s="41"/>
      <c r="H35" s="41"/>
      <c r="I35" s="41"/>
      <c r="J35" s="63"/>
      <c r="K35" s="63"/>
      <c r="L35" s="63"/>
      <c r="M35" s="63"/>
      <c r="N35" s="63"/>
      <c r="O35" s="41" t="s">
        <v>90</v>
      </c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>
        <v>700013201</v>
      </c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79"/>
    </row>
    <row r="36" spans="1:77" s="8" customFormat="1" x14ac:dyDescent="0.15">
      <c r="A36" s="9">
        <v>700022011</v>
      </c>
      <c r="B36" s="40" t="s">
        <v>130</v>
      </c>
      <c r="C36" s="41" t="s">
        <v>131</v>
      </c>
      <c r="D36" s="41"/>
      <c r="E36" s="41" t="s">
        <v>83</v>
      </c>
      <c r="F36" s="41">
        <v>250000</v>
      </c>
      <c r="G36" s="41"/>
      <c r="H36" s="41"/>
      <c r="I36" s="41"/>
      <c r="J36" s="63"/>
      <c r="K36" s="63"/>
      <c r="L36" s="63"/>
      <c r="M36" s="63"/>
      <c r="N36" s="63"/>
      <c r="O36" s="41" t="s">
        <v>90</v>
      </c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>
        <v>700022101</v>
      </c>
      <c r="AD36" s="41">
        <v>700022201</v>
      </c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79"/>
    </row>
    <row r="37" spans="1:77" s="8" customFormat="1" x14ac:dyDescent="0.15">
      <c r="A37" s="9">
        <v>700022012</v>
      </c>
      <c r="B37" s="40" t="s">
        <v>130</v>
      </c>
      <c r="C37" s="41" t="s">
        <v>112</v>
      </c>
      <c r="D37" s="41"/>
      <c r="E37" s="41" t="s">
        <v>83</v>
      </c>
      <c r="F37" s="41">
        <v>250000</v>
      </c>
      <c r="G37" s="41"/>
      <c r="H37" s="41"/>
      <c r="I37" s="41"/>
      <c r="J37" s="63"/>
      <c r="K37" s="63"/>
      <c r="L37" s="63"/>
      <c r="M37" s="63"/>
      <c r="N37" s="63"/>
      <c r="O37" s="41" t="s">
        <v>90</v>
      </c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>
        <v>700022301</v>
      </c>
      <c r="AD37" s="41">
        <v>700022301</v>
      </c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79"/>
    </row>
    <row r="38" spans="1:77" s="8" customFormat="1" x14ac:dyDescent="0.15">
      <c r="A38" s="45">
        <v>700021011</v>
      </c>
      <c r="B38" s="46" t="s">
        <v>132</v>
      </c>
      <c r="C38" s="47" t="s">
        <v>89</v>
      </c>
      <c r="D38" s="47"/>
      <c r="E38" s="47" t="s">
        <v>78</v>
      </c>
      <c r="F38" s="47"/>
      <c r="G38" s="47"/>
      <c r="H38" s="47"/>
      <c r="I38" s="47"/>
      <c r="J38" s="65"/>
      <c r="K38" s="65"/>
      <c r="L38" s="65"/>
      <c r="M38" s="65"/>
      <c r="N38" s="65"/>
      <c r="O38" s="47" t="s">
        <v>90</v>
      </c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>
        <v>700021101</v>
      </c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81"/>
    </row>
    <row r="39" spans="1:77" s="8" customFormat="1" x14ac:dyDescent="0.15">
      <c r="A39" s="45">
        <v>700021012</v>
      </c>
      <c r="B39" s="46" t="s">
        <v>133</v>
      </c>
      <c r="C39" s="47" t="s">
        <v>134</v>
      </c>
      <c r="D39" s="47"/>
      <c r="E39" s="47" t="s">
        <v>83</v>
      </c>
      <c r="F39" s="47">
        <v>250000</v>
      </c>
      <c r="G39" s="47"/>
      <c r="H39" s="47"/>
      <c r="I39" s="47"/>
      <c r="J39" s="65"/>
      <c r="K39" s="65"/>
      <c r="L39" s="65"/>
      <c r="M39" s="65"/>
      <c r="N39" s="65"/>
      <c r="O39" s="47" t="s">
        <v>90</v>
      </c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>
        <v>700021201</v>
      </c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81"/>
    </row>
    <row r="40" spans="1:77" s="8" customFormat="1" x14ac:dyDescent="0.15">
      <c r="A40" s="9">
        <v>700023011</v>
      </c>
      <c r="B40" s="40" t="s">
        <v>135</v>
      </c>
      <c r="C40" s="41" t="s">
        <v>112</v>
      </c>
      <c r="D40" s="41"/>
      <c r="E40" s="41" t="s">
        <v>83</v>
      </c>
      <c r="F40" s="41">
        <v>250000</v>
      </c>
      <c r="G40" s="41"/>
      <c r="H40" s="41"/>
      <c r="I40" s="41"/>
      <c r="J40" s="63"/>
      <c r="K40" s="63"/>
      <c r="L40" s="63"/>
      <c r="M40" s="63"/>
      <c r="N40" s="63"/>
      <c r="O40" s="41" t="s">
        <v>90</v>
      </c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>
        <v>700023101</v>
      </c>
      <c r="AD40" s="41">
        <v>700023101</v>
      </c>
      <c r="AE40" s="41"/>
      <c r="AF40" s="41"/>
      <c r="AG40" s="41"/>
      <c r="AH40" s="41"/>
      <c r="AI40" s="41"/>
      <c r="AJ40" s="41" t="s">
        <v>90</v>
      </c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>
        <v>700023201</v>
      </c>
      <c r="AY40" s="41">
        <v>700023201</v>
      </c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79"/>
    </row>
    <row r="41" spans="1:77" s="8" customFormat="1" x14ac:dyDescent="0.15">
      <c r="A41" s="9">
        <v>700031011</v>
      </c>
      <c r="B41" s="40" t="s">
        <v>136</v>
      </c>
      <c r="C41" s="41" t="s">
        <v>112</v>
      </c>
      <c r="D41" s="41"/>
      <c r="E41" s="41" t="s">
        <v>83</v>
      </c>
      <c r="F41" s="41">
        <v>250000</v>
      </c>
      <c r="G41" s="41"/>
      <c r="H41" s="41"/>
      <c r="I41" s="41"/>
      <c r="J41" s="63"/>
      <c r="K41" s="63"/>
      <c r="L41" s="63"/>
      <c r="M41" s="63"/>
      <c r="N41" s="63"/>
      <c r="O41" s="41" t="s">
        <v>90</v>
      </c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>
        <v>700031101</v>
      </c>
      <c r="AD41" s="41">
        <v>700031101</v>
      </c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79"/>
    </row>
    <row r="42" spans="1:77" s="8" customFormat="1" x14ac:dyDescent="0.15">
      <c r="A42" s="9">
        <v>700032011</v>
      </c>
      <c r="B42" s="40" t="s">
        <v>137</v>
      </c>
      <c r="C42" s="41" t="s">
        <v>112</v>
      </c>
      <c r="D42" s="41"/>
      <c r="E42" s="41" t="s">
        <v>83</v>
      </c>
      <c r="F42" s="41">
        <v>150000</v>
      </c>
      <c r="G42" s="41"/>
      <c r="H42" s="41"/>
      <c r="I42" s="41"/>
      <c r="J42" s="63"/>
      <c r="K42" s="63"/>
      <c r="L42" s="63"/>
      <c r="M42" s="63"/>
      <c r="N42" s="63"/>
      <c r="O42" s="41" t="s">
        <v>98</v>
      </c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>
        <v>70003201</v>
      </c>
      <c r="AF42" s="41"/>
      <c r="AG42" s="41"/>
      <c r="AH42" s="41"/>
      <c r="AI42" s="41"/>
      <c r="AJ42" s="41" t="s">
        <v>95</v>
      </c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>
        <v>20000883</v>
      </c>
      <c r="BA42" s="41"/>
      <c r="BB42" s="41"/>
      <c r="BC42" s="41">
        <v>1</v>
      </c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79"/>
    </row>
    <row r="43" spans="1:77" s="8" customFormat="1" x14ac:dyDescent="0.15">
      <c r="A43" s="9">
        <v>700033011</v>
      </c>
      <c r="B43" s="40" t="s">
        <v>138</v>
      </c>
      <c r="C43" s="41" t="s">
        <v>100</v>
      </c>
      <c r="D43" s="41"/>
      <c r="E43" s="41" t="s">
        <v>78</v>
      </c>
      <c r="F43" s="41"/>
      <c r="G43" s="41"/>
      <c r="H43" s="41"/>
      <c r="I43" s="41"/>
      <c r="J43" s="63"/>
      <c r="K43" s="63"/>
      <c r="L43" s="63"/>
      <c r="M43" s="63"/>
      <c r="N43" s="63"/>
      <c r="O43" s="41" t="s">
        <v>139</v>
      </c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 t="s">
        <v>140</v>
      </c>
      <c r="AF43" s="41">
        <v>20000884</v>
      </c>
      <c r="AG43" s="41">
        <v>2</v>
      </c>
      <c r="AH43" s="41">
        <v>20000888</v>
      </c>
      <c r="AI43" s="41">
        <v>2</v>
      </c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79"/>
    </row>
    <row r="44" spans="1:77" s="8" customFormat="1" x14ac:dyDescent="0.15">
      <c r="A44" s="9">
        <v>700041011</v>
      </c>
      <c r="B44" s="42" t="s">
        <v>141</v>
      </c>
      <c r="C44" s="41" t="s">
        <v>112</v>
      </c>
      <c r="D44" s="43"/>
      <c r="E44" s="41" t="s">
        <v>83</v>
      </c>
      <c r="F44" s="41">
        <v>100000</v>
      </c>
      <c r="G44" s="41"/>
      <c r="H44" s="43"/>
      <c r="I44" s="43"/>
      <c r="J44" s="64"/>
      <c r="K44" s="64"/>
      <c r="L44" s="64"/>
      <c r="M44" s="64"/>
      <c r="N44" s="64"/>
      <c r="O44" s="41" t="s">
        <v>95</v>
      </c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1"/>
      <c r="AD44" s="41"/>
      <c r="AE44" s="72">
        <v>20000885</v>
      </c>
      <c r="AF44" s="43" t="s">
        <v>142</v>
      </c>
      <c r="AG44" s="43">
        <v>40000</v>
      </c>
      <c r="AH44" s="43">
        <v>1</v>
      </c>
      <c r="AI44" s="43"/>
      <c r="AJ44" s="41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1"/>
      <c r="AY44" s="41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80"/>
    </row>
    <row r="45" spans="1:77" s="8" customFormat="1" x14ac:dyDescent="0.15">
      <c r="A45" s="9">
        <v>700042011</v>
      </c>
      <c r="B45" s="40" t="s">
        <v>143</v>
      </c>
      <c r="C45" s="41" t="s">
        <v>112</v>
      </c>
      <c r="D45" s="41"/>
      <c r="E45" s="41" t="s">
        <v>83</v>
      </c>
      <c r="F45" s="41">
        <v>250000</v>
      </c>
      <c r="G45" s="41"/>
      <c r="H45" s="41"/>
      <c r="I45" s="41"/>
      <c r="J45" s="63"/>
      <c r="K45" s="63"/>
      <c r="L45" s="63"/>
      <c r="M45" s="63"/>
      <c r="N45" s="63"/>
      <c r="O45" s="41" t="s">
        <v>90</v>
      </c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>
        <v>700042101</v>
      </c>
      <c r="AD45" s="41">
        <v>700042101</v>
      </c>
      <c r="AE45" s="41">
        <v>6</v>
      </c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79"/>
    </row>
    <row r="46" spans="1:77" s="9" customFormat="1" x14ac:dyDescent="0.15">
      <c r="A46" s="9">
        <v>700043011</v>
      </c>
      <c r="B46" s="48" t="s">
        <v>144</v>
      </c>
      <c r="C46" s="9" t="s">
        <v>89</v>
      </c>
      <c r="E46" s="9" t="s">
        <v>78</v>
      </c>
      <c r="J46" s="63"/>
      <c r="K46" s="63"/>
      <c r="L46" s="63"/>
      <c r="M46" s="63"/>
      <c r="N46" s="63"/>
      <c r="O46" s="9" t="s">
        <v>95</v>
      </c>
      <c r="AE46" s="9">
        <v>20000886</v>
      </c>
      <c r="AF46" s="9" t="s">
        <v>142</v>
      </c>
      <c r="AG46" s="9">
        <v>40000</v>
      </c>
      <c r="AH46" s="9">
        <v>1</v>
      </c>
    </row>
    <row r="47" spans="1:77" s="9" customFormat="1" x14ac:dyDescent="0.15">
      <c r="A47" s="9">
        <v>700044011</v>
      </c>
      <c r="B47" s="48" t="s">
        <v>145</v>
      </c>
      <c r="C47" s="9" t="s">
        <v>89</v>
      </c>
      <c r="E47" s="9" t="s">
        <v>78</v>
      </c>
      <c r="J47" s="63"/>
      <c r="K47" s="63"/>
      <c r="L47" s="63"/>
      <c r="M47" s="63"/>
      <c r="N47" s="63"/>
      <c r="O47" s="9" t="s">
        <v>146</v>
      </c>
      <c r="AE47" s="9">
        <v>20000886</v>
      </c>
      <c r="AF47" s="9">
        <v>20000887</v>
      </c>
    </row>
    <row r="48" spans="1:77" s="8" customFormat="1" x14ac:dyDescent="0.15">
      <c r="A48" s="9">
        <v>700080011</v>
      </c>
      <c r="B48" s="42" t="s">
        <v>147</v>
      </c>
      <c r="C48" s="41" t="s">
        <v>89</v>
      </c>
      <c r="D48" s="43"/>
      <c r="E48" s="41" t="s">
        <v>83</v>
      </c>
      <c r="F48" s="41">
        <v>30000</v>
      </c>
      <c r="G48" s="41"/>
      <c r="H48" s="43"/>
      <c r="I48" s="43"/>
      <c r="J48" s="64"/>
      <c r="K48" s="64"/>
      <c r="L48" s="64"/>
      <c r="M48" s="64"/>
      <c r="N48" s="64"/>
      <c r="O48" s="41" t="s">
        <v>95</v>
      </c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1"/>
      <c r="AD48" s="41"/>
      <c r="AE48" s="72">
        <v>20000918</v>
      </c>
      <c r="AF48" s="43" t="s">
        <v>96</v>
      </c>
      <c r="AG48" s="43"/>
      <c r="AH48" s="43">
        <v>1</v>
      </c>
      <c r="AI48" s="43"/>
      <c r="AJ48" s="41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1"/>
      <c r="AY48" s="41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80"/>
    </row>
    <row r="49" spans="1:77" s="8" customFormat="1" x14ac:dyDescent="0.15">
      <c r="A49" s="9">
        <v>700081011</v>
      </c>
      <c r="B49" s="42" t="s">
        <v>148</v>
      </c>
      <c r="C49" s="41" t="s">
        <v>89</v>
      </c>
      <c r="D49" s="43"/>
      <c r="E49" s="41" t="s">
        <v>78</v>
      </c>
      <c r="F49" s="43"/>
      <c r="G49" s="43"/>
      <c r="H49" s="43"/>
      <c r="I49" s="43"/>
      <c r="J49" s="64"/>
      <c r="K49" s="64"/>
      <c r="L49" s="64"/>
      <c r="M49" s="64"/>
      <c r="N49" s="64"/>
      <c r="O49" s="43" t="s">
        <v>149</v>
      </c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1"/>
      <c r="AD49" s="41"/>
      <c r="AE49" s="72">
        <v>10000</v>
      </c>
      <c r="AF49" s="43">
        <v>200000</v>
      </c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80"/>
    </row>
    <row r="50" spans="1:77" s="8" customFormat="1" x14ac:dyDescent="0.15">
      <c r="A50" s="9">
        <v>700082011</v>
      </c>
      <c r="B50" s="42" t="s">
        <v>150</v>
      </c>
      <c r="C50" s="41" t="s">
        <v>89</v>
      </c>
      <c r="D50" s="43"/>
      <c r="E50" s="41" t="s">
        <v>78</v>
      </c>
      <c r="F50" s="41"/>
      <c r="G50" s="41"/>
      <c r="H50" s="43"/>
      <c r="I50" s="43"/>
      <c r="J50" s="64"/>
      <c r="K50" s="64"/>
      <c r="L50" s="64"/>
      <c r="M50" s="64"/>
      <c r="N50" s="64"/>
      <c r="O50" s="41" t="s">
        <v>95</v>
      </c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1"/>
      <c r="AD50" s="41"/>
      <c r="AE50" s="72">
        <v>20000880</v>
      </c>
      <c r="AF50" s="43" t="s">
        <v>142</v>
      </c>
      <c r="AG50" s="43">
        <v>20000</v>
      </c>
      <c r="AH50" s="43">
        <v>1</v>
      </c>
      <c r="AI50" s="43"/>
      <c r="AJ50" s="41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1"/>
      <c r="AY50" s="41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80"/>
    </row>
    <row r="51" spans="1:77" s="8" customFormat="1" x14ac:dyDescent="0.15">
      <c r="A51" s="9">
        <v>700083011</v>
      </c>
      <c r="B51" s="42" t="s">
        <v>151</v>
      </c>
      <c r="C51" s="41" t="s">
        <v>100</v>
      </c>
      <c r="D51" s="43"/>
      <c r="E51" s="41" t="s">
        <v>83</v>
      </c>
      <c r="F51" s="41">
        <v>30000</v>
      </c>
      <c r="G51" s="41"/>
      <c r="H51" s="43"/>
      <c r="I51" s="43"/>
      <c r="J51" s="64"/>
      <c r="K51" s="64"/>
      <c r="L51" s="64"/>
      <c r="M51" s="64"/>
      <c r="N51" s="64"/>
      <c r="O51" s="41" t="s">
        <v>95</v>
      </c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1"/>
      <c r="AD51" s="41"/>
      <c r="AE51" s="72">
        <v>20000881</v>
      </c>
      <c r="AF51" s="43" t="s">
        <v>96</v>
      </c>
      <c r="AG51" s="43"/>
      <c r="AH51" s="43">
        <v>1</v>
      </c>
      <c r="AI51" s="43"/>
      <c r="AJ51" s="41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1"/>
      <c r="AY51" s="41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80"/>
    </row>
    <row r="52" spans="1:77" s="8" customFormat="1" x14ac:dyDescent="0.15">
      <c r="A52" s="9">
        <v>700081012</v>
      </c>
      <c r="B52" s="42" t="s">
        <v>152</v>
      </c>
      <c r="C52" s="41" t="s">
        <v>100</v>
      </c>
      <c r="D52" s="43"/>
      <c r="E52" s="41" t="s">
        <v>83</v>
      </c>
      <c r="F52" s="41">
        <v>30000</v>
      </c>
      <c r="G52" s="41"/>
      <c r="H52" s="43"/>
      <c r="I52" s="43"/>
      <c r="J52" s="64"/>
      <c r="K52" s="64"/>
      <c r="L52" s="64"/>
      <c r="M52" s="64"/>
      <c r="N52" s="64"/>
      <c r="O52" s="41" t="s">
        <v>95</v>
      </c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1"/>
      <c r="AD52" s="41"/>
      <c r="AE52" s="72">
        <v>20000882</v>
      </c>
      <c r="AF52" s="43" t="s">
        <v>96</v>
      </c>
      <c r="AG52" s="43"/>
      <c r="AH52" s="43">
        <v>1</v>
      </c>
      <c r="AI52" s="43"/>
      <c r="AJ52" s="41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1"/>
      <c r="AY52" s="41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80"/>
    </row>
    <row r="53" spans="1:77" s="8" customFormat="1" x14ac:dyDescent="0.15">
      <c r="A53" s="9">
        <v>700081013</v>
      </c>
      <c r="B53" s="42" t="s">
        <v>153</v>
      </c>
      <c r="C53" s="41" t="s">
        <v>100</v>
      </c>
      <c r="D53" s="43"/>
      <c r="E53" s="41" t="s">
        <v>83</v>
      </c>
      <c r="F53" s="41">
        <v>350000</v>
      </c>
      <c r="G53" s="41"/>
      <c r="H53" s="43"/>
      <c r="I53" s="43"/>
      <c r="J53" s="64"/>
      <c r="K53" s="64"/>
      <c r="L53" s="64"/>
      <c r="M53" s="64"/>
      <c r="N53" s="64"/>
      <c r="O53" s="41" t="s">
        <v>98</v>
      </c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1"/>
      <c r="AD53" s="41"/>
      <c r="AE53" s="72">
        <v>70008101</v>
      </c>
      <c r="AF53" s="43"/>
      <c r="AG53" s="43"/>
      <c r="AH53" s="43"/>
      <c r="AI53" s="43"/>
      <c r="AJ53" s="41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1"/>
      <c r="AY53" s="41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80"/>
    </row>
    <row r="54" spans="1:77" s="8" customFormat="1" x14ac:dyDescent="0.15">
      <c r="A54" s="49">
        <v>744010011</v>
      </c>
      <c r="B54" s="50" t="s">
        <v>154</v>
      </c>
      <c r="C54" s="51" t="s">
        <v>100</v>
      </c>
      <c r="D54" s="52"/>
      <c r="E54" s="53" t="s">
        <v>85</v>
      </c>
      <c r="F54" s="53">
        <v>60000</v>
      </c>
      <c r="G54" s="53">
        <v>200000</v>
      </c>
      <c r="H54" s="53"/>
      <c r="I54" s="53">
        <v>100000</v>
      </c>
      <c r="J54" s="66"/>
      <c r="K54" s="66"/>
      <c r="L54" s="66"/>
      <c r="M54" s="66" t="s">
        <v>101</v>
      </c>
      <c r="N54" s="66"/>
      <c r="O54" s="52" t="s">
        <v>79</v>
      </c>
      <c r="P54" s="53" t="s">
        <v>102</v>
      </c>
      <c r="Q54" s="53">
        <v>300</v>
      </c>
      <c r="R54" s="53">
        <v>10000</v>
      </c>
      <c r="S54" s="53"/>
      <c r="T54" s="53"/>
      <c r="U54" s="53">
        <v>3500</v>
      </c>
      <c r="V54" s="71" t="s">
        <v>81</v>
      </c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4" t="s">
        <v>90</v>
      </c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>
        <v>913010101</v>
      </c>
      <c r="AY54" s="54">
        <v>913010101</v>
      </c>
      <c r="AZ54" s="54"/>
      <c r="BA54" s="56"/>
      <c r="BB54" s="56"/>
      <c r="BC54" s="56"/>
      <c r="BD54" s="53"/>
      <c r="BE54" s="54" t="s">
        <v>90</v>
      </c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>
        <v>100000301</v>
      </c>
      <c r="BT54" s="54">
        <v>100001201</v>
      </c>
      <c r="BU54" s="53"/>
      <c r="BV54" s="53"/>
      <c r="BW54" s="53"/>
      <c r="BX54" s="53"/>
      <c r="BY54" s="82"/>
    </row>
    <row r="55" spans="1:77" s="8" customFormat="1" x14ac:dyDescent="0.15">
      <c r="A55" s="49">
        <v>756010011</v>
      </c>
      <c r="B55" s="50" t="s">
        <v>155</v>
      </c>
      <c r="C55" s="51" t="s">
        <v>100</v>
      </c>
      <c r="D55" s="52"/>
      <c r="E55" s="53" t="s">
        <v>85</v>
      </c>
      <c r="F55" s="53">
        <v>60000</v>
      </c>
      <c r="G55" s="53">
        <v>200000</v>
      </c>
      <c r="H55" s="53"/>
      <c r="I55" s="53">
        <v>100000</v>
      </c>
      <c r="J55" s="66"/>
      <c r="K55" s="66"/>
      <c r="L55" s="66"/>
      <c r="M55" s="66" t="s">
        <v>101</v>
      </c>
      <c r="N55" s="66"/>
      <c r="O55" s="52" t="s">
        <v>79</v>
      </c>
      <c r="P55" s="53" t="s">
        <v>102</v>
      </c>
      <c r="Q55" s="53">
        <v>300</v>
      </c>
      <c r="R55" s="53">
        <v>10000</v>
      </c>
      <c r="S55" s="53"/>
      <c r="T55" s="53"/>
      <c r="U55" s="53">
        <v>3500</v>
      </c>
      <c r="V55" s="71" t="s">
        <v>81</v>
      </c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4" t="s">
        <v>90</v>
      </c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>
        <v>919010101</v>
      </c>
      <c r="AY55" s="54">
        <v>919010101</v>
      </c>
      <c r="AZ55" s="54"/>
      <c r="BA55" s="56"/>
      <c r="BB55" s="56"/>
      <c r="BC55" s="56"/>
      <c r="BD55" s="53"/>
      <c r="BE55" s="54" t="s">
        <v>90</v>
      </c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>
        <v>100000301</v>
      </c>
      <c r="BT55" s="54">
        <v>100001201</v>
      </c>
      <c r="BU55" s="53"/>
      <c r="BV55" s="53"/>
      <c r="BW55" s="53"/>
      <c r="BX55" s="53"/>
      <c r="BY55" s="82"/>
    </row>
    <row r="56" spans="1:77" s="8" customFormat="1" x14ac:dyDescent="0.15">
      <c r="A56" s="49">
        <v>757010011</v>
      </c>
      <c r="B56" s="50" t="s">
        <v>156</v>
      </c>
      <c r="C56" s="51" t="s">
        <v>100</v>
      </c>
      <c r="D56" s="52"/>
      <c r="E56" s="53" t="s">
        <v>83</v>
      </c>
      <c r="F56" s="53">
        <v>100000</v>
      </c>
      <c r="G56" s="53"/>
      <c r="H56" s="53"/>
      <c r="I56" s="53"/>
      <c r="J56" s="66"/>
      <c r="K56" s="66"/>
      <c r="L56" s="66"/>
      <c r="M56" s="66" t="s">
        <v>101</v>
      </c>
      <c r="N56" s="66"/>
      <c r="O56" s="52" t="s">
        <v>79</v>
      </c>
      <c r="P56" s="53" t="s">
        <v>80</v>
      </c>
      <c r="Q56" s="53">
        <v>200</v>
      </c>
      <c r="R56" s="53">
        <v>10000</v>
      </c>
      <c r="S56" s="53"/>
      <c r="T56" s="53"/>
      <c r="U56" s="53">
        <v>3500</v>
      </c>
      <c r="V56" s="71" t="s">
        <v>81</v>
      </c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4" t="s">
        <v>90</v>
      </c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>
        <v>920010101</v>
      </c>
      <c r="AY56" s="54">
        <v>920010101</v>
      </c>
      <c r="AZ56" s="54"/>
      <c r="BA56" s="56"/>
      <c r="BB56" s="56"/>
      <c r="BC56" s="56"/>
      <c r="BD56" s="53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3"/>
      <c r="BV56" s="53"/>
      <c r="BW56" s="53"/>
      <c r="BX56" s="53"/>
      <c r="BY56" s="82"/>
    </row>
    <row r="57" spans="1:77" s="8" customFormat="1" x14ac:dyDescent="0.15">
      <c r="A57" s="49">
        <v>757020011</v>
      </c>
      <c r="B57" s="50" t="s">
        <v>157</v>
      </c>
      <c r="C57" s="51" t="s">
        <v>89</v>
      </c>
      <c r="D57" s="52"/>
      <c r="E57" s="53" t="s">
        <v>78</v>
      </c>
      <c r="F57" s="53"/>
      <c r="G57" s="53"/>
      <c r="H57" s="53"/>
      <c r="I57" s="53"/>
      <c r="J57" s="66"/>
      <c r="K57" s="66"/>
      <c r="L57" s="66"/>
      <c r="M57" s="66"/>
      <c r="N57" s="66"/>
      <c r="O57" s="53" t="s">
        <v>98</v>
      </c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4">
        <v>92002001</v>
      </c>
      <c r="AF57" s="53"/>
      <c r="AG57" s="53"/>
      <c r="AH57" s="53"/>
      <c r="AI57" s="53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82"/>
    </row>
    <row r="58" spans="1:77" s="8" customFormat="1" x14ac:dyDescent="0.15">
      <c r="A58" s="49">
        <v>757020012</v>
      </c>
      <c r="B58" s="50" t="s">
        <v>158</v>
      </c>
      <c r="C58" s="51" t="s">
        <v>100</v>
      </c>
      <c r="D58" s="52"/>
      <c r="E58" s="53" t="s">
        <v>78</v>
      </c>
      <c r="F58" s="53"/>
      <c r="G58" s="53"/>
      <c r="H58" s="53"/>
      <c r="I58" s="53"/>
      <c r="J58" s="66"/>
      <c r="K58" s="66"/>
      <c r="L58" s="66"/>
      <c r="M58" s="66" t="s">
        <v>101</v>
      </c>
      <c r="N58" s="66"/>
      <c r="O58" s="52" t="s">
        <v>79</v>
      </c>
      <c r="P58" s="53" t="s">
        <v>102</v>
      </c>
      <c r="Q58" s="53">
        <v>60</v>
      </c>
      <c r="R58" s="53">
        <v>2000</v>
      </c>
      <c r="S58" s="53"/>
      <c r="T58" s="53"/>
      <c r="U58" s="53">
        <v>3500</v>
      </c>
      <c r="V58" s="71" t="s">
        <v>81</v>
      </c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82"/>
    </row>
    <row r="59" spans="1:77" s="8" customFormat="1" x14ac:dyDescent="0.15">
      <c r="A59" s="54">
        <v>750300011</v>
      </c>
      <c r="B59" s="55" t="s">
        <v>159</v>
      </c>
      <c r="C59" s="51" t="s">
        <v>89</v>
      </c>
      <c r="D59" s="51"/>
      <c r="E59" s="56" t="s">
        <v>83</v>
      </c>
      <c r="F59" s="56">
        <v>150000</v>
      </c>
      <c r="G59" s="56"/>
      <c r="H59" s="56"/>
      <c r="I59" s="56"/>
      <c r="J59" s="67"/>
      <c r="K59" s="67"/>
      <c r="L59" s="67"/>
      <c r="M59" s="67"/>
      <c r="N59" s="67"/>
      <c r="O59" s="51" t="s">
        <v>98</v>
      </c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>
        <v>80230001</v>
      </c>
      <c r="AF59" s="56"/>
      <c r="AG59" s="56"/>
      <c r="AH59" s="56"/>
      <c r="AI59" s="56"/>
      <c r="AJ59" s="56" t="s">
        <v>98</v>
      </c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>
        <v>80230002</v>
      </c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83"/>
    </row>
    <row r="60" spans="1:77" s="8" customFormat="1" x14ac:dyDescent="0.15">
      <c r="A60" s="54">
        <v>750300012</v>
      </c>
      <c r="B60" s="55" t="s">
        <v>160</v>
      </c>
      <c r="C60" s="49" t="s">
        <v>112</v>
      </c>
      <c r="D60" s="51"/>
      <c r="E60" s="56" t="s">
        <v>78</v>
      </c>
      <c r="F60" s="56"/>
      <c r="G60" s="56"/>
      <c r="H60" s="56"/>
      <c r="I60" s="56"/>
      <c r="J60" s="67"/>
      <c r="K60" s="67"/>
      <c r="L60" s="67"/>
      <c r="M60" s="67"/>
      <c r="N60" s="67"/>
      <c r="O60" s="51" t="s">
        <v>90</v>
      </c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>
        <v>750300301</v>
      </c>
      <c r="AD60" s="56">
        <v>750300201</v>
      </c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83"/>
    </row>
    <row r="61" spans="1:77" s="8" customFormat="1" x14ac:dyDescent="0.15">
      <c r="A61" s="49">
        <v>759200011</v>
      </c>
      <c r="B61" s="57" t="s">
        <v>161</v>
      </c>
      <c r="C61" s="49" t="s">
        <v>127</v>
      </c>
      <c r="D61" s="52"/>
      <c r="E61" s="53" t="s">
        <v>83</v>
      </c>
      <c r="F61" s="53">
        <v>500000</v>
      </c>
      <c r="G61" s="53"/>
      <c r="H61" s="53"/>
      <c r="I61" s="53"/>
      <c r="J61" s="66"/>
      <c r="K61" s="66"/>
      <c r="L61" s="66"/>
      <c r="M61" s="66"/>
      <c r="N61" s="66"/>
      <c r="O61" s="52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3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3"/>
      <c r="BV61" s="53"/>
      <c r="BW61" s="53"/>
      <c r="BX61" s="53"/>
      <c r="BY61" s="82"/>
    </row>
    <row r="62" spans="1:77" s="8" customFormat="1" x14ac:dyDescent="0.15">
      <c r="A62" s="49">
        <v>780010011</v>
      </c>
      <c r="B62" s="50" t="s">
        <v>162</v>
      </c>
      <c r="C62" s="51" t="s">
        <v>100</v>
      </c>
      <c r="D62" s="52"/>
      <c r="E62" s="53" t="s">
        <v>85</v>
      </c>
      <c r="F62" s="53">
        <v>60000</v>
      </c>
      <c r="G62" s="53">
        <v>200000</v>
      </c>
      <c r="H62" s="53"/>
      <c r="I62" s="53">
        <v>100000</v>
      </c>
      <c r="J62" s="66"/>
      <c r="K62" s="66"/>
      <c r="L62" s="66"/>
      <c r="M62" s="66" t="s">
        <v>101</v>
      </c>
      <c r="N62" s="66"/>
      <c r="O62" s="52" t="s">
        <v>79</v>
      </c>
      <c r="P62" s="53" t="s">
        <v>102</v>
      </c>
      <c r="Q62" s="53">
        <v>50</v>
      </c>
      <c r="R62" s="53">
        <v>0</v>
      </c>
      <c r="S62" s="53"/>
      <c r="T62" s="53"/>
      <c r="U62" s="53"/>
      <c r="V62" s="71" t="s">
        <v>81</v>
      </c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4" t="s">
        <v>90</v>
      </c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>
        <v>919010101</v>
      </c>
      <c r="AY62" s="54">
        <v>919010101</v>
      </c>
      <c r="AZ62" s="54"/>
      <c r="BA62" s="56"/>
      <c r="BB62" s="56"/>
      <c r="BC62" s="56"/>
      <c r="BD62" s="53"/>
      <c r="BE62" s="54" t="s">
        <v>90</v>
      </c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>
        <v>100000301</v>
      </c>
      <c r="BT62" s="54">
        <v>100001201</v>
      </c>
      <c r="BU62" s="53"/>
      <c r="BV62" s="53"/>
      <c r="BW62" s="53"/>
      <c r="BX62" s="53"/>
      <c r="BY62" s="82"/>
    </row>
    <row r="63" spans="1:77" s="8" customFormat="1" x14ac:dyDescent="0.15">
      <c r="A63" s="49">
        <v>781010011</v>
      </c>
      <c r="B63" s="50" t="s">
        <v>163</v>
      </c>
      <c r="C63" s="51" t="s">
        <v>100</v>
      </c>
      <c r="D63" s="52"/>
      <c r="E63" s="53" t="s">
        <v>83</v>
      </c>
      <c r="F63" s="53">
        <v>100000</v>
      </c>
      <c r="G63" s="53"/>
      <c r="H63" s="53"/>
      <c r="I63" s="53"/>
      <c r="J63" s="66"/>
      <c r="K63" s="66"/>
      <c r="L63" s="66"/>
      <c r="M63" s="66" t="s">
        <v>101</v>
      </c>
      <c r="N63" s="66"/>
      <c r="O63" s="52" t="s">
        <v>79</v>
      </c>
      <c r="P63" s="53" t="s">
        <v>102</v>
      </c>
      <c r="Q63" s="53">
        <v>50</v>
      </c>
      <c r="R63" s="53">
        <v>0</v>
      </c>
      <c r="S63" s="53"/>
      <c r="T63" s="53"/>
      <c r="U63" s="53"/>
      <c r="V63" s="71" t="s">
        <v>81</v>
      </c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4" t="s">
        <v>90</v>
      </c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>
        <v>920010101</v>
      </c>
      <c r="AY63" s="54">
        <v>920010101</v>
      </c>
      <c r="AZ63" s="54"/>
      <c r="BA63" s="56"/>
      <c r="BB63" s="56"/>
      <c r="BC63" s="56"/>
      <c r="BD63" s="53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3"/>
      <c r="BV63" s="53"/>
      <c r="BW63" s="53"/>
      <c r="BX63" s="53"/>
      <c r="BY63" s="82"/>
    </row>
    <row r="64" spans="1:77" s="8" customFormat="1" x14ac:dyDescent="0.15">
      <c r="A64" s="49">
        <v>781020011</v>
      </c>
      <c r="B64" s="50" t="s">
        <v>164</v>
      </c>
      <c r="C64" s="51" t="s">
        <v>89</v>
      </c>
      <c r="D64" s="52"/>
      <c r="E64" s="53" t="s">
        <v>78</v>
      </c>
      <c r="F64" s="53"/>
      <c r="G64" s="53"/>
      <c r="H64" s="53"/>
      <c r="I64" s="53"/>
      <c r="J64" s="66"/>
      <c r="K64" s="66"/>
      <c r="L64" s="66"/>
      <c r="M64" s="66"/>
      <c r="N64" s="66"/>
      <c r="O64" s="53" t="s">
        <v>98</v>
      </c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4">
        <v>92002001</v>
      </c>
      <c r="AF64" s="53"/>
      <c r="AG64" s="53"/>
      <c r="AH64" s="53"/>
      <c r="AI64" s="53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82"/>
    </row>
    <row r="65" spans="1:77" s="8" customFormat="1" x14ac:dyDescent="0.15">
      <c r="A65" s="49">
        <v>781020012</v>
      </c>
      <c r="B65" s="50" t="s">
        <v>165</v>
      </c>
      <c r="C65" s="51" t="s">
        <v>100</v>
      </c>
      <c r="D65" s="52"/>
      <c r="E65" s="53" t="s">
        <v>78</v>
      </c>
      <c r="F65" s="53"/>
      <c r="G65" s="53"/>
      <c r="H65" s="53"/>
      <c r="I65" s="53"/>
      <c r="J65" s="66"/>
      <c r="K65" s="66"/>
      <c r="L65" s="66"/>
      <c r="M65" s="66" t="s">
        <v>101</v>
      </c>
      <c r="N65" s="66"/>
      <c r="O65" s="52" t="s">
        <v>79</v>
      </c>
      <c r="P65" s="53" t="s">
        <v>102</v>
      </c>
      <c r="Q65" s="53">
        <v>50</v>
      </c>
      <c r="R65" s="53">
        <v>0</v>
      </c>
      <c r="S65" s="53"/>
      <c r="T65" s="53"/>
      <c r="U65" s="53"/>
      <c r="V65" s="71" t="s">
        <v>81</v>
      </c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82"/>
    </row>
    <row r="66" spans="1:77" s="8" customFormat="1" x14ac:dyDescent="0.15">
      <c r="A66" s="49">
        <v>781030011</v>
      </c>
      <c r="B66" s="50" t="s">
        <v>166</v>
      </c>
      <c r="C66" s="51" t="s">
        <v>129</v>
      </c>
      <c r="D66" s="52"/>
      <c r="E66" s="53" t="s">
        <v>78</v>
      </c>
      <c r="F66" s="53"/>
      <c r="G66" s="53"/>
      <c r="H66" s="53"/>
      <c r="I66" s="53"/>
      <c r="J66" s="66"/>
      <c r="K66" s="66"/>
      <c r="L66" s="66"/>
      <c r="M66" s="66" t="s">
        <v>101</v>
      </c>
      <c r="N66" s="66"/>
      <c r="O66" s="52" t="s">
        <v>79</v>
      </c>
      <c r="P66" s="53" t="s">
        <v>167</v>
      </c>
      <c r="Q66" s="53">
        <v>0</v>
      </c>
      <c r="R66" s="53"/>
      <c r="S66" s="53"/>
      <c r="T66" s="53"/>
      <c r="U66" s="53"/>
      <c r="V66" s="71" t="s">
        <v>81</v>
      </c>
      <c r="W66" s="53" t="s">
        <v>168</v>
      </c>
      <c r="X66" s="53" t="s">
        <v>169</v>
      </c>
      <c r="Y66" s="53" t="s">
        <v>170</v>
      </c>
      <c r="Z66" s="53" t="s">
        <v>171</v>
      </c>
      <c r="AA66" s="53">
        <v>250</v>
      </c>
      <c r="AB66" s="53">
        <v>5000</v>
      </c>
      <c r="AC66" s="53"/>
      <c r="AD66" s="53"/>
      <c r="AE66" s="53"/>
      <c r="AF66" s="53"/>
      <c r="AG66" s="53"/>
      <c r="AH66" s="53"/>
      <c r="AI66" s="53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6"/>
      <c r="BB66" s="56"/>
      <c r="BC66" s="56"/>
      <c r="BD66" s="53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3"/>
      <c r="BV66" s="53"/>
      <c r="BW66" s="53"/>
      <c r="BX66" s="53"/>
      <c r="BY66" s="82"/>
    </row>
    <row r="67" spans="1:77" s="8" customFormat="1" x14ac:dyDescent="0.15">
      <c r="A67" s="49">
        <v>781030012</v>
      </c>
      <c r="B67" s="50" t="s">
        <v>172</v>
      </c>
      <c r="C67" s="51" t="s">
        <v>100</v>
      </c>
      <c r="D67" s="52"/>
      <c r="E67" s="53" t="s">
        <v>85</v>
      </c>
      <c r="F67" s="53">
        <v>60000</v>
      </c>
      <c r="G67" s="53">
        <v>150000</v>
      </c>
      <c r="H67" s="53"/>
      <c r="I67" s="53">
        <v>75000</v>
      </c>
      <c r="J67" s="66"/>
      <c r="K67" s="66"/>
      <c r="L67" s="66"/>
      <c r="M67" s="66" t="s">
        <v>101</v>
      </c>
      <c r="N67" s="66"/>
      <c r="O67" s="52" t="s">
        <v>79</v>
      </c>
      <c r="P67" s="53" t="s">
        <v>167</v>
      </c>
      <c r="Q67" s="53">
        <v>0</v>
      </c>
      <c r="R67" s="53"/>
      <c r="S67" s="53"/>
      <c r="T67" s="53"/>
      <c r="U67" s="53"/>
      <c r="V67" s="71" t="s">
        <v>81</v>
      </c>
      <c r="W67" s="53" t="s">
        <v>168</v>
      </c>
      <c r="X67" s="53" t="s">
        <v>169</v>
      </c>
      <c r="Y67" s="53" t="s">
        <v>170</v>
      </c>
      <c r="Z67" s="53" t="s">
        <v>171</v>
      </c>
      <c r="AA67" s="53">
        <v>250</v>
      </c>
      <c r="AB67" s="53">
        <v>5000</v>
      </c>
      <c r="AC67" s="53"/>
      <c r="AD67" s="53"/>
      <c r="AE67" s="53"/>
      <c r="AF67" s="53"/>
      <c r="AG67" s="53"/>
      <c r="AH67" s="53"/>
      <c r="AI67" s="53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6"/>
      <c r="BB67" s="56"/>
      <c r="BC67" s="56"/>
      <c r="BD67" s="53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3"/>
      <c r="BV67" s="53"/>
      <c r="BW67" s="53"/>
      <c r="BX67" s="53"/>
      <c r="BY67" s="82"/>
    </row>
    <row r="68" spans="1:77" s="8" customFormat="1" x14ac:dyDescent="0.15">
      <c r="A68" s="49">
        <v>781030013</v>
      </c>
      <c r="B68" s="50" t="s">
        <v>173</v>
      </c>
      <c r="C68" s="51" t="s">
        <v>89</v>
      </c>
      <c r="D68" s="52"/>
      <c r="E68" s="53" t="s">
        <v>78</v>
      </c>
      <c r="F68" s="53"/>
      <c r="G68" s="53"/>
      <c r="H68" s="53"/>
      <c r="I68" s="53"/>
      <c r="J68" s="66"/>
      <c r="K68" s="66"/>
      <c r="L68" s="66"/>
      <c r="M68" s="66"/>
      <c r="N68" s="66"/>
      <c r="O68" s="52" t="s">
        <v>90</v>
      </c>
      <c r="P68" s="53"/>
      <c r="Q68" s="53"/>
      <c r="R68" s="53"/>
      <c r="S68" s="53"/>
      <c r="T68" s="53"/>
      <c r="U68" s="53"/>
      <c r="V68" s="71"/>
      <c r="W68" s="53"/>
      <c r="X68" s="53"/>
      <c r="Y68" s="53"/>
      <c r="Z68" s="53"/>
      <c r="AA68" s="53"/>
      <c r="AB68" s="53"/>
      <c r="AC68" s="53">
        <v>920030101</v>
      </c>
      <c r="AD68" s="53"/>
      <c r="AE68" s="53"/>
      <c r="AF68" s="53"/>
      <c r="AG68" s="53"/>
      <c r="AH68" s="53"/>
      <c r="AI68" s="53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6"/>
      <c r="BB68" s="56"/>
      <c r="BC68" s="56"/>
      <c r="BD68" s="53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3"/>
      <c r="BV68" s="53"/>
      <c r="BW68" s="53"/>
      <c r="BX68" s="53"/>
      <c r="BY68" s="82"/>
    </row>
    <row r="69" spans="1:77" s="8" customFormat="1" x14ac:dyDescent="0.15">
      <c r="A69" s="54">
        <v>800300011</v>
      </c>
      <c r="B69" s="55" t="s">
        <v>174</v>
      </c>
      <c r="C69" s="51" t="s">
        <v>89</v>
      </c>
      <c r="D69" s="51"/>
      <c r="E69" s="56" t="s">
        <v>83</v>
      </c>
      <c r="F69" s="56">
        <v>100000</v>
      </c>
      <c r="G69" s="56"/>
      <c r="H69" s="56"/>
      <c r="I69" s="56"/>
      <c r="J69" s="67"/>
      <c r="K69" s="67"/>
      <c r="L69" s="67"/>
      <c r="M69" s="67"/>
      <c r="N69" s="67"/>
      <c r="O69" s="51" t="s">
        <v>98</v>
      </c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>
        <v>80030001</v>
      </c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83"/>
    </row>
    <row r="70" spans="1:77" s="8" customFormat="1" x14ac:dyDescent="0.15">
      <c r="A70" s="54">
        <v>802300011</v>
      </c>
      <c r="B70" s="55" t="s">
        <v>159</v>
      </c>
      <c r="C70" s="51" t="s">
        <v>89</v>
      </c>
      <c r="D70" s="51"/>
      <c r="E70" s="56" t="s">
        <v>83</v>
      </c>
      <c r="F70" s="56">
        <v>150000</v>
      </c>
      <c r="G70" s="56"/>
      <c r="H70" s="56"/>
      <c r="I70" s="56"/>
      <c r="J70" s="67"/>
      <c r="K70" s="67"/>
      <c r="L70" s="67"/>
      <c r="M70" s="67"/>
      <c r="N70" s="67"/>
      <c r="O70" s="51" t="s">
        <v>98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>
        <v>80230001</v>
      </c>
      <c r="AF70" s="56"/>
      <c r="AG70" s="56"/>
      <c r="AH70" s="56"/>
      <c r="AI70" s="56"/>
      <c r="AJ70" s="56" t="s">
        <v>98</v>
      </c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>
        <v>80230002</v>
      </c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83"/>
    </row>
    <row r="71" spans="1:77" s="8" customFormat="1" x14ac:dyDescent="0.15">
      <c r="A71" s="54">
        <v>802300012</v>
      </c>
      <c r="B71" s="55" t="s">
        <v>160</v>
      </c>
      <c r="C71" s="49" t="s">
        <v>112</v>
      </c>
      <c r="D71" s="51"/>
      <c r="E71" s="56" t="s">
        <v>78</v>
      </c>
      <c r="F71" s="56"/>
      <c r="G71" s="56"/>
      <c r="H71" s="56"/>
      <c r="I71" s="56"/>
      <c r="J71" s="67"/>
      <c r="K71" s="67"/>
      <c r="L71" s="67"/>
      <c r="M71" s="67"/>
      <c r="N71" s="67"/>
      <c r="O71" s="51" t="s">
        <v>90</v>
      </c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>
        <v>802300301</v>
      </c>
      <c r="AD71" s="56">
        <v>802300201</v>
      </c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83"/>
    </row>
    <row r="72" spans="1:77" s="8" customFormat="1" ht="14.25" customHeight="1" x14ac:dyDescent="0.15">
      <c r="A72" s="54">
        <v>802001011</v>
      </c>
      <c r="B72" s="84" t="s">
        <v>175</v>
      </c>
      <c r="C72" s="54" t="s">
        <v>77</v>
      </c>
      <c r="D72" s="54"/>
      <c r="E72" s="54" t="s">
        <v>83</v>
      </c>
      <c r="F72" s="54">
        <v>30000</v>
      </c>
      <c r="G72" s="54"/>
      <c r="H72" s="54"/>
      <c r="I72" s="54"/>
      <c r="J72" s="67"/>
      <c r="K72" s="67"/>
      <c r="L72" s="67"/>
      <c r="M72" s="67" t="s">
        <v>101</v>
      </c>
      <c r="N72" s="67"/>
      <c r="O72" s="54" t="s">
        <v>79</v>
      </c>
      <c r="P72" s="54" t="s">
        <v>80</v>
      </c>
      <c r="Q72" s="54"/>
      <c r="R72" s="54">
        <v>10000</v>
      </c>
      <c r="S72" s="54"/>
      <c r="T72" s="54"/>
      <c r="U72" s="54"/>
      <c r="V72" s="54" t="s">
        <v>81</v>
      </c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100"/>
    </row>
    <row r="73" spans="1:77" s="8" customFormat="1" x14ac:dyDescent="0.15">
      <c r="A73" s="54">
        <v>803300011</v>
      </c>
      <c r="B73" s="55" t="s">
        <v>159</v>
      </c>
      <c r="C73" s="51" t="s">
        <v>89</v>
      </c>
      <c r="D73" s="51"/>
      <c r="E73" s="56" t="s">
        <v>83</v>
      </c>
      <c r="F73" s="56">
        <v>150000</v>
      </c>
      <c r="G73" s="56"/>
      <c r="H73" s="56"/>
      <c r="I73" s="56"/>
      <c r="J73" s="67"/>
      <c r="K73" s="67"/>
      <c r="L73" s="67"/>
      <c r="M73" s="67"/>
      <c r="N73" s="67"/>
      <c r="O73" s="51" t="s">
        <v>98</v>
      </c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>
        <v>80330001</v>
      </c>
      <c r="AF73" s="56"/>
      <c r="AG73" s="56"/>
      <c r="AH73" s="56"/>
      <c r="AI73" s="56"/>
      <c r="AJ73" s="56" t="s">
        <v>98</v>
      </c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>
        <v>80330002</v>
      </c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83"/>
    </row>
    <row r="74" spans="1:77" s="8" customFormat="1" x14ac:dyDescent="0.15">
      <c r="A74" s="54">
        <v>803300012</v>
      </c>
      <c r="B74" s="55" t="s">
        <v>160</v>
      </c>
      <c r="C74" s="49" t="s">
        <v>112</v>
      </c>
      <c r="D74" s="51"/>
      <c r="E74" s="56" t="s">
        <v>78</v>
      </c>
      <c r="F74" s="56"/>
      <c r="G74" s="56"/>
      <c r="H74" s="56"/>
      <c r="I74" s="56"/>
      <c r="J74" s="67"/>
      <c r="K74" s="67"/>
      <c r="L74" s="67"/>
      <c r="M74" s="67"/>
      <c r="N74" s="67"/>
      <c r="O74" s="51" t="s">
        <v>90</v>
      </c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>
        <v>803300301</v>
      </c>
      <c r="AD74" s="56">
        <v>803300201</v>
      </c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83"/>
    </row>
    <row r="75" spans="1:77" s="8" customFormat="1" ht="14.25" customHeight="1" x14ac:dyDescent="0.15">
      <c r="A75" s="54">
        <v>803001011</v>
      </c>
      <c r="B75" s="84" t="s">
        <v>175</v>
      </c>
      <c r="C75" s="54" t="s">
        <v>77</v>
      </c>
      <c r="D75" s="54"/>
      <c r="E75" s="54" t="s">
        <v>83</v>
      </c>
      <c r="F75" s="54">
        <v>30000</v>
      </c>
      <c r="G75" s="54"/>
      <c r="H75" s="54"/>
      <c r="I75" s="54"/>
      <c r="J75" s="67"/>
      <c r="K75" s="67"/>
      <c r="L75" s="67"/>
      <c r="M75" s="67"/>
      <c r="N75" s="67"/>
      <c r="O75" s="54" t="s">
        <v>79</v>
      </c>
      <c r="P75" s="54" t="s">
        <v>80</v>
      </c>
      <c r="Q75" s="54"/>
      <c r="R75" s="54">
        <v>10000</v>
      </c>
      <c r="S75" s="54"/>
      <c r="T75" s="54"/>
      <c r="U75" s="54"/>
      <c r="V75" s="54" t="s">
        <v>81</v>
      </c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100"/>
    </row>
    <row r="76" spans="1:77" s="8" customFormat="1" x14ac:dyDescent="0.15">
      <c r="A76" s="54">
        <v>804300011</v>
      </c>
      <c r="B76" s="84" t="s">
        <v>176</v>
      </c>
      <c r="C76" s="54" t="s">
        <v>89</v>
      </c>
      <c r="D76" s="54"/>
      <c r="E76" s="54" t="s">
        <v>83</v>
      </c>
      <c r="F76" s="54">
        <v>20000</v>
      </c>
      <c r="G76" s="54"/>
      <c r="H76" s="54"/>
      <c r="I76" s="54"/>
      <c r="J76" s="67"/>
      <c r="K76" s="67"/>
      <c r="L76" s="67"/>
      <c r="M76" s="67"/>
      <c r="N76" s="67"/>
      <c r="O76" s="54" t="s">
        <v>98</v>
      </c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>
        <v>80430001</v>
      </c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100"/>
    </row>
    <row r="77" spans="1:77" s="8" customFormat="1" x14ac:dyDescent="0.15">
      <c r="A77" s="54">
        <v>804300012</v>
      </c>
      <c r="B77" s="84" t="s">
        <v>177</v>
      </c>
      <c r="C77" s="54" t="s">
        <v>89</v>
      </c>
      <c r="D77" s="54"/>
      <c r="E77" s="54" t="s">
        <v>78</v>
      </c>
      <c r="F77" s="54"/>
      <c r="G77" s="54"/>
      <c r="H77" s="54"/>
      <c r="I77" s="54"/>
      <c r="J77" s="67"/>
      <c r="K77" s="67"/>
      <c r="L77" s="67"/>
      <c r="M77" s="67"/>
      <c r="N77" s="67"/>
      <c r="O77" s="54" t="s">
        <v>90</v>
      </c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>
        <v>804300101</v>
      </c>
      <c r="AD77" s="54">
        <v>804300101</v>
      </c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100"/>
    </row>
    <row r="78" spans="1:77" s="8" customFormat="1" x14ac:dyDescent="0.15">
      <c r="A78" s="54">
        <v>804300013</v>
      </c>
      <c r="B78" s="55" t="s">
        <v>178</v>
      </c>
      <c r="C78" s="54" t="s">
        <v>179</v>
      </c>
      <c r="D78" s="51"/>
      <c r="E78" s="56" t="s">
        <v>78</v>
      </c>
      <c r="F78" s="56"/>
      <c r="G78" s="56"/>
      <c r="H78" s="56"/>
      <c r="I78" s="56"/>
      <c r="J78" s="67"/>
      <c r="K78" s="67"/>
      <c r="L78" s="67"/>
      <c r="M78" s="67"/>
      <c r="N78" s="67"/>
      <c r="O78" s="51" t="s">
        <v>90</v>
      </c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>
        <v>804300301</v>
      </c>
      <c r="AD78" s="56">
        <v>804300201</v>
      </c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83"/>
    </row>
    <row r="79" spans="1:77" s="8" customFormat="1" x14ac:dyDescent="0.15">
      <c r="A79" s="10">
        <v>818001011</v>
      </c>
      <c r="B79" s="85" t="s">
        <v>180</v>
      </c>
      <c r="C79" s="86" t="s">
        <v>77</v>
      </c>
      <c r="D79" s="86"/>
      <c r="E79" s="86" t="s">
        <v>78</v>
      </c>
      <c r="F79" s="86"/>
      <c r="G79" s="86"/>
      <c r="H79" s="86"/>
      <c r="I79" s="86"/>
      <c r="J79" s="95"/>
      <c r="K79" s="95"/>
      <c r="L79" s="95"/>
      <c r="M79" s="95"/>
      <c r="N79" s="95"/>
      <c r="O79" s="86" t="s">
        <v>79</v>
      </c>
      <c r="P79" s="86" t="s">
        <v>80</v>
      </c>
      <c r="Q79" s="86"/>
      <c r="R79" s="86">
        <v>10000</v>
      </c>
      <c r="S79" s="86"/>
      <c r="T79" s="86">
        <v>10000</v>
      </c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99"/>
      <c r="AY79" s="99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/>
      <c r="BK79" s="86"/>
      <c r="BL79" s="86"/>
      <c r="BM79" s="86"/>
      <c r="BN79" s="86"/>
      <c r="BO79" s="86"/>
      <c r="BP79" s="86"/>
      <c r="BQ79" s="86"/>
      <c r="BR79" s="86"/>
      <c r="BS79" s="86"/>
      <c r="BT79" s="86"/>
      <c r="BU79" s="86"/>
      <c r="BV79" s="86"/>
      <c r="BW79" s="86"/>
      <c r="BX79" s="86"/>
      <c r="BY79" s="101"/>
    </row>
    <row r="80" spans="1:77" s="8" customFormat="1" x14ac:dyDescent="0.15">
      <c r="A80" s="10">
        <v>818200011</v>
      </c>
      <c r="B80" s="85" t="s">
        <v>181</v>
      </c>
      <c r="C80" s="86" t="s">
        <v>89</v>
      </c>
      <c r="D80" s="86"/>
      <c r="E80" s="86" t="s">
        <v>83</v>
      </c>
      <c r="F80" s="86">
        <v>50000</v>
      </c>
      <c r="G80" s="86"/>
      <c r="H80" s="86"/>
      <c r="I80" s="86"/>
      <c r="J80" s="95"/>
      <c r="K80" s="95"/>
      <c r="L80" s="95"/>
      <c r="M80" s="95" t="s">
        <v>101</v>
      </c>
      <c r="N80" s="95"/>
      <c r="O80" s="86" t="s">
        <v>98</v>
      </c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>
        <v>81820001</v>
      </c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99"/>
      <c r="AY80" s="99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/>
      <c r="BK80" s="86"/>
      <c r="BL80" s="86"/>
      <c r="BM80" s="86"/>
      <c r="BN80" s="86"/>
      <c r="BO80" s="86"/>
      <c r="BP80" s="86"/>
      <c r="BQ80" s="86"/>
      <c r="BR80" s="86"/>
      <c r="BS80" s="86"/>
      <c r="BT80" s="86"/>
      <c r="BU80" s="86"/>
      <c r="BV80" s="86"/>
      <c r="BW80" s="86"/>
      <c r="BX80" s="86"/>
      <c r="BY80" s="101"/>
    </row>
    <row r="81" spans="1:77" s="8" customFormat="1" x14ac:dyDescent="0.15">
      <c r="A81" s="10">
        <v>819200011</v>
      </c>
      <c r="B81" s="85" t="s">
        <v>181</v>
      </c>
      <c r="C81" s="86" t="s">
        <v>89</v>
      </c>
      <c r="D81" s="86"/>
      <c r="E81" s="86" t="s">
        <v>83</v>
      </c>
      <c r="F81" s="86">
        <v>50000</v>
      </c>
      <c r="G81" s="86"/>
      <c r="H81" s="86"/>
      <c r="I81" s="86"/>
      <c r="J81" s="95"/>
      <c r="K81" s="95"/>
      <c r="L81" s="95"/>
      <c r="M81" s="95" t="s">
        <v>101</v>
      </c>
      <c r="N81" s="95"/>
      <c r="O81" s="86" t="s">
        <v>98</v>
      </c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>
        <v>81920001</v>
      </c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99"/>
      <c r="AY81" s="99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/>
      <c r="BK81" s="86"/>
      <c r="BL81" s="86"/>
      <c r="BM81" s="86"/>
      <c r="BN81" s="86"/>
      <c r="BO81" s="86"/>
      <c r="BP81" s="86"/>
      <c r="BQ81" s="86"/>
      <c r="BR81" s="86"/>
      <c r="BS81" s="86"/>
      <c r="BT81" s="86"/>
      <c r="BU81" s="86"/>
      <c r="BV81" s="86"/>
      <c r="BW81" s="86"/>
      <c r="BX81" s="86"/>
      <c r="BY81" s="101"/>
    </row>
    <row r="82" spans="1:77" s="8" customFormat="1" x14ac:dyDescent="0.15">
      <c r="A82" s="10">
        <v>818200012</v>
      </c>
      <c r="B82" s="85" t="s">
        <v>182</v>
      </c>
      <c r="C82" s="86" t="s">
        <v>100</v>
      </c>
      <c r="D82" s="86"/>
      <c r="E82" s="86" t="s">
        <v>78</v>
      </c>
      <c r="F82" s="86"/>
      <c r="G82" s="86"/>
      <c r="H82" s="86"/>
      <c r="I82" s="86"/>
      <c r="J82" s="95"/>
      <c r="K82" s="95"/>
      <c r="L82" s="95"/>
      <c r="M82" s="95" t="s">
        <v>101</v>
      </c>
      <c r="N82" s="95"/>
      <c r="O82" s="86" t="s">
        <v>79</v>
      </c>
      <c r="P82" s="86" t="s">
        <v>102</v>
      </c>
      <c r="Q82" s="86">
        <v>30</v>
      </c>
      <c r="R82" s="86"/>
      <c r="S82" s="86">
        <v>1000</v>
      </c>
      <c r="T82" s="86"/>
      <c r="U82" s="86">
        <v>5000</v>
      </c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99"/>
      <c r="AY82" s="99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/>
      <c r="BK82" s="86"/>
      <c r="BL82" s="86"/>
      <c r="BM82" s="86"/>
      <c r="BN82" s="86"/>
      <c r="BO82" s="86"/>
      <c r="BP82" s="86"/>
      <c r="BQ82" s="86"/>
      <c r="BR82" s="86"/>
      <c r="BS82" s="86"/>
      <c r="BT82" s="86"/>
      <c r="BU82" s="86"/>
      <c r="BV82" s="86"/>
      <c r="BW82" s="86"/>
      <c r="BX82" s="86"/>
      <c r="BY82" s="101"/>
    </row>
    <row r="83" spans="1:77" s="8" customFormat="1" x14ac:dyDescent="0.15">
      <c r="A83" s="10">
        <v>819200012</v>
      </c>
      <c r="B83" s="85" t="s">
        <v>182</v>
      </c>
      <c r="C83" s="86" t="s">
        <v>100</v>
      </c>
      <c r="D83" s="86"/>
      <c r="E83" s="86" t="s">
        <v>78</v>
      </c>
      <c r="F83" s="86"/>
      <c r="G83" s="86"/>
      <c r="H83" s="86"/>
      <c r="I83" s="86"/>
      <c r="J83" s="95"/>
      <c r="K83" s="95"/>
      <c r="L83" s="95"/>
      <c r="M83" s="95" t="s">
        <v>101</v>
      </c>
      <c r="N83" s="95"/>
      <c r="O83" s="86" t="s">
        <v>79</v>
      </c>
      <c r="P83" s="86" t="s">
        <v>102</v>
      </c>
      <c r="Q83" s="86">
        <v>48</v>
      </c>
      <c r="R83" s="86"/>
      <c r="S83" s="86">
        <v>1000</v>
      </c>
      <c r="T83" s="86"/>
      <c r="U83" s="86">
        <v>5000</v>
      </c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99"/>
      <c r="AY83" s="99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86"/>
      <c r="BM83" s="86"/>
      <c r="BN83" s="86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101"/>
    </row>
    <row r="84" spans="1:77" s="8" customFormat="1" x14ac:dyDescent="0.15">
      <c r="A84" s="10">
        <v>820200011</v>
      </c>
      <c r="B84" s="85" t="s">
        <v>183</v>
      </c>
      <c r="C84" s="86" t="s">
        <v>89</v>
      </c>
      <c r="D84" s="86"/>
      <c r="E84" s="86" t="s">
        <v>83</v>
      </c>
      <c r="F84" s="86">
        <v>20000</v>
      </c>
      <c r="G84" s="86"/>
      <c r="H84" s="86"/>
      <c r="I84" s="86"/>
      <c r="J84" s="95"/>
      <c r="K84" s="95"/>
      <c r="L84" s="95"/>
      <c r="M84" s="95" t="s">
        <v>101</v>
      </c>
      <c r="N84" s="95"/>
      <c r="O84" s="86" t="s">
        <v>98</v>
      </c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>
        <v>82020001</v>
      </c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99"/>
      <c r="AY84" s="99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/>
      <c r="BL84" s="86"/>
      <c r="BM84" s="86"/>
      <c r="BN84" s="86"/>
      <c r="BO84" s="86"/>
      <c r="BP84" s="86"/>
      <c r="BQ84" s="86"/>
      <c r="BR84" s="86"/>
      <c r="BS84" s="86"/>
      <c r="BT84" s="86"/>
      <c r="BU84" s="86"/>
      <c r="BV84" s="86"/>
      <c r="BW84" s="86"/>
      <c r="BX84" s="86"/>
      <c r="BY84" s="101"/>
    </row>
    <row r="85" spans="1:77" s="8" customFormat="1" x14ac:dyDescent="0.15">
      <c r="A85" s="10">
        <v>821200011</v>
      </c>
      <c r="B85" s="85" t="s">
        <v>183</v>
      </c>
      <c r="C85" s="86" t="s">
        <v>89</v>
      </c>
      <c r="D85" s="86"/>
      <c r="E85" s="86" t="s">
        <v>83</v>
      </c>
      <c r="F85" s="86">
        <v>20000</v>
      </c>
      <c r="G85" s="86"/>
      <c r="H85" s="86"/>
      <c r="I85" s="86"/>
      <c r="J85" s="95"/>
      <c r="K85" s="95"/>
      <c r="L85" s="95"/>
      <c r="M85" s="95" t="s">
        <v>101</v>
      </c>
      <c r="N85" s="95"/>
      <c r="O85" s="86" t="s">
        <v>98</v>
      </c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>
        <v>82120001</v>
      </c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99"/>
      <c r="AY85" s="99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/>
      <c r="BK85" s="86"/>
      <c r="BL85" s="86"/>
      <c r="BM85" s="86"/>
      <c r="BN85" s="86"/>
      <c r="BO85" s="86"/>
      <c r="BP85" s="86"/>
      <c r="BQ85" s="86"/>
      <c r="BR85" s="86"/>
      <c r="BS85" s="86"/>
      <c r="BT85" s="86"/>
      <c r="BU85" s="86"/>
      <c r="BV85" s="86"/>
      <c r="BW85" s="86"/>
      <c r="BX85" s="86"/>
      <c r="BY85" s="101"/>
    </row>
    <row r="86" spans="1:77" s="8" customFormat="1" x14ac:dyDescent="0.15">
      <c r="A86" s="10">
        <v>822200011</v>
      </c>
      <c r="B86" s="85" t="s">
        <v>183</v>
      </c>
      <c r="C86" s="86" t="s">
        <v>89</v>
      </c>
      <c r="D86" s="86"/>
      <c r="E86" s="86" t="s">
        <v>83</v>
      </c>
      <c r="F86" s="86">
        <v>20000</v>
      </c>
      <c r="G86" s="86"/>
      <c r="H86" s="86"/>
      <c r="I86" s="86"/>
      <c r="J86" s="95"/>
      <c r="K86" s="95"/>
      <c r="L86" s="95"/>
      <c r="M86" s="95" t="s">
        <v>101</v>
      </c>
      <c r="N86" s="95"/>
      <c r="O86" s="86" t="s">
        <v>98</v>
      </c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>
        <v>82220001</v>
      </c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99"/>
      <c r="AY86" s="99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/>
      <c r="BK86" s="86"/>
      <c r="BL86" s="86"/>
      <c r="BM86" s="86"/>
      <c r="BN86" s="86"/>
      <c r="BO86" s="86"/>
      <c r="BP86" s="86"/>
      <c r="BQ86" s="86"/>
      <c r="BR86" s="86"/>
      <c r="BS86" s="86"/>
      <c r="BT86" s="86"/>
      <c r="BU86" s="86"/>
      <c r="BV86" s="86"/>
      <c r="BW86" s="86"/>
      <c r="BX86" s="86"/>
      <c r="BY86" s="101"/>
    </row>
    <row r="87" spans="1:77" s="8" customFormat="1" x14ac:dyDescent="0.15">
      <c r="A87" s="10">
        <v>823200011</v>
      </c>
      <c r="B87" s="85" t="s">
        <v>183</v>
      </c>
      <c r="C87" s="86" t="s">
        <v>89</v>
      </c>
      <c r="D87" s="86"/>
      <c r="E87" s="86" t="s">
        <v>83</v>
      </c>
      <c r="F87" s="86">
        <v>20000</v>
      </c>
      <c r="G87" s="86"/>
      <c r="H87" s="86"/>
      <c r="I87" s="86"/>
      <c r="J87" s="95"/>
      <c r="K87" s="95"/>
      <c r="L87" s="95"/>
      <c r="M87" s="95" t="s">
        <v>101</v>
      </c>
      <c r="N87" s="95"/>
      <c r="O87" s="86" t="s">
        <v>98</v>
      </c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>
        <v>82320001</v>
      </c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99"/>
      <c r="AY87" s="99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/>
      <c r="BK87" s="86"/>
      <c r="BL87" s="86"/>
      <c r="BM87" s="86"/>
      <c r="BN87" s="86"/>
      <c r="BO87" s="86"/>
      <c r="BP87" s="86"/>
      <c r="BQ87" s="86"/>
      <c r="BR87" s="86"/>
      <c r="BS87" s="86"/>
      <c r="BT87" s="86"/>
      <c r="BU87" s="86"/>
      <c r="BV87" s="86"/>
      <c r="BW87" s="86"/>
      <c r="BX87" s="86"/>
      <c r="BY87" s="101"/>
    </row>
    <row r="88" spans="1:77" s="8" customFormat="1" x14ac:dyDescent="0.15">
      <c r="A88" s="10">
        <v>820200012</v>
      </c>
      <c r="B88" s="85" t="s">
        <v>184</v>
      </c>
      <c r="C88" s="86" t="s">
        <v>100</v>
      </c>
      <c r="D88" s="86"/>
      <c r="E88" s="86" t="s">
        <v>78</v>
      </c>
      <c r="F88" s="86"/>
      <c r="G88" s="86"/>
      <c r="H88" s="86"/>
      <c r="I88" s="86"/>
      <c r="J88" s="95"/>
      <c r="K88" s="95"/>
      <c r="L88" s="95"/>
      <c r="M88" s="95" t="s">
        <v>101</v>
      </c>
      <c r="N88" s="95"/>
      <c r="O88" s="86" t="s">
        <v>79</v>
      </c>
      <c r="P88" s="86" t="s">
        <v>102</v>
      </c>
      <c r="Q88" s="86">
        <v>150</v>
      </c>
      <c r="R88" s="86">
        <v>3000</v>
      </c>
      <c r="S88" s="86"/>
      <c r="T88" s="86"/>
      <c r="U88" s="86">
        <v>5000</v>
      </c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 t="s">
        <v>90</v>
      </c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>
        <v>820100201</v>
      </c>
      <c r="AY88" s="86">
        <v>820100101</v>
      </c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/>
      <c r="BK88" s="86"/>
      <c r="BL88" s="86"/>
      <c r="BM88" s="86"/>
      <c r="BN88" s="86"/>
      <c r="BO88" s="86"/>
      <c r="BP88" s="86"/>
      <c r="BQ88" s="86"/>
      <c r="BR88" s="86"/>
      <c r="BS88" s="86"/>
      <c r="BT88" s="86"/>
      <c r="BU88" s="86"/>
      <c r="BV88" s="86"/>
      <c r="BW88" s="86"/>
      <c r="BX88" s="86"/>
      <c r="BY88" s="101"/>
    </row>
    <row r="89" spans="1:77" s="8" customFormat="1" x14ac:dyDescent="0.15">
      <c r="A89" s="10">
        <v>821200012</v>
      </c>
      <c r="B89" s="85" t="s">
        <v>184</v>
      </c>
      <c r="C89" s="86" t="s">
        <v>100</v>
      </c>
      <c r="D89" s="86"/>
      <c r="E89" s="86" t="s">
        <v>78</v>
      </c>
      <c r="F89" s="86"/>
      <c r="G89" s="86"/>
      <c r="H89" s="86"/>
      <c r="I89" s="86"/>
      <c r="J89" s="95"/>
      <c r="K89" s="95"/>
      <c r="L89" s="95"/>
      <c r="M89" s="95" t="s">
        <v>101</v>
      </c>
      <c r="N89" s="95"/>
      <c r="O89" s="86" t="s">
        <v>79</v>
      </c>
      <c r="P89" s="86" t="s">
        <v>102</v>
      </c>
      <c r="Q89" s="86">
        <v>200</v>
      </c>
      <c r="R89" s="86">
        <v>3000</v>
      </c>
      <c r="S89" s="86"/>
      <c r="T89" s="86"/>
      <c r="U89" s="86">
        <v>5000</v>
      </c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 t="s">
        <v>90</v>
      </c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>
        <v>821100201</v>
      </c>
      <c r="AY89" s="86">
        <v>821100101</v>
      </c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/>
      <c r="BK89" s="86"/>
      <c r="BL89" s="86"/>
      <c r="BM89" s="86"/>
      <c r="BN89" s="86"/>
      <c r="BO89" s="86"/>
      <c r="BP89" s="86"/>
      <c r="BQ89" s="86"/>
      <c r="BR89" s="86"/>
      <c r="BS89" s="86"/>
      <c r="BT89" s="86"/>
      <c r="BU89" s="86"/>
      <c r="BV89" s="86"/>
      <c r="BW89" s="86"/>
      <c r="BX89" s="86"/>
      <c r="BY89" s="101"/>
    </row>
    <row r="90" spans="1:77" s="8" customFormat="1" x14ac:dyDescent="0.15">
      <c r="A90" s="10">
        <v>822200012</v>
      </c>
      <c r="B90" s="85" t="s">
        <v>184</v>
      </c>
      <c r="C90" s="86" t="s">
        <v>100</v>
      </c>
      <c r="D90" s="86"/>
      <c r="E90" s="86" t="s">
        <v>78</v>
      </c>
      <c r="F90" s="86"/>
      <c r="G90" s="86"/>
      <c r="H90" s="86"/>
      <c r="I90" s="86"/>
      <c r="J90" s="95"/>
      <c r="K90" s="95"/>
      <c r="L90" s="95"/>
      <c r="M90" s="95" t="s">
        <v>101</v>
      </c>
      <c r="N90" s="95"/>
      <c r="O90" s="86" t="s">
        <v>79</v>
      </c>
      <c r="P90" s="86" t="s">
        <v>102</v>
      </c>
      <c r="Q90" s="86">
        <v>250</v>
      </c>
      <c r="R90" s="86">
        <v>3000</v>
      </c>
      <c r="S90" s="86"/>
      <c r="T90" s="86"/>
      <c r="U90" s="86">
        <v>5000</v>
      </c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 t="s">
        <v>90</v>
      </c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>
        <v>822100201</v>
      </c>
      <c r="AY90" s="86">
        <v>822100101</v>
      </c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/>
      <c r="BK90" s="86"/>
      <c r="BL90" s="86"/>
      <c r="BM90" s="86"/>
      <c r="BN90" s="86"/>
      <c r="BO90" s="86"/>
      <c r="BP90" s="86"/>
      <c r="BQ90" s="86"/>
      <c r="BR90" s="86"/>
      <c r="BS90" s="86"/>
      <c r="BT90" s="86"/>
      <c r="BU90" s="86"/>
      <c r="BV90" s="86"/>
      <c r="BW90" s="86"/>
      <c r="BX90" s="86"/>
      <c r="BY90" s="101"/>
    </row>
    <row r="91" spans="1:77" s="8" customFormat="1" x14ac:dyDescent="0.15">
      <c r="A91" s="10">
        <v>823200012</v>
      </c>
      <c r="B91" s="85" t="s">
        <v>184</v>
      </c>
      <c r="C91" s="86" t="s">
        <v>100</v>
      </c>
      <c r="D91" s="86"/>
      <c r="E91" s="86" t="s">
        <v>78</v>
      </c>
      <c r="F91" s="86"/>
      <c r="G91" s="86"/>
      <c r="H91" s="86"/>
      <c r="I91" s="86"/>
      <c r="J91" s="95"/>
      <c r="K91" s="95"/>
      <c r="L91" s="95"/>
      <c r="M91" s="95" t="s">
        <v>101</v>
      </c>
      <c r="N91" s="95"/>
      <c r="O91" s="86" t="s">
        <v>79</v>
      </c>
      <c r="P91" s="86" t="s">
        <v>102</v>
      </c>
      <c r="Q91" s="86">
        <v>300</v>
      </c>
      <c r="R91" s="86">
        <v>3000</v>
      </c>
      <c r="S91" s="86"/>
      <c r="T91" s="86"/>
      <c r="U91" s="86">
        <v>5000</v>
      </c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 t="s">
        <v>90</v>
      </c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>
        <v>823100201</v>
      </c>
      <c r="AY91" s="86">
        <v>823100101</v>
      </c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/>
      <c r="BK91" s="86"/>
      <c r="BL91" s="86"/>
      <c r="BM91" s="86"/>
      <c r="BN91" s="86"/>
      <c r="BO91" s="86"/>
      <c r="BP91" s="86"/>
      <c r="BQ91" s="86"/>
      <c r="BR91" s="86"/>
      <c r="BS91" s="86"/>
      <c r="BT91" s="86"/>
      <c r="BU91" s="86"/>
      <c r="BV91" s="86"/>
      <c r="BW91" s="86"/>
      <c r="BX91" s="86"/>
      <c r="BY91" s="101"/>
    </row>
    <row r="92" spans="1:77" s="8" customFormat="1" x14ac:dyDescent="0.15">
      <c r="A92" s="10">
        <v>820200013</v>
      </c>
      <c r="B92" s="85" t="s">
        <v>185</v>
      </c>
      <c r="C92" s="86" t="s">
        <v>89</v>
      </c>
      <c r="D92" s="86"/>
      <c r="E92" s="86" t="s">
        <v>78</v>
      </c>
      <c r="F92" s="86"/>
      <c r="G92" s="86"/>
      <c r="H92" s="86"/>
      <c r="I92" s="86"/>
      <c r="J92" s="95"/>
      <c r="K92" s="95"/>
      <c r="L92" s="95"/>
      <c r="M92" s="95"/>
      <c r="N92" s="95"/>
      <c r="O92" s="86" t="s">
        <v>186</v>
      </c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>
        <v>0</v>
      </c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99"/>
      <c r="AY92" s="99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/>
      <c r="BK92" s="86"/>
      <c r="BL92" s="86"/>
      <c r="BM92" s="86"/>
      <c r="BN92" s="86"/>
      <c r="BO92" s="86"/>
      <c r="BP92" s="86"/>
      <c r="BQ92" s="86"/>
      <c r="BR92" s="86"/>
      <c r="BS92" s="86"/>
      <c r="BT92" s="86"/>
      <c r="BU92" s="86"/>
      <c r="BV92" s="86"/>
      <c r="BW92" s="86"/>
      <c r="BX92" s="86"/>
      <c r="BY92" s="101"/>
    </row>
    <row r="93" spans="1:77" s="8" customFormat="1" x14ac:dyDescent="0.15">
      <c r="A93" s="10">
        <v>824001011</v>
      </c>
      <c r="B93" s="85" t="s">
        <v>187</v>
      </c>
      <c r="C93" s="86" t="s">
        <v>77</v>
      </c>
      <c r="D93" s="86"/>
      <c r="E93" s="86" t="s">
        <v>78</v>
      </c>
      <c r="F93" s="86"/>
      <c r="G93" s="86"/>
      <c r="H93" s="86"/>
      <c r="I93" s="86"/>
      <c r="J93" s="95"/>
      <c r="K93" s="95"/>
      <c r="L93" s="95"/>
      <c r="M93" s="95"/>
      <c r="N93" s="95"/>
      <c r="O93" s="86" t="s">
        <v>79</v>
      </c>
      <c r="P93" s="86" t="s">
        <v>80</v>
      </c>
      <c r="Q93" s="86"/>
      <c r="R93" s="86">
        <v>10000</v>
      </c>
      <c r="S93" s="86"/>
      <c r="T93" s="86">
        <v>10000</v>
      </c>
      <c r="U93" s="86"/>
      <c r="V93" s="86" t="s">
        <v>81</v>
      </c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/>
      <c r="BK93" s="86"/>
      <c r="BL93" s="86"/>
      <c r="BM93" s="86"/>
      <c r="BN93" s="86"/>
      <c r="BO93" s="86"/>
      <c r="BP93" s="86"/>
      <c r="BQ93" s="86"/>
      <c r="BR93" s="86"/>
      <c r="BS93" s="86"/>
      <c r="BT93" s="86"/>
      <c r="BU93" s="86"/>
      <c r="BV93" s="86"/>
      <c r="BW93" s="86"/>
      <c r="BX93" s="86"/>
      <c r="BY93" s="101"/>
    </row>
    <row r="94" spans="1:77" s="8" customFormat="1" x14ac:dyDescent="0.15">
      <c r="A94" s="10">
        <v>824001012</v>
      </c>
      <c r="B94" s="85" t="s">
        <v>188</v>
      </c>
      <c r="C94" s="86" t="s">
        <v>100</v>
      </c>
      <c r="D94" s="86"/>
      <c r="E94" s="86" t="s">
        <v>78</v>
      </c>
      <c r="F94" s="86"/>
      <c r="G94" s="86"/>
      <c r="H94" s="86"/>
      <c r="I94" s="86"/>
      <c r="J94" s="95"/>
      <c r="K94" s="95"/>
      <c r="L94" s="95"/>
      <c r="M94" s="95" t="s">
        <v>101</v>
      </c>
      <c r="N94" s="95"/>
      <c r="O94" s="86" t="s">
        <v>90</v>
      </c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>
        <v>824001301</v>
      </c>
      <c r="AD94" s="86">
        <v>824001201</v>
      </c>
      <c r="AE94" s="86"/>
      <c r="AF94" s="86"/>
      <c r="AG94" s="86"/>
      <c r="AH94" s="86"/>
      <c r="AI94" s="86"/>
      <c r="AJ94" s="86" t="s">
        <v>90</v>
      </c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99">
        <v>824001401</v>
      </c>
      <c r="AY94" s="99">
        <v>824001401</v>
      </c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/>
      <c r="BK94" s="86"/>
      <c r="BL94" s="86"/>
      <c r="BM94" s="86"/>
      <c r="BN94" s="86"/>
      <c r="BO94" s="86"/>
      <c r="BP94" s="86"/>
      <c r="BQ94" s="86"/>
      <c r="BR94" s="86"/>
      <c r="BS94" s="86"/>
      <c r="BT94" s="86"/>
      <c r="BU94" s="86"/>
      <c r="BV94" s="86"/>
      <c r="BW94" s="86"/>
      <c r="BX94" s="86"/>
      <c r="BY94" s="101"/>
    </row>
    <row r="95" spans="1:77" s="8" customFormat="1" x14ac:dyDescent="0.15">
      <c r="A95" s="10">
        <v>824001013</v>
      </c>
      <c r="B95" s="85" t="s">
        <v>189</v>
      </c>
      <c r="C95" s="86" t="s">
        <v>100</v>
      </c>
      <c r="D95" s="86"/>
      <c r="E95" s="86" t="s">
        <v>78</v>
      </c>
      <c r="F95" s="86"/>
      <c r="G95" s="86"/>
      <c r="H95" s="86"/>
      <c r="I95" s="86"/>
      <c r="J95" s="95"/>
      <c r="K95" s="95"/>
      <c r="L95" s="95"/>
      <c r="M95" s="95"/>
      <c r="N95" s="95"/>
      <c r="O95" s="86" t="s">
        <v>90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>
        <v>824001101</v>
      </c>
      <c r="AD95" s="86">
        <v>824001101</v>
      </c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99"/>
      <c r="AY95" s="99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/>
      <c r="BK95" s="86"/>
      <c r="BL95" s="86"/>
      <c r="BM95" s="86"/>
      <c r="BN95" s="86"/>
      <c r="BO95" s="86"/>
      <c r="BP95" s="86"/>
      <c r="BQ95" s="86"/>
      <c r="BR95" s="86"/>
      <c r="BS95" s="86"/>
      <c r="BT95" s="86"/>
      <c r="BU95" s="86"/>
      <c r="BV95" s="86"/>
      <c r="BW95" s="86"/>
      <c r="BX95" s="86"/>
      <c r="BY95" s="101"/>
    </row>
    <row r="96" spans="1:77" s="8" customFormat="1" x14ac:dyDescent="0.15">
      <c r="A96" s="10">
        <v>825001011</v>
      </c>
      <c r="B96" s="85" t="s">
        <v>190</v>
      </c>
      <c r="C96" s="86" t="s">
        <v>77</v>
      </c>
      <c r="D96" s="86"/>
      <c r="E96" s="86" t="s">
        <v>78</v>
      </c>
      <c r="F96" s="86"/>
      <c r="G96" s="86"/>
      <c r="H96" s="86"/>
      <c r="I96" s="86"/>
      <c r="J96" s="95"/>
      <c r="K96" s="95"/>
      <c r="L96" s="95"/>
      <c r="M96" s="95"/>
      <c r="N96" s="95"/>
      <c r="O96" s="86" t="s">
        <v>79</v>
      </c>
      <c r="P96" s="86" t="s">
        <v>80</v>
      </c>
      <c r="Q96" s="86"/>
      <c r="R96" s="86">
        <v>10000</v>
      </c>
      <c r="S96" s="86"/>
      <c r="T96" s="86">
        <v>10000</v>
      </c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99"/>
      <c r="AY96" s="99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/>
      <c r="BK96" s="86"/>
      <c r="BL96" s="86"/>
      <c r="BM96" s="86"/>
      <c r="BN96" s="86"/>
      <c r="BO96" s="86"/>
      <c r="BP96" s="86"/>
      <c r="BQ96" s="86"/>
      <c r="BR96" s="86"/>
      <c r="BS96" s="86"/>
      <c r="BT96" s="86"/>
      <c r="BU96" s="86"/>
      <c r="BV96" s="86"/>
      <c r="BW96" s="86"/>
      <c r="BX96" s="86"/>
      <c r="BY96" s="101"/>
    </row>
    <row r="97" spans="1:77" s="8" customFormat="1" x14ac:dyDescent="0.15">
      <c r="A97" s="10">
        <v>829200011</v>
      </c>
      <c r="B97" s="85" t="s">
        <v>191</v>
      </c>
      <c r="C97" s="86" t="s">
        <v>192</v>
      </c>
      <c r="D97" s="86"/>
      <c r="E97" s="86" t="s">
        <v>83</v>
      </c>
      <c r="F97" s="86">
        <v>300000</v>
      </c>
      <c r="G97" s="86"/>
      <c r="H97" s="86"/>
      <c r="I97" s="86"/>
      <c r="J97" s="95"/>
      <c r="K97" s="95"/>
      <c r="L97" s="95"/>
      <c r="M97" s="95"/>
      <c r="N97" s="95"/>
      <c r="O97" s="86" t="s">
        <v>90</v>
      </c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>
        <v>1407040101</v>
      </c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99"/>
      <c r="AY97" s="99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/>
      <c r="BK97" s="86"/>
      <c r="BL97" s="86"/>
      <c r="BM97" s="86"/>
      <c r="BN97" s="86"/>
      <c r="BO97" s="86"/>
      <c r="BP97" s="86"/>
      <c r="BQ97" s="86"/>
      <c r="BR97" s="86"/>
      <c r="BS97" s="86"/>
      <c r="BT97" s="86"/>
      <c r="BU97" s="86"/>
      <c r="BV97" s="86"/>
      <c r="BW97" s="86"/>
      <c r="BX97" s="86"/>
      <c r="BY97" s="101"/>
    </row>
    <row r="98" spans="1:77" s="8" customFormat="1" x14ac:dyDescent="0.15">
      <c r="A98" s="10">
        <v>830200011</v>
      </c>
      <c r="B98" s="85" t="s">
        <v>191</v>
      </c>
      <c r="C98" s="86" t="s">
        <v>192</v>
      </c>
      <c r="D98" s="86"/>
      <c r="E98" s="86" t="s">
        <v>83</v>
      </c>
      <c r="F98" s="86">
        <v>300000</v>
      </c>
      <c r="G98" s="86"/>
      <c r="H98" s="86"/>
      <c r="I98" s="86"/>
      <c r="J98" s="95"/>
      <c r="K98" s="95"/>
      <c r="L98" s="95"/>
      <c r="M98" s="95"/>
      <c r="N98" s="95"/>
      <c r="O98" s="86" t="s">
        <v>90</v>
      </c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>
        <v>1407040102</v>
      </c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99"/>
      <c r="AY98" s="99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/>
      <c r="BK98" s="86"/>
      <c r="BL98" s="86"/>
      <c r="BM98" s="86"/>
      <c r="BN98" s="86"/>
      <c r="BO98" s="86"/>
      <c r="BP98" s="86"/>
      <c r="BQ98" s="86"/>
      <c r="BR98" s="86"/>
      <c r="BS98" s="86"/>
      <c r="BT98" s="86"/>
      <c r="BU98" s="86"/>
      <c r="BV98" s="86"/>
      <c r="BW98" s="86"/>
      <c r="BX98" s="86"/>
      <c r="BY98" s="101"/>
    </row>
    <row r="99" spans="1:77" s="8" customFormat="1" x14ac:dyDescent="0.15">
      <c r="A99" s="10">
        <v>829200012</v>
      </c>
      <c r="B99" s="85" t="s">
        <v>193</v>
      </c>
      <c r="C99" s="86" t="s">
        <v>192</v>
      </c>
      <c r="D99" s="86"/>
      <c r="E99" s="86" t="s">
        <v>83</v>
      </c>
      <c r="F99" s="86">
        <v>300000</v>
      </c>
      <c r="G99" s="86"/>
      <c r="H99" s="86"/>
      <c r="I99" s="86"/>
      <c r="J99" s="95"/>
      <c r="K99" s="95"/>
      <c r="L99" s="95"/>
      <c r="M99" s="95"/>
      <c r="N99" s="95"/>
      <c r="O99" s="86" t="s">
        <v>90</v>
      </c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>
        <v>1407040201</v>
      </c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99"/>
      <c r="AY99" s="99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/>
      <c r="BK99" s="86"/>
      <c r="BL99" s="86"/>
      <c r="BM99" s="86"/>
      <c r="BN99" s="86"/>
      <c r="BO99" s="86"/>
      <c r="BP99" s="86"/>
      <c r="BQ99" s="86"/>
      <c r="BR99" s="86"/>
      <c r="BS99" s="86"/>
      <c r="BT99" s="86"/>
      <c r="BU99" s="86"/>
      <c r="BV99" s="86"/>
      <c r="BW99" s="86"/>
      <c r="BX99" s="86"/>
      <c r="BY99" s="101"/>
    </row>
    <row r="100" spans="1:77" s="8" customFormat="1" x14ac:dyDescent="0.15">
      <c r="A100" s="10">
        <v>830200012</v>
      </c>
      <c r="B100" s="85" t="s">
        <v>193</v>
      </c>
      <c r="C100" s="86" t="s">
        <v>192</v>
      </c>
      <c r="D100" s="86"/>
      <c r="E100" s="86" t="s">
        <v>83</v>
      </c>
      <c r="F100" s="86">
        <v>300000</v>
      </c>
      <c r="G100" s="86"/>
      <c r="H100" s="86"/>
      <c r="I100" s="86"/>
      <c r="J100" s="95"/>
      <c r="K100" s="95"/>
      <c r="L100" s="95"/>
      <c r="M100" s="95"/>
      <c r="N100" s="95"/>
      <c r="O100" s="86" t="s">
        <v>90</v>
      </c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>
        <v>1407040202</v>
      </c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99"/>
      <c r="AY100" s="99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/>
      <c r="BK100" s="86"/>
      <c r="BL100" s="86"/>
      <c r="BM100" s="86"/>
      <c r="BN100" s="86"/>
      <c r="BO100" s="86"/>
      <c r="BP100" s="86"/>
      <c r="BQ100" s="86"/>
      <c r="BR100" s="86"/>
      <c r="BS100" s="86"/>
      <c r="BT100" s="86"/>
      <c r="BU100" s="86"/>
      <c r="BV100" s="86"/>
      <c r="BW100" s="86"/>
      <c r="BX100" s="86"/>
      <c r="BY100" s="101"/>
    </row>
    <row r="101" spans="1:77" s="8" customFormat="1" x14ac:dyDescent="0.15">
      <c r="A101" s="10">
        <v>831001011</v>
      </c>
      <c r="B101" s="85" t="s">
        <v>194</v>
      </c>
      <c r="C101" s="86" t="s">
        <v>77</v>
      </c>
      <c r="D101" s="86"/>
      <c r="E101" s="86" t="s">
        <v>78</v>
      </c>
      <c r="F101" s="86"/>
      <c r="G101" s="86"/>
      <c r="H101" s="86"/>
      <c r="I101" s="86"/>
      <c r="J101" s="95"/>
      <c r="K101" s="95"/>
      <c r="L101" s="95"/>
      <c r="M101" s="95"/>
      <c r="N101" s="95"/>
      <c r="O101" s="86" t="s">
        <v>79</v>
      </c>
      <c r="P101" s="86" t="s">
        <v>80</v>
      </c>
      <c r="Q101" s="86"/>
      <c r="R101" s="86">
        <v>10000</v>
      </c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99"/>
      <c r="AY101" s="99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/>
      <c r="BK101" s="86"/>
      <c r="BL101" s="86"/>
      <c r="BM101" s="86"/>
      <c r="BN101" s="86"/>
      <c r="BO101" s="86"/>
      <c r="BP101" s="86"/>
      <c r="BQ101" s="86"/>
      <c r="BR101" s="86"/>
      <c r="BS101" s="86"/>
      <c r="BT101" s="86"/>
      <c r="BU101" s="86"/>
      <c r="BV101" s="86"/>
      <c r="BW101" s="86"/>
      <c r="BX101" s="86"/>
      <c r="BY101" s="101"/>
    </row>
    <row r="102" spans="1:77" s="8" customFormat="1" x14ac:dyDescent="0.15">
      <c r="A102" s="10">
        <v>831200011</v>
      </c>
      <c r="B102" s="85" t="s">
        <v>195</v>
      </c>
      <c r="C102" s="86" t="s">
        <v>89</v>
      </c>
      <c r="D102" s="86"/>
      <c r="E102" s="86" t="s">
        <v>78</v>
      </c>
      <c r="F102" s="86"/>
      <c r="G102" s="86"/>
      <c r="H102" s="86"/>
      <c r="I102" s="86"/>
      <c r="J102" s="95"/>
      <c r="K102" s="95"/>
      <c r="L102" s="95"/>
      <c r="M102" s="95"/>
      <c r="N102" s="95"/>
      <c r="O102" s="86" t="s">
        <v>90</v>
      </c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>
        <v>831200101</v>
      </c>
      <c r="AD102" s="86">
        <v>831200101</v>
      </c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99"/>
      <c r="AY102" s="99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/>
      <c r="BK102" s="86"/>
      <c r="BL102" s="86"/>
      <c r="BM102" s="86"/>
      <c r="BN102" s="86"/>
      <c r="BO102" s="86"/>
      <c r="BP102" s="86"/>
      <c r="BQ102" s="86"/>
      <c r="BR102" s="86"/>
      <c r="BS102" s="86"/>
      <c r="BT102" s="86"/>
      <c r="BU102" s="86"/>
      <c r="BV102" s="86"/>
      <c r="BW102" s="86"/>
      <c r="BX102" s="86"/>
      <c r="BY102" s="101"/>
    </row>
    <row r="103" spans="1:77" s="8" customFormat="1" x14ac:dyDescent="0.15">
      <c r="A103" s="10">
        <v>832200011</v>
      </c>
      <c r="B103" s="85" t="s">
        <v>195</v>
      </c>
      <c r="C103" s="86" t="s">
        <v>89</v>
      </c>
      <c r="D103" s="86"/>
      <c r="E103" s="86" t="s">
        <v>78</v>
      </c>
      <c r="F103" s="86"/>
      <c r="G103" s="86"/>
      <c r="H103" s="86"/>
      <c r="I103" s="86"/>
      <c r="J103" s="95"/>
      <c r="K103" s="95"/>
      <c r="L103" s="95"/>
      <c r="M103" s="95"/>
      <c r="N103" s="95"/>
      <c r="O103" s="86" t="s">
        <v>90</v>
      </c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>
        <v>832200101</v>
      </c>
      <c r="AD103" s="86">
        <v>832200101</v>
      </c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99"/>
      <c r="AY103" s="99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/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101"/>
    </row>
    <row r="104" spans="1:77" s="8" customFormat="1" x14ac:dyDescent="0.15">
      <c r="A104" s="10">
        <v>833200011</v>
      </c>
      <c r="B104" s="85" t="s">
        <v>195</v>
      </c>
      <c r="C104" s="86" t="s">
        <v>89</v>
      </c>
      <c r="D104" s="86"/>
      <c r="E104" s="86" t="s">
        <v>78</v>
      </c>
      <c r="F104" s="86"/>
      <c r="G104" s="86"/>
      <c r="H104" s="86"/>
      <c r="I104" s="86"/>
      <c r="J104" s="95"/>
      <c r="K104" s="95"/>
      <c r="L104" s="95"/>
      <c r="M104" s="95"/>
      <c r="N104" s="95"/>
      <c r="O104" s="86" t="s">
        <v>90</v>
      </c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>
        <v>833200101</v>
      </c>
      <c r="AD104" s="86">
        <v>833200101</v>
      </c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99"/>
      <c r="AY104" s="99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/>
      <c r="BK104" s="86"/>
      <c r="BL104" s="86"/>
      <c r="BM104" s="86"/>
      <c r="BN104" s="86"/>
      <c r="BO104" s="86"/>
      <c r="BP104" s="86"/>
      <c r="BQ104" s="86"/>
      <c r="BR104" s="86"/>
      <c r="BS104" s="86"/>
      <c r="BT104" s="86"/>
      <c r="BU104" s="86"/>
      <c r="BV104" s="86"/>
      <c r="BW104" s="86"/>
      <c r="BX104" s="86"/>
      <c r="BY104" s="101"/>
    </row>
    <row r="105" spans="1:77" s="8" customFormat="1" x14ac:dyDescent="0.15">
      <c r="A105" s="10">
        <v>834200011</v>
      </c>
      <c r="B105" s="85" t="s">
        <v>195</v>
      </c>
      <c r="C105" s="86" t="s">
        <v>89</v>
      </c>
      <c r="D105" s="86"/>
      <c r="E105" s="86" t="s">
        <v>78</v>
      </c>
      <c r="F105" s="86"/>
      <c r="G105" s="86"/>
      <c r="H105" s="86"/>
      <c r="I105" s="86"/>
      <c r="J105" s="95"/>
      <c r="K105" s="95"/>
      <c r="L105" s="95"/>
      <c r="M105" s="95"/>
      <c r="N105" s="95"/>
      <c r="O105" s="86" t="s">
        <v>90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>
        <v>834200101</v>
      </c>
      <c r="AD105" s="86">
        <v>834200101</v>
      </c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99"/>
      <c r="AY105" s="99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/>
      <c r="BK105" s="86"/>
      <c r="BL105" s="86"/>
      <c r="BM105" s="86"/>
      <c r="BN105" s="86"/>
      <c r="BO105" s="86"/>
      <c r="BP105" s="86"/>
      <c r="BQ105" s="86"/>
      <c r="BR105" s="86"/>
      <c r="BS105" s="86"/>
      <c r="BT105" s="86"/>
      <c r="BU105" s="86"/>
      <c r="BV105" s="86"/>
      <c r="BW105" s="86"/>
      <c r="BX105" s="86"/>
      <c r="BY105" s="101"/>
    </row>
    <row r="106" spans="1:77" s="8" customFormat="1" x14ac:dyDescent="0.15">
      <c r="A106" s="10">
        <v>835200011</v>
      </c>
      <c r="B106" s="85" t="s">
        <v>196</v>
      </c>
      <c r="C106" s="86" t="s">
        <v>89</v>
      </c>
      <c r="D106" s="86"/>
      <c r="E106" s="86" t="s">
        <v>78</v>
      </c>
      <c r="F106" s="86"/>
      <c r="G106" s="86"/>
      <c r="H106" s="86"/>
      <c r="I106" s="86"/>
      <c r="J106" s="95"/>
      <c r="K106" s="95"/>
      <c r="L106" s="95"/>
      <c r="M106" s="95"/>
      <c r="N106" s="95"/>
      <c r="O106" s="86" t="s">
        <v>98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>
        <v>83520001</v>
      </c>
      <c r="AF106" s="86"/>
      <c r="AG106" s="86"/>
      <c r="AH106" s="86"/>
      <c r="AI106" s="86"/>
      <c r="AJ106" s="86" t="s">
        <v>98</v>
      </c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>
        <v>83520002</v>
      </c>
      <c r="BA106" s="86"/>
      <c r="BB106" s="86"/>
      <c r="BC106" s="86"/>
      <c r="BD106" s="86"/>
      <c r="BE106" s="86"/>
      <c r="BF106" s="86"/>
      <c r="BG106" s="86"/>
      <c r="BH106" s="86"/>
      <c r="BI106" s="86"/>
      <c r="BJ106" s="86"/>
      <c r="BK106" s="86"/>
      <c r="BL106" s="86"/>
      <c r="BM106" s="86"/>
      <c r="BN106" s="86"/>
      <c r="BO106" s="86"/>
      <c r="BP106" s="86"/>
      <c r="BQ106" s="86"/>
      <c r="BR106" s="86"/>
      <c r="BS106" s="86"/>
      <c r="BT106" s="86"/>
      <c r="BU106" s="86"/>
      <c r="BV106" s="86"/>
      <c r="BW106" s="86"/>
      <c r="BX106" s="86"/>
      <c r="BY106" s="101"/>
    </row>
    <row r="107" spans="1:77" s="8" customFormat="1" x14ac:dyDescent="0.15">
      <c r="A107" s="10">
        <v>836200011</v>
      </c>
      <c r="B107" s="85" t="s">
        <v>196</v>
      </c>
      <c r="C107" s="86" t="s">
        <v>89</v>
      </c>
      <c r="D107" s="86"/>
      <c r="E107" s="86" t="s">
        <v>78</v>
      </c>
      <c r="F107" s="86"/>
      <c r="G107" s="86"/>
      <c r="H107" s="86"/>
      <c r="I107" s="86"/>
      <c r="J107" s="95"/>
      <c r="K107" s="95"/>
      <c r="L107" s="95"/>
      <c r="M107" s="95"/>
      <c r="N107" s="95"/>
      <c r="O107" s="86" t="s">
        <v>98</v>
      </c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>
        <v>83620001</v>
      </c>
      <c r="AF107" s="86"/>
      <c r="AG107" s="86"/>
      <c r="AH107" s="86"/>
      <c r="AI107" s="86"/>
      <c r="AJ107" s="86" t="s">
        <v>98</v>
      </c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>
        <v>83620002</v>
      </c>
      <c r="BA107" s="86"/>
      <c r="BB107" s="86"/>
      <c r="BC107" s="86"/>
      <c r="BD107" s="86"/>
      <c r="BE107" s="86"/>
      <c r="BF107" s="86"/>
      <c r="BG107" s="86"/>
      <c r="BH107" s="86"/>
      <c r="BI107" s="86"/>
      <c r="BJ107" s="86"/>
      <c r="BK107" s="86"/>
      <c r="BL107" s="86"/>
      <c r="BM107" s="86"/>
      <c r="BN107" s="86"/>
      <c r="BO107" s="86"/>
      <c r="BP107" s="86"/>
      <c r="BQ107" s="86"/>
      <c r="BR107" s="86"/>
      <c r="BS107" s="86"/>
      <c r="BT107" s="86"/>
      <c r="BU107" s="86"/>
      <c r="BV107" s="86"/>
      <c r="BW107" s="86"/>
      <c r="BX107" s="86"/>
      <c r="BY107" s="101"/>
    </row>
    <row r="108" spans="1:77" s="8" customFormat="1" x14ac:dyDescent="0.15">
      <c r="A108" s="10">
        <v>835200012</v>
      </c>
      <c r="B108" s="85" t="s">
        <v>197</v>
      </c>
      <c r="C108" s="86" t="s">
        <v>198</v>
      </c>
      <c r="D108" s="86"/>
      <c r="E108" s="86" t="s">
        <v>78</v>
      </c>
      <c r="F108" s="86"/>
      <c r="G108" s="86"/>
      <c r="H108" s="86"/>
      <c r="I108" s="86"/>
      <c r="J108" s="95"/>
      <c r="K108" s="95"/>
      <c r="L108" s="95"/>
      <c r="M108" s="95"/>
      <c r="N108" s="95"/>
      <c r="O108" s="86" t="s">
        <v>95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>
        <v>20000837</v>
      </c>
      <c r="AF108" s="86" t="s">
        <v>96</v>
      </c>
      <c r="AG108" s="86"/>
      <c r="AH108" s="86">
        <v>1</v>
      </c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99"/>
      <c r="AY108" s="99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/>
      <c r="BK108" s="86"/>
      <c r="BL108" s="86"/>
      <c r="BM108" s="86"/>
      <c r="BN108" s="86"/>
      <c r="BO108" s="86"/>
      <c r="BP108" s="86"/>
      <c r="BQ108" s="86"/>
      <c r="BR108" s="86"/>
      <c r="BS108" s="86"/>
      <c r="BT108" s="86"/>
      <c r="BU108" s="86"/>
      <c r="BV108" s="86"/>
      <c r="BW108" s="86"/>
      <c r="BX108" s="86"/>
      <c r="BY108" s="101"/>
    </row>
    <row r="109" spans="1:77" s="8" customFormat="1" x14ac:dyDescent="0.15">
      <c r="A109" s="10">
        <v>836200012</v>
      </c>
      <c r="B109" s="85" t="s">
        <v>197</v>
      </c>
      <c r="C109" s="86" t="s">
        <v>198</v>
      </c>
      <c r="D109" s="86"/>
      <c r="E109" s="86" t="s">
        <v>78</v>
      </c>
      <c r="F109" s="86"/>
      <c r="G109" s="86"/>
      <c r="H109" s="86"/>
      <c r="I109" s="86"/>
      <c r="J109" s="95"/>
      <c r="K109" s="95"/>
      <c r="L109" s="95"/>
      <c r="M109" s="95"/>
      <c r="N109" s="95"/>
      <c r="O109" s="86" t="s">
        <v>95</v>
      </c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>
        <v>20000837</v>
      </c>
      <c r="AF109" s="86" t="s">
        <v>96</v>
      </c>
      <c r="AG109" s="86"/>
      <c r="AH109" s="86">
        <v>1</v>
      </c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99"/>
      <c r="AY109" s="99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/>
      <c r="BK109" s="86"/>
      <c r="BL109" s="86"/>
      <c r="BM109" s="86"/>
      <c r="BN109" s="86"/>
      <c r="BO109" s="86"/>
      <c r="BP109" s="86"/>
      <c r="BQ109" s="86"/>
      <c r="BR109" s="86"/>
      <c r="BS109" s="86"/>
      <c r="BT109" s="86"/>
      <c r="BU109" s="86"/>
      <c r="BV109" s="86"/>
      <c r="BW109" s="86"/>
      <c r="BX109" s="86"/>
      <c r="BY109" s="101"/>
    </row>
    <row r="110" spans="1:77" s="8" customFormat="1" x14ac:dyDescent="0.15">
      <c r="A110" s="10">
        <v>835010011</v>
      </c>
      <c r="B110" s="85" t="s">
        <v>199</v>
      </c>
      <c r="C110" s="86" t="s">
        <v>89</v>
      </c>
      <c r="D110" s="86"/>
      <c r="E110" s="86" t="s">
        <v>78</v>
      </c>
      <c r="F110" s="86"/>
      <c r="G110" s="86"/>
      <c r="H110" s="86"/>
      <c r="I110" s="86"/>
      <c r="J110" s="95"/>
      <c r="K110" s="95"/>
      <c r="L110" s="95"/>
      <c r="M110" s="95"/>
      <c r="N110" s="95"/>
      <c r="O110" s="86" t="s">
        <v>95</v>
      </c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>
        <v>20000837</v>
      </c>
      <c r="AF110" s="86" t="s">
        <v>96</v>
      </c>
      <c r="AG110" s="86"/>
      <c r="AH110" s="86">
        <v>1</v>
      </c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99"/>
      <c r="AY110" s="99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/>
      <c r="BK110" s="86"/>
      <c r="BL110" s="86"/>
      <c r="BM110" s="86"/>
      <c r="BN110" s="86"/>
      <c r="BO110" s="86"/>
      <c r="BP110" s="86"/>
      <c r="BQ110" s="86"/>
      <c r="BR110" s="86"/>
      <c r="BS110" s="86"/>
      <c r="BT110" s="86"/>
      <c r="BU110" s="86"/>
      <c r="BV110" s="86"/>
      <c r="BW110" s="86"/>
      <c r="BX110" s="86"/>
      <c r="BY110" s="101"/>
    </row>
    <row r="111" spans="1:77" s="8" customFormat="1" x14ac:dyDescent="0.15">
      <c r="A111" s="10">
        <v>836010011</v>
      </c>
      <c r="B111" s="85" t="s">
        <v>199</v>
      </c>
      <c r="C111" s="86" t="s">
        <v>89</v>
      </c>
      <c r="D111" s="86"/>
      <c r="E111" s="86" t="s">
        <v>78</v>
      </c>
      <c r="F111" s="86"/>
      <c r="G111" s="86"/>
      <c r="H111" s="86"/>
      <c r="I111" s="86"/>
      <c r="J111" s="95"/>
      <c r="K111" s="95"/>
      <c r="L111" s="95"/>
      <c r="M111" s="95"/>
      <c r="N111" s="95"/>
      <c r="O111" s="86" t="s">
        <v>95</v>
      </c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>
        <v>20000837</v>
      </c>
      <c r="AF111" s="86" t="s">
        <v>96</v>
      </c>
      <c r="AG111" s="86"/>
      <c r="AH111" s="86">
        <v>1</v>
      </c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99"/>
      <c r="AY111" s="99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/>
      <c r="BK111" s="86"/>
      <c r="BL111" s="86"/>
      <c r="BM111" s="86"/>
      <c r="BN111" s="86"/>
      <c r="BO111" s="86"/>
      <c r="BP111" s="86"/>
      <c r="BQ111" s="86"/>
      <c r="BR111" s="86"/>
      <c r="BS111" s="86"/>
      <c r="BT111" s="86"/>
      <c r="BU111" s="86"/>
      <c r="BV111" s="86"/>
      <c r="BW111" s="86"/>
      <c r="BX111" s="86"/>
      <c r="BY111" s="101"/>
    </row>
    <row r="112" spans="1:77" s="8" customFormat="1" x14ac:dyDescent="0.15">
      <c r="A112" s="10">
        <v>837001011</v>
      </c>
      <c r="B112" s="85" t="s">
        <v>200</v>
      </c>
      <c r="C112" s="86" t="s">
        <v>77</v>
      </c>
      <c r="D112" s="86"/>
      <c r="E112" s="86" t="s">
        <v>78</v>
      </c>
      <c r="F112" s="86"/>
      <c r="G112" s="86"/>
      <c r="H112" s="86"/>
      <c r="I112" s="86"/>
      <c r="J112" s="95"/>
      <c r="K112" s="95"/>
      <c r="L112" s="95"/>
      <c r="M112" s="95"/>
      <c r="N112" s="95"/>
      <c r="O112" s="86" t="s">
        <v>79</v>
      </c>
      <c r="P112" s="86" t="s">
        <v>80</v>
      </c>
      <c r="Q112" s="86"/>
      <c r="R112" s="86">
        <v>10000</v>
      </c>
      <c r="S112" s="86"/>
      <c r="T112" s="86">
        <v>10000</v>
      </c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99"/>
      <c r="AY112" s="99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/>
      <c r="BK112" s="86"/>
      <c r="BL112" s="86"/>
      <c r="BM112" s="86"/>
      <c r="BN112" s="86"/>
      <c r="BO112" s="86"/>
      <c r="BP112" s="86"/>
      <c r="BQ112" s="86"/>
      <c r="BR112" s="86"/>
      <c r="BS112" s="86"/>
      <c r="BT112" s="86"/>
      <c r="BU112" s="86"/>
      <c r="BV112" s="86"/>
      <c r="BW112" s="86"/>
      <c r="BX112" s="86"/>
      <c r="BY112" s="101"/>
    </row>
    <row r="113" spans="1:77" s="8" customFormat="1" x14ac:dyDescent="0.15">
      <c r="A113" s="10">
        <v>837001012</v>
      </c>
      <c r="B113" s="85" t="s">
        <v>201</v>
      </c>
      <c r="C113" s="86" t="s">
        <v>100</v>
      </c>
      <c r="D113" s="86"/>
      <c r="E113" s="86" t="s">
        <v>78</v>
      </c>
      <c r="F113" s="86"/>
      <c r="G113" s="86"/>
      <c r="H113" s="86"/>
      <c r="I113" s="86"/>
      <c r="J113" s="95"/>
      <c r="K113" s="95"/>
      <c r="L113" s="95"/>
      <c r="M113" s="95"/>
      <c r="N113" s="95"/>
      <c r="O113" s="86" t="s">
        <v>90</v>
      </c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>
        <v>837001101</v>
      </c>
      <c r="AD113" s="86">
        <v>837001101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99"/>
      <c r="AY113" s="99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/>
      <c r="BK113" s="86"/>
      <c r="BL113" s="86"/>
      <c r="BM113" s="86"/>
      <c r="BN113" s="86"/>
      <c r="BO113" s="86"/>
      <c r="BP113" s="86"/>
      <c r="BQ113" s="86"/>
      <c r="BR113" s="86"/>
      <c r="BS113" s="86"/>
      <c r="BT113" s="86"/>
      <c r="BU113" s="86"/>
      <c r="BV113" s="86"/>
      <c r="BW113" s="86"/>
      <c r="BX113" s="86"/>
      <c r="BY113" s="101"/>
    </row>
    <row r="114" spans="1:77" s="8" customFormat="1" x14ac:dyDescent="0.15">
      <c r="A114" s="10">
        <v>880200011</v>
      </c>
      <c r="B114" s="85" t="s">
        <v>202</v>
      </c>
      <c r="C114" s="86" t="s">
        <v>89</v>
      </c>
      <c r="D114" s="86"/>
      <c r="E114" s="86" t="s">
        <v>78</v>
      </c>
      <c r="F114" s="86"/>
      <c r="G114" s="86"/>
      <c r="H114" s="86"/>
      <c r="I114" s="86"/>
      <c r="J114" s="95"/>
      <c r="K114" s="95"/>
      <c r="L114" s="95"/>
      <c r="M114" s="95"/>
      <c r="N114" s="95"/>
      <c r="O114" s="86" t="s">
        <v>90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>
        <v>880200101</v>
      </c>
      <c r="AD114" s="86">
        <v>880200101</v>
      </c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99"/>
      <c r="AY114" s="99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101"/>
    </row>
    <row r="115" spans="1:77" s="8" customFormat="1" x14ac:dyDescent="0.15">
      <c r="A115" s="10">
        <v>880010011</v>
      </c>
      <c r="B115" s="85" t="s">
        <v>203</v>
      </c>
      <c r="C115" s="86" t="s">
        <v>100</v>
      </c>
      <c r="D115" s="86"/>
      <c r="E115" s="86" t="s">
        <v>83</v>
      </c>
      <c r="F115" s="86">
        <v>200000</v>
      </c>
      <c r="G115" s="86"/>
      <c r="H115" s="86"/>
      <c r="I115" s="86"/>
      <c r="J115" s="95"/>
      <c r="K115" s="95"/>
      <c r="L115" s="95"/>
      <c r="M115" s="95" t="s">
        <v>101</v>
      </c>
      <c r="N115" s="95"/>
      <c r="O115" s="86" t="s">
        <v>90</v>
      </c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>
        <v>880010101</v>
      </c>
      <c r="AD115" s="86">
        <v>880010101</v>
      </c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99"/>
      <c r="AY115" s="99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/>
      <c r="BK115" s="86"/>
      <c r="BL115" s="86"/>
      <c r="BM115" s="86"/>
      <c r="BN115" s="86"/>
      <c r="BO115" s="86"/>
      <c r="BP115" s="86"/>
      <c r="BQ115" s="86"/>
      <c r="BR115" s="86"/>
      <c r="BS115" s="86"/>
      <c r="BT115" s="86"/>
      <c r="BU115" s="86"/>
      <c r="BV115" s="86"/>
      <c r="BW115" s="86"/>
      <c r="BX115" s="86"/>
      <c r="BY115" s="101"/>
    </row>
    <row r="116" spans="1:77" s="8" customFormat="1" x14ac:dyDescent="0.15">
      <c r="A116" s="10">
        <v>880010012</v>
      </c>
      <c r="B116" s="85" t="s">
        <v>204</v>
      </c>
      <c r="C116" s="86" t="s">
        <v>89</v>
      </c>
      <c r="D116" s="86"/>
      <c r="E116" s="86" t="s">
        <v>78</v>
      </c>
      <c r="F116" s="86"/>
      <c r="G116" s="86"/>
      <c r="H116" s="86"/>
      <c r="I116" s="86"/>
      <c r="J116" s="95"/>
      <c r="K116" s="95"/>
      <c r="L116" s="95"/>
      <c r="M116" s="95"/>
      <c r="N116" s="95"/>
      <c r="O116" s="86" t="s">
        <v>186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>
        <v>0</v>
      </c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99"/>
      <c r="AY116" s="99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BK116" s="86"/>
      <c r="BL116" s="86"/>
      <c r="BM116" s="86"/>
      <c r="BN116" s="86"/>
      <c r="BO116" s="86"/>
      <c r="BP116" s="86"/>
      <c r="BQ116" s="86"/>
      <c r="BR116" s="86"/>
      <c r="BS116" s="86"/>
      <c r="BT116" s="86"/>
      <c r="BU116" s="86"/>
      <c r="BV116" s="86"/>
      <c r="BW116" s="86"/>
      <c r="BX116" s="86"/>
      <c r="BY116" s="101"/>
    </row>
    <row r="117" spans="1:77" s="8" customFormat="1" x14ac:dyDescent="0.15">
      <c r="A117" s="10">
        <v>880201011</v>
      </c>
      <c r="B117" s="85" t="s">
        <v>205</v>
      </c>
      <c r="C117" s="86" t="s">
        <v>89</v>
      </c>
      <c r="D117" s="86"/>
      <c r="E117" s="86" t="s">
        <v>78</v>
      </c>
      <c r="F117" s="86"/>
      <c r="G117" s="86"/>
      <c r="H117" s="86"/>
      <c r="I117" s="86"/>
      <c r="J117" s="95"/>
      <c r="K117" s="95"/>
      <c r="L117" s="95"/>
      <c r="M117" s="95"/>
      <c r="N117" s="95"/>
      <c r="O117" s="86" t="s">
        <v>98</v>
      </c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>
        <v>88020101</v>
      </c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99"/>
      <c r="AY117" s="99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/>
      <c r="BK117" s="86"/>
      <c r="BL117" s="86"/>
      <c r="BM117" s="86"/>
      <c r="BN117" s="86"/>
      <c r="BO117" s="86"/>
      <c r="BP117" s="86"/>
      <c r="BQ117" s="86"/>
      <c r="BR117" s="86"/>
      <c r="BS117" s="86"/>
      <c r="BT117" s="86"/>
      <c r="BU117" s="86"/>
      <c r="BV117" s="86"/>
      <c r="BW117" s="86"/>
      <c r="BX117" s="86"/>
      <c r="BY117" s="101"/>
    </row>
    <row r="118" spans="1:77" s="8" customFormat="1" x14ac:dyDescent="0.15">
      <c r="A118" s="10">
        <v>881200011</v>
      </c>
      <c r="B118" s="85" t="s">
        <v>206</v>
      </c>
      <c r="C118" s="86" t="s">
        <v>89</v>
      </c>
      <c r="D118" s="86"/>
      <c r="E118" s="86" t="s">
        <v>78</v>
      </c>
      <c r="F118" s="86"/>
      <c r="G118" s="86"/>
      <c r="H118" s="86"/>
      <c r="I118" s="86"/>
      <c r="J118" s="95"/>
      <c r="K118" s="95"/>
      <c r="L118" s="95"/>
      <c r="M118" s="95"/>
      <c r="N118" s="95"/>
      <c r="O118" s="86" t="s">
        <v>90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>
        <v>881200101</v>
      </c>
      <c r="AD118" s="86">
        <v>881200101</v>
      </c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99"/>
      <c r="AY118" s="99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/>
      <c r="BK118" s="86"/>
      <c r="BL118" s="86"/>
      <c r="BM118" s="86"/>
      <c r="BN118" s="86"/>
      <c r="BO118" s="86"/>
      <c r="BP118" s="86"/>
      <c r="BQ118" s="86"/>
      <c r="BR118" s="86"/>
      <c r="BS118" s="86"/>
      <c r="BT118" s="86"/>
      <c r="BU118" s="86"/>
      <c r="BV118" s="86"/>
      <c r="BW118" s="86"/>
      <c r="BX118" s="86"/>
      <c r="BY118" s="101"/>
    </row>
    <row r="119" spans="1:77" s="8" customFormat="1" x14ac:dyDescent="0.15">
      <c r="A119" s="10">
        <v>881201011</v>
      </c>
      <c r="B119" s="85" t="s">
        <v>207</v>
      </c>
      <c r="C119" s="86" t="s">
        <v>89</v>
      </c>
      <c r="D119" s="86"/>
      <c r="E119" s="86" t="s">
        <v>78</v>
      </c>
      <c r="F119" s="86"/>
      <c r="G119" s="86"/>
      <c r="H119" s="86"/>
      <c r="I119" s="86"/>
      <c r="J119" s="95"/>
      <c r="K119" s="95"/>
      <c r="L119" s="95"/>
      <c r="M119" s="95"/>
      <c r="N119" s="95"/>
      <c r="O119" s="86" t="s">
        <v>98</v>
      </c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>
        <v>88120101</v>
      </c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99"/>
      <c r="AY119" s="99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/>
      <c r="BK119" s="86"/>
      <c r="BL119" s="86"/>
      <c r="BM119" s="86"/>
      <c r="BN119" s="86"/>
      <c r="BO119" s="86"/>
      <c r="BP119" s="86"/>
      <c r="BQ119" s="86"/>
      <c r="BR119" s="86"/>
      <c r="BS119" s="86"/>
      <c r="BT119" s="86"/>
      <c r="BU119" s="86"/>
      <c r="BV119" s="86"/>
      <c r="BW119" s="86"/>
      <c r="BX119" s="86"/>
      <c r="BY119" s="101"/>
    </row>
    <row r="120" spans="1:77" s="8" customFormat="1" x14ac:dyDescent="0.15">
      <c r="A120" s="10">
        <v>883200011</v>
      </c>
      <c r="B120" s="85" t="s">
        <v>208</v>
      </c>
      <c r="C120" s="86" t="s">
        <v>89</v>
      </c>
      <c r="D120" s="86"/>
      <c r="E120" s="86" t="s">
        <v>78</v>
      </c>
      <c r="F120" s="86"/>
      <c r="G120" s="86"/>
      <c r="H120" s="86"/>
      <c r="I120" s="86"/>
      <c r="J120" s="95"/>
      <c r="K120" s="95"/>
      <c r="L120" s="95"/>
      <c r="M120" s="95"/>
      <c r="N120" s="95"/>
      <c r="O120" s="86" t="s">
        <v>209</v>
      </c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>
        <v>30000</v>
      </c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99"/>
      <c r="AY120" s="99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/>
      <c r="BK120" s="86"/>
      <c r="BL120" s="86"/>
      <c r="BM120" s="86"/>
      <c r="BN120" s="86"/>
      <c r="BO120" s="86"/>
      <c r="BP120" s="86"/>
      <c r="BQ120" s="86"/>
      <c r="BR120" s="86"/>
      <c r="BS120" s="86"/>
      <c r="BT120" s="86"/>
      <c r="BU120" s="86"/>
      <c r="BV120" s="86"/>
      <c r="BW120" s="86"/>
      <c r="BX120" s="86"/>
      <c r="BY120" s="101"/>
    </row>
    <row r="121" spans="1:77" s="8" customFormat="1" x14ac:dyDescent="0.15">
      <c r="A121" s="10">
        <v>884001011</v>
      </c>
      <c r="B121" s="85" t="s">
        <v>210</v>
      </c>
      <c r="C121" s="86" t="s">
        <v>77</v>
      </c>
      <c r="D121" s="86"/>
      <c r="E121" s="86" t="s">
        <v>78</v>
      </c>
      <c r="F121" s="86"/>
      <c r="G121" s="86"/>
      <c r="H121" s="86"/>
      <c r="I121" s="86"/>
      <c r="J121" s="95"/>
      <c r="K121" s="95"/>
      <c r="L121" s="95"/>
      <c r="M121" s="95"/>
      <c r="N121" s="95"/>
      <c r="O121" s="86" t="s">
        <v>79</v>
      </c>
      <c r="P121" s="86" t="s">
        <v>80</v>
      </c>
      <c r="Q121" s="86"/>
      <c r="R121" s="86">
        <v>10000</v>
      </c>
      <c r="S121" s="86"/>
      <c r="T121" s="86">
        <v>10000</v>
      </c>
      <c r="U121" s="86"/>
      <c r="V121" s="86" t="s">
        <v>81</v>
      </c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99"/>
      <c r="AY121" s="99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/>
      <c r="BK121" s="86"/>
      <c r="BL121" s="86"/>
      <c r="BM121" s="86"/>
      <c r="BN121" s="86"/>
      <c r="BO121" s="86"/>
      <c r="BP121" s="86"/>
      <c r="BQ121" s="86"/>
      <c r="BR121" s="86"/>
      <c r="BS121" s="86"/>
      <c r="BT121" s="86"/>
      <c r="BU121" s="86"/>
      <c r="BV121" s="86"/>
      <c r="BW121" s="86"/>
      <c r="BX121" s="86"/>
      <c r="BY121" s="101"/>
    </row>
    <row r="122" spans="1:77" s="8" customFormat="1" x14ac:dyDescent="0.15">
      <c r="A122" s="10">
        <v>884200011</v>
      </c>
      <c r="B122" s="85" t="s">
        <v>211</v>
      </c>
      <c r="C122" s="86" t="s">
        <v>198</v>
      </c>
      <c r="D122" s="86"/>
      <c r="E122" s="86" t="s">
        <v>78</v>
      </c>
      <c r="F122" s="86"/>
      <c r="G122" s="86"/>
      <c r="H122" s="86"/>
      <c r="I122" s="86"/>
      <c r="J122" s="95"/>
      <c r="K122" s="95"/>
      <c r="L122" s="95"/>
      <c r="M122" s="95"/>
      <c r="N122" s="95"/>
      <c r="O122" s="86" t="s">
        <v>90</v>
      </c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>
        <v>884200101</v>
      </c>
      <c r="AD122" s="86">
        <v>884200101</v>
      </c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99"/>
      <c r="AY122" s="99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/>
      <c r="BK122" s="86"/>
      <c r="BL122" s="86"/>
      <c r="BM122" s="86"/>
      <c r="BN122" s="86"/>
      <c r="BO122" s="86"/>
      <c r="BP122" s="86"/>
      <c r="BQ122" s="86"/>
      <c r="BR122" s="86"/>
      <c r="BS122" s="86"/>
      <c r="BT122" s="86"/>
      <c r="BU122" s="86"/>
      <c r="BV122" s="86"/>
      <c r="BW122" s="86"/>
      <c r="BX122" s="86"/>
      <c r="BY122" s="101"/>
    </row>
    <row r="123" spans="1:77" s="8" customFormat="1" x14ac:dyDescent="0.15">
      <c r="A123" s="10">
        <v>884200012</v>
      </c>
      <c r="B123" s="85" t="s">
        <v>212</v>
      </c>
      <c r="C123" s="86" t="s">
        <v>198</v>
      </c>
      <c r="D123" s="86"/>
      <c r="E123" s="86" t="s">
        <v>78</v>
      </c>
      <c r="F123" s="86"/>
      <c r="G123" s="86"/>
      <c r="H123" s="86"/>
      <c r="I123" s="86"/>
      <c r="J123" s="95"/>
      <c r="K123" s="95"/>
      <c r="L123" s="95"/>
      <c r="M123" s="95"/>
      <c r="N123" s="95"/>
      <c r="O123" s="86" t="s">
        <v>95</v>
      </c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>
        <v>20000884</v>
      </c>
      <c r="AF123" s="86" t="s">
        <v>96</v>
      </c>
      <c r="AG123" s="86"/>
      <c r="AH123" s="86">
        <v>1</v>
      </c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99"/>
      <c r="AY123" s="99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/>
      <c r="BK123" s="86"/>
      <c r="BL123" s="86"/>
      <c r="BM123" s="86"/>
      <c r="BN123" s="86"/>
      <c r="BO123" s="86"/>
      <c r="BP123" s="86"/>
      <c r="BQ123" s="86"/>
      <c r="BR123" s="86"/>
      <c r="BS123" s="86"/>
      <c r="BT123" s="86"/>
      <c r="BU123" s="86"/>
      <c r="BV123" s="86"/>
      <c r="BW123" s="86"/>
      <c r="BX123" s="86"/>
      <c r="BY123" s="101"/>
    </row>
    <row r="124" spans="1:77" s="10" customFormat="1" x14ac:dyDescent="0.15">
      <c r="A124" s="10">
        <v>885300011</v>
      </c>
      <c r="B124" s="87" t="s">
        <v>213</v>
      </c>
      <c r="C124" s="10" t="s">
        <v>112</v>
      </c>
      <c r="E124" s="10" t="s">
        <v>83</v>
      </c>
      <c r="F124" s="10">
        <v>150000</v>
      </c>
      <c r="J124" s="95"/>
      <c r="K124" s="95"/>
      <c r="L124" s="95"/>
      <c r="M124" s="95"/>
      <c r="N124" s="95"/>
      <c r="O124" s="86" t="s">
        <v>98</v>
      </c>
      <c r="AE124" s="10">
        <v>88530001</v>
      </c>
    </row>
    <row r="125" spans="1:77" s="10" customFormat="1" x14ac:dyDescent="0.15">
      <c r="A125" s="10">
        <v>886001011</v>
      </c>
      <c r="B125" s="87" t="s">
        <v>214</v>
      </c>
      <c r="C125" s="10" t="s">
        <v>77</v>
      </c>
      <c r="E125" s="10" t="s">
        <v>78</v>
      </c>
      <c r="J125" s="95"/>
      <c r="K125" s="95"/>
      <c r="L125" s="95"/>
      <c r="M125" s="95"/>
      <c r="N125" s="95"/>
      <c r="O125" s="10" t="s">
        <v>79</v>
      </c>
      <c r="P125" s="10" t="s">
        <v>80</v>
      </c>
      <c r="R125" s="10">
        <v>10000</v>
      </c>
      <c r="T125" s="10">
        <v>10000</v>
      </c>
      <c r="V125" s="10" t="s">
        <v>81</v>
      </c>
    </row>
    <row r="126" spans="1:77" s="10" customFormat="1" x14ac:dyDescent="0.15">
      <c r="A126" s="10">
        <v>887001011</v>
      </c>
      <c r="B126" s="87" t="s">
        <v>215</v>
      </c>
      <c r="C126" s="10" t="s">
        <v>77</v>
      </c>
      <c r="E126" s="10" t="s">
        <v>78</v>
      </c>
      <c r="J126" s="95"/>
      <c r="K126" s="95"/>
      <c r="L126" s="95"/>
      <c r="M126" s="95"/>
      <c r="N126" s="95"/>
      <c r="O126" s="10" t="s">
        <v>79</v>
      </c>
      <c r="P126" s="10" t="s">
        <v>80</v>
      </c>
      <c r="R126" s="10">
        <v>10000</v>
      </c>
      <c r="T126" s="10">
        <v>10000</v>
      </c>
      <c r="V126" s="10" t="s">
        <v>81</v>
      </c>
    </row>
    <row r="127" spans="1:77" s="11" customFormat="1" x14ac:dyDescent="0.15">
      <c r="A127" s="88">
        <v>888001011</v>
      </c>
      <c r="B127" s="89" t="s">
        <v>216</v>
      </c>
      <c r="C127" s="90" t="s">
        <v>77</v>
      </c>
      <c r="D127" s="90"/>
      <c r="E127" s="90" t="s">
        <v>78</v>
      </c>
      <c r="F127" s="90"/>
      <c r="G127" s="90"/>
      <c r="H127" s="90"/>
      <c r="I127" s="90"/>
      <c r="J127" s="96"/>
      <c r="K127" s="96"/>
      <c r="L127" s="96"/>
      <c r="M127" s="96"/>
      <c r="N127" s="96"/>
      <c r="O127" s="90" t="s">
        <v>79</v>
      </c>
      <c r="P127" s="90" t="s">
        <v>80</v>
      </c>
      <c r="Q127" s="90"/>
      <c r="R127" s="88">
        <v>10000</v>
      </c>
      <c r="S127" s="90"/>
      <c r="T127" s="88">
        <v>10000</v>
      </c>
      <c r="U127" s="90"/>
      <c r="V127" s="90" t="s">
        <v>81</v>
      </c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102"/>
    </row>
    <row r="128" spans="1:77" s="8" customFormat="1" x14ac:dyDescent="0.15">
      <c r="A128" s="91">
        <v>901001011</v>
      </c>
      <c r="B128" s="92" t="s">
        <v>217</v>
      </c>
      <c r="C128" s="93" t="s">
        <v>77</v>
      </c>
      <c r="D128" s="93"/>
      <c r="E128" s="94" t="s">
        <v>78</v>
      </c>
      <c r="F128" s="94"/>
      <c r="G128" s="94"/>
      <c r="H128" s="94"/>
      <c r="I128" s="94"/>
      <c r="J128" s="97"/>
      <c r="K128" s="97"/>
      <c r="L128" s="97"/>
      <c r="M128" s="97"/>
      <c r="N128" s="97"/>
      <c r="O128" s="93" t="s">
        <v>79</v>
      </c>
      <c r="P128" s="94" t="s">
        <v>80</v>
      </c>
      <c r="Q128" s="94"/>
      <c r="R128" s="98">
        <v>10000</v>
      </c>
      <c r="S128" s="94"/>
      <c r="T128" s="98">
        <v>10000</v>
      </c>
      <c r="U128" s="94"/>
      <c r="V128" s="94" t="s">
        <v>81</v>
      </c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4"/>
      <c r="BI128" s="94"/>
      <c r="BJ128" s="94"/>
      <c r="BK128" s="94"/>
      <c r="BL128" s="94"/>
      <c r="BM128" s="94"/>
      <c r="BN128" s="94"/>
      <c r="BO128" s="94"/>
      <c r="BP128" s="94"/>
      <c r="BQ128" s="94"/>
      <c r="BR128" s="94"/>
      <c r="BS128" s="94"/>
      <c r="BT128" s="94"/>
      <c r="BU128" s="94"/>
      <c r="BV128" s="94"/>
      <c r="BW128" s="94"/>
      <c r="BX128" s="94"/>
      <c r="BY128" s="103"/>
    </row>
    <row r="129" spans="1:77" s="8" customFormat="1" x14ac:dyDescent="0.15">
      <c r="A129" s="49">
        <v>902001011</v>
      </c>
      <c r="B129" s="50" t="s">
        <v>218</v>
      </c>
      <c r="C129" s="51" t="s">
        <v>77</v>
      </c>
      <c r="D129" s="51"/>
      <c r="E129" s="56" t="s">
        <v>78</v>
      </c>
      <c r="F129" s="56"/>
      <c r="G129" s="56"/>
      <c r="H129" s="56"/>
      <c r="I129" s="56"/>
      <c r="J129" s="67"/>
      <c r="K129" s="67"/>
      <c r="L129" s="67"/>
      <c r="M129" s="67"/>
      <c r="N129" s="67"/>
      <c r="O129" s="51" t="s">
        <v>79</v>
      </c>
      <c r="P129" s="56" t="s">
        <v>80</v>
      </c>
      <c r="Q129" s="56"/>
      <c r="R129" s="53">
        <v>10000</v>
      </c>
      <c r="S129" s="56"/>
      <c r="T129" s="53">
        <v>10000</v>
      </c>
      <c r="U129" s="56"/>
      <c r="V129" s="56" t="s">
        <v>81</v>
      </c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83"/>
    </row>
    <row r="130" spans="1:77" s="8" customFormat="1" x14ac:dyDescent="0.15">
      <c r="A130" s="49">
        <v>903001011</v>
      </c>
      <c r="B130" s="50" t="s">
        <v>219</v>
      </c>
      <c r="C130" s="51" t="s">
        <v>77</v>
      </c>
      <c r="D130" s="51"/>
      <c r="E130" s="56" t="s">
        <v>78</v>
      </c>
      <c r="F130" s="56"/>
      <c r="G130" s="56"/>
      <c r="H130" s="56"/>
      <c r="I130" s="56"/>
      <c r="J130" s="67"/>
      <c r="K130" s="67"/>
      <c r="L130" s="67"/>
      <c r="M130" s="67"/>
      <c r="N130" s="67"/>
      <c r="O130" s="51" t="s">
        <v>79</v>
      </c>
      <c r="P130" s="56" t="s">
        <v>80</v>
      </c>
      <c r="Q130" s="56"/>
      <c r="R130" s="53">
        <v>10000</v>
      </c>
      <c r="S130" s="56"/>
      <c r="T130" s="53">
        <v>10000</v>
      </c>
      <c r="U130" s="56"/>
      <c r="V130" s="56" t="s">
        <v>81</v>
      </c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83"/>
    </row>
    <row r="131" spans="1:77" s="8" customFormat="1" x14ac:dyDescent="0.15">
      <c r="A131" s="49">
        <v>904001011</v>
      </c>
      <c r="B131" s="50" t="s">
        <v>220</v>
      </c>
      <c r="C131" s="51" t="s">
        <v>77</v>
      </c>
      <c r="D131" s="51"/>
      <c r="E131" s="56" t="s">
        <v>78</v>
      </c>
      <c r="F131" s="56"/>
      <c r="G131" s="56"/>
      <c r="H131" s="56"/>
      <c r="I131" s="56"/>
      <c r="J131" s="67"/>
      <c r="K131" s="67"/>
      <c r="L131" s="67"/>
      <c r="M131" s="67"/>
      <c r="N131" s="67"/>
      <c r="O131" s="51" t="s">
        <v>79</v>
      </c>
      <c r="P131" s="56" t="s">
        <v>80</v>
      </c>
      <c r="Q131" s="56"/>
      <c r="R131" s="53">
        <v>10000</v>
      </c>
      <c r="S131" s="56"/>
      <c r="T131" s="53">
        <v>10000</v>
      </c>
      <c r="U131" s="56"/>
      <c r="V131" s="56" t="s">
        <v>81</v>
      </c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6"/>
      <c r="BR131" s="56"/>
      <c r="BS131" s="56"/>
      <c r="BT131" s="56"/>
      <c r="BU131" s="56"/>
      <c r="BV131" s="56"/>
      <c r="BW131" s="56"/>
      <c r="BX131" s="56"/>
      <c r="BY131" s="83"/>
    </row>
    <row r="132" spans="1:77" s="8" customFormat="1" x14ac:dyDescent="0.15">
      <c r="A132" s="49">
        <v>905200011</v>
      </c>
      <c r="B132" s="50" t="s">
        <v>221</v>
      </c>
      <c r="C132" s="49" t="s">
        <v>89</v>
      </c>
      <c r="D132" s="49"/>
      <c r="E132" s="49" t="s">
        <v>78</v>
      </c>
      <c r="F132" s="49"/>
      <c r="G132" s="49"/>
      <c r="H132" s="49"/>
      <c r="I132" s="49"/>
      <c r="J132" s="66"/>
      <c r="K132" s="66"/>
      <c r="L132" s="66"/>
      <c r="M132" s="66"/>
      <c r="N132" s="66"/>
      <c r="O132" s="49" t="s">
        <v>98</v>
      </c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>
        <v>90520001</v>
      </c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112"/>
    </row>
    <row r="133" spans="1:77" s="8" customFormat="1" x14ac:dyDescent="0.15">
      <c r="A133" s="49">
        <v>905001011</v>
      </c>
      <c r="B133" s="50" t="s">
        <v>222</v>
      </c>
      <c r="C133" s="51" t="s">
        <v>77</v>
      </c>
      <c r="D133" s="51"/>
      <c r="E133" s="56" t="s">
        <v>78</v>
      </c>
      <c r="F133" s="56"/>
      <c r="G133" s="56"/>
      <c r="H133" s="56"/>
      <c r="I133" s="56"/>
      <c r="J133" s="67"/>
      <c r="K133" s="67"/>
      <c r="L133" s="67"/>
      <c r="M133" s="67"/>
      <c r="N133" s="67"/>
      <c r="O133" s="51" t="s">
        <v>79</v>
      </c>
      <c r="P133" s="56" t="s">
        <v>80</v>
      </c>
      <c r="Q133" s="56"/>
      <c r="R133" s="53">
        <v>10000</v>
      </c>
      <c r="S133" s="56"/>
      <c r="T133" s="53">
        <v>10000</v>
      </c>
      <c r="U133" s="56"/>
      <c r="V133" s="56" t="s">
        <v>81</v>
      </c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6"/>
      <c r="BR133" s="56"/>
      <c r="BS133" s="56"/>
      <c r="BT133" s="56"/>
      <c r="BU133" s="56"/>
      <c r="BV133" s="56"/>
      <c r="BW133" s="56"/>
      <c r="BX133" s="56"/>
      <c r="BY133" s="83"/>
    </row>
    <row r="134" spans="1:77" s="8" customFormat="1" x14ac:dyDescent="0.15">
      <c r="A134" s="49">
        <v>906001011</v>
      </c>
      <c r="B134" s="50" t="s">
        <v>223</v>
      </c>
      <c r="C134" s="51" t="s">
        <v>77</v>
      </c>
      <c r="D134" s="51"/>
      <c r="E134" s="56" t="s">
        <v>78</v>
      </c>
      <c r="F134" s="56"/>
      <c r="G134" s="56"/>
      <c r="H134" s="56"/>
      <c r="I134" s="56"/>
      <c r="J134" s="67"/>
      <c r="K134" s="67"/>
      <c r="L134" s="67"/>
      <c r="M134" s="67"/>
      <c r="N134" s="67"/>
      <c r="O134" s="51" t="s">
        <v>79</v>
      </c>
      <c r="P134" s="56" t="s">
        <v>80</v>
      </c>
      <c r="Q134" s="56"/>
      <c r="R134" s="53">
        <v>10000</v>
      </c>
      <c r="S134" s="56"/>
      <c r="T134" s="53">
        <v>10000</v>
      </c>
      <c r="U134" s="56"/>
      <c r="V134" s="56" t="s">
        <v>81</v>
      </c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83"/>
    </row>
    <row r="135" spans="1:77" s="8" customFormat="1" x14ac:dyDescent="0.15">
      <c r="A135" s="49">
        <v>906010011</v>
      </c>
      <c r="B135" s="50" t="s">
        <v>224</v>
      </c>
      <c r="C135" s="51" t="s">
        <v>77</v>
      </c>
      <c r="D135" s="51"/>
      <c r="E135" s="56" t="s">
        <v>83</v>
      </c>
      <c r="F135" s="56">
        <v>30000</v>
      </c>
      <c r="G135" s="56"/>
      <c r="H135" s="56"/>
      <c r="I135" s="56"/>
      <c r="J135" s="67"/>
      <c r="K135" s="67"/>
      <c r="L135" s="67"/>
      <c r="M135" s="67" t="s">
        <v>101</v>
      </c>
      <c r="N135" s="67"/>
      <c r="O135" s="56" t="s">
        <v>79</v>
      </c>
      <c r="P135" s="56" t="s">
        <v>102</v>
      </c>
      <c r="Q135" s="56">
        <v>300</v>
      </c>
      <c r="R135" s="53">
        <v>10000</v>
      </c>
      <c r="S135" s="56"/>
      <c r="T135" s="53"/>
      <c r="U135" s="56">
        <v>3500</v>
      </c>
      <c r="V135" s="56" t="s">
        <v>81</v>
      </c>
      <c r="W135" s="56"/>
      <c r="X135" s="56"/>
      <c r="Y135" s="56"/>
      <c r="Z135" s="56"/>
      <c r="AA135" s="56"/>
      <c r="AB135" s="56"/>
      <c r="AC135" s="56"/>
      <c r="AD135" s="56"/>
      <c r="AE135" s="54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6"/>
      <c r="BR135" s="56"/>
      <c r="BS135" s="56"/>
      <c r="BT135" s="56"/>
      <c r="BU135" s="56"/>
      <c r="BV135" s="56"/>
      <c r="BW135" s="56"/>
      <c r="BX135" s="56"/>
      <c r="BY135" s="83"/>
    </row>
    <row r="136" spans="1:77" s="8" customFormat="1" x14ac:dyDescent="0.15">
      <c r="A136" s="49">
        <v>906020011</v>
      </c>
      <c r="B136" s="50" t="s">
        <v>225</v>
      </c>
      <c r="C136" s="51" t="s">
        <v>100</v>
      </c>
      <c r="D136" s="51"/>
      <c r="E136" s="56" t="s">
        <v>85</v>
      </c>
      <c r="F136" s="56">
        <v>70000</v>
      </c>
      <c r="G136" s="56">
        <v>300000</v>
      </c>
      <c r="H136" s="56"/>
      <c r="I136" s="56"/>
      <c r="J136" s="67"/>
      <c r="K136" s="67"/>
      <c r="L136" s="67"/>
      <c r="M136" s="67" t="s">
        <v>101</v>
      </c>
      <c r="N136" s="67"/>
      <c r="O136" s="56" t="s">
        <v>79</v>
      </c>
      <c r="P136" s="56" t="s">
        <v>102</v>
      </c>
      <c r="Q136" s="56">
        <v>200</v>
      </c>
      <c r="R136" s="53">
        <v>10000</v>
      </c>
      <c r="S136" s="56"/>
      <c r="T136" s="53"/>
      <c r="U136" s="56">
        <v>3500</v>
      </c>
      <c r="V136" s="56" t="s">
        <v>81</v>
      </c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 t="s">
        <v>90</v>
      </c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49">
        <v>100004201</v>
      </c>
      <c r="AY136" s="49">
        <v>100004201</v>
      </c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83"/>
    </row>
    <row r="137" spans="1:77" s="8" customFormat="1" x14ac:dyDescent="0.15">
      <c r="A137" s="49">
        <v>906300011</v>
      </c>
      <c r="B137" s="50" t="s">
        <v>226</v>
      </c>
      <c r="C137" s="51" t="s">
        <v>179</v>
      </c>
      <c r="D137" s="51"/>
      <c r="E137" s="56" t="s">
        <v>78</v>
      </c>
      <c r="F137" s="56"/>
      <c r="G137" s="56"/>
      <c r="H137" s="56"/>
      <c r="I137" s="56"/>
      <c r="J137" s="67"/>
      <c r="K137" s="67"/>
      <c r="L137" s="67"/>
      <c r="M137" s="67"/>
      <c r="N137" s="67"/>
      <c r="O137" s="56" t="s">
        <v>90</v>
      </c>
      <c r="P137" s="56"/>
      <c r="Q137" s="56"/>
      <c r="R137" s="53"/>
      <c r="S137" s="56"/>
      <c r="T137" s="53"/>
      <c r="U137" s="56"/>
      <c r="V137" s="56"/>
      <c r="W137" s="56"/>
      <c r="X137" s="56"/>
      <c r="Y137" s="56"/>
      <c r="Z137" s="56"/>
      <c r="AA137" s="56"/>
      <c r="AB137" s="56"/>
      <c r="AC137" s="49">
        <v>906300101</v>
      </c>
      <c r="AD137" s="49">
        <v>906300201</v>
      </c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49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83"/>
    </row>
    <row r="138" spans="1:77" s="8" customFormat="1" x14ac:dyDescent="0.15">
      <c r="A138" s="49">
        <v>907001011</v>
      </c>
      <c r="B138" s="50" t="s">
        <v>227</v>
      </c>
      <c r="C138" s="51" t="s">
        <v>77</v>
      </c>
      <c r="D138" s="51"/>
      <c r="E138" s="56" t="s">
        <v>78</v>
      </c>
      <c r="F138" s="56"/>
      <c r="G138" s="56"/>
      <c r="H138" s="56"/>
      <c r="I138" s="56"/>
      <c r="J138" s="67"/>
      <c r="K138" s="67"/>
      <c r="L138" s="67"/>
      <c r="M138" s="67"/>
      <c r="N138" s="67"/>
      <c r="O138" s="51" t="s">
        <v>79</v>
      </c>
      <c r="P138" s="56" t="s">
        <v>80</v>
      </c>
      <c r="Q138" s="56"/>
      <c r="R138" s="53">
        <v>10000</v>
      </c>
      <c r="S138" s="56"/>
      <c r="T138" s="53">
        <v>10000</v>
      </c>
      <c r="U138" s="56"/>
      <c r="V138" s="56" t="s">
        <v>81</v>
      </c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83"/>
    </row>
    <row r="139" spans="1:77" s="8" customFormat="1" x14ac:dyDescent="0.15">
      <c r="A139" s="49">
        <v>908001011</v>
      </c>
      <c r="B139" s="50" t="s">
        <v>228</v>
      </c>
      <c r="C139" s="51" t="s">
        <v>77</v>
      </c>
      <c r="D139" s="51"/>
      <c r="E139" s="56" t="s">
        <v>78</v>
      </c>
      <c r="F139" s="56"/>
      <c r="G139" s="56"/>
      <c r="H139" s="56"/>
      <c r="I139" s="56"/>
      <c r="J139" s="67"/>
      <c r="K139" s="67"/>
      <c r="L139" s="67"/>
      <c r="M139" s="67"/>
      <c r="N139" s="67"/>
      <c r="O139" s="51" t="s">
        <v>79</v>
      </c>
      <c r="P139" s="56" t="s">
        <v>80</v>
      </c>
      <c r="Q139" s="56"/>
      <c r="R139" s="53">
        <v>10000</v>
      </c>
      <c r="S139" s="56"/>
      <c r="T139" s="53">
        <v>10000</v>
      </c>
      <c r="U139" s="56"/>
      <c r="V139" s="56" t="s">
        <v>81</v>
      </c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  <c r="BQ139" s="56"/>
      <c r="BR139" s="56"/>
      <c r="BS139" s="56"/>
      <c r="BT139" s="56"/>
      <c r="BU139" s="56"/>
      <c r="BV139" s="56"/>
      <c r="BW139" s="56"/>
      <c r="BX139" s="56"/>
      <c r="BY139" s="83"/>
    </row>
    <row r="140" spans="1:77" s="8" customFormat="1" x14ac:dyDescent="0.15">
      <c r="A140" s="49">
        <v>909001011</v>
      </c>
      <c r="B140" s="50" t="s">
        <v>229</v>
      </c>
      <c r="C140" s="51" t="s">
        <v>77</v>
      </c>
      <c r="D140" s="51"/>
      <c r="E140" s="56" t="s">
        <v>78</v>
      </c>
      <c r="F140" s="56"/>
      <c r="G140" s="56"/>
      <c r="H140" s="56"/>
      <c r="I140" s="56"/>
      <c r="J140" s="67"/>
      <c r="K140" s="67"/>
      <c r="L140" s="67"/>
      <c r="M140" s="67"/>
      <c r="N140" s="67"/>
      <c r="O140" s="51" t="s">
        <v>79</v>
      </c>
      <c r="P140" s="56" t="s">
        <v>80</v>
      </c>
      <c r="Q140" s="56"/>
      <c r="R140" s="53">
        <v>10000</v>
      </c>
      <c r="S140" s="56"/>
      <c r="T140" s="53">
        <v>10000</v>
      </c>
      <c r="U140" s="56"/>
      <c r="V140" s="56" t="s">
        <v>81</v>
      </c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 t="s">
        <v>90</v>
      </c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>
        <v>909001101</v>
      </c>
      <c r="AY140" s="56">
        <v>909001101</v>
      </c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6"/>
      <c r="BR140" s="56"/>
      <c r="BS140" s="56"/>
      <c r="BT140" s="56"/>
      <c r="BU140" s="56"/>
      <c r="BV140" s="56"/>
      <c r="BW140" s="56"/>
      <c r="BX140" s="56"/>
      <c r="BY140" s="83"/>
    </row>
    <row r="141" spans="1:77" s="8" customFormat="1" x14ac:dyDescent="0.15">
      <c r="A141" s="49">
        <v>909001012</v>
      </c>
      <c r="B141" s="50" t="s">
        <v>230</v>
      </c>
      <c r="C141" s="51" t="s">
        <v>77</v>
      </c>
      <c r="D141" s="51"/>
      <c r="E141" s="56" t="s">
        <v>78</v>
      </c>
      <c r="F141" s="56"/>
      <c r="G141" s="56"/>
      <c r="H141" s="56"/>
      <c r="I141" s="56"/>
      <c r="J141" s="67"/>
      <c r="K141" s="67"/>
      <c r="L141" s="67"/>
      <c r="M141" s="67"/>
      <c r="N141" s="67"/>
      <c r="O141" s="51" t="s">
        <v>79</v>
      </c>
      <c r="P141" s="56" t="s">
        <v>102</v>
      </c>
      <c r="Q141" s="56">
        <v>60</v>
      </c>
      <c r="R141" s="53">
        <v>1000</v>
      </c>
      <c r="S141" s="56"/>
      <c r="T141" s="53"/>
      <c r="U141" s="56">
        <v>10000</v>
      </c>
      <c r="V141" s="56" t="s">
        <v>81</v>
      </c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6"/>
      <c r="BR141" s="56"/>
      <c r="BS141" s="56"/>
      <c r="BT141" s="56"/>
      <c r="BU141" s="56"/>
      <c r="BV141" s="56"/>
      <c r="BW141" s="56"/>
      <c r="BX141" s="56"/>
      <c r="BY141" s="83"/>
    </row>
    <row r="142" spans="1:77" s="8" customFormat="1" x14ac:dyDescent="0.15">
      <c r="A142" s="49">
        <v>910001011</v>
      </c>
      <c r="B142" s="50" t="s">
        <v>231</v>
      </c>
      <c r="C142" s="51" t="s">
        <v>77</v>
      </c>
      <c r="D142" s="51"/>
      <c r="E142" s="56" t="s">
        <v>78</v>
      </c>
      <c r="F142" s="56"/>
      <c r="G142" s="56"/>
      <c r="H142" s="56"/>
      <c r="I142" s="56"/>
      <c r="J142" s="67"/>
      <c r="K142" s="67"/>
      <c r="L142" s="67"/>
      <c r="M142" s="67"/>
      <c r="N142" s="67"/>
      <c r="O142" s="51" t="s">
        <v>79</v>
      </c>
      <c r="P142" s="56" t="s">
        <v>80</v>
      </c>
      <c r="Q142" s="56"/>
      <c r="R142" s="53">
        <v>10000</v>
      </c>
      <c r="S142" s="56"/>
      <c r="T142" s="53">
        <v>10000</v>
      </c>
      <c r="U142" s="56"/>
      <c r="V142" s="56" t="s">
        <v>81</v>
      </c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83"/>
    </row>
    <row r="143" spans="1:77" s="8" customFormat="1" x14ac:dyDescent="0.15">
      <c r="A143" s="49">
        <v>910010011</v>
      </c>
      <c r="B143" s="50" t="s">
        <v>232</v>
      </c>
      <c r="C143" s="49" t="s">
        <v>112</v>
      </c>
      <c r="D143" s="49"/>
      <c r="E143" s="49" t="s">
        <v>78</v>
      </c>
      <c r="F143" s="49"/>
      <c r="G143" s="49"/>
      <c r="H143" s="49"/>
      <c r="I143" s="49"/>
      <c r="J143" s="66"/>
      <c r="K143" s="66"/>
      <c r="L143" s="66"/>
      <c r="M143" s="66"/>
      <c r="N143" s="66"/>
      <c r="O143" s="49" t="s">
        <v>90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>
        <v>910010101</v>
      </c>
      <c r="AD143" s="49">
        <v>910010101</v>
      </c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  <c r="BX143" s="49"/>
      <c r="BY143" s="112"/>
    </row>
    <row r="144" spans="1:77" s="8" customFormat="1" x14ac:dyDescent="0.15">
      <c r="A144" s="49">
        <v>911001011</v>
      </c>
      <c r="B144" s="50" t="s">
        <v>233</v>
      </c>
      <c r="C144" s="51" t="s">
        <v>77</v>
      </c>
      <c r="D144" s="51"/>
      <c r="E144" s="56" t="s">
        <v>78</v>
      </c>
      <c r="F144" s="56"/>
      <c r="G144" s="56"/>
      <c r="H144" s="56"/>
      <c r="I144" s="56"/>
      <c r="J144" s="67"/>
      <c r="K144" s="67"/>
      <c r="L144" s="67"/>
      <c r="M144" s="67"/>
      <c r="N144" s="67"/>
      <c r="O144" s="51" t="s">
        <v>79</v>
      </c>
      <c r="P144" s="56" t="s">
        <v>80</v>
      </c>
      <c r="Q144" s="56"/>
      <c r="R144" s="53">
        <v>10000</v>
      </c>
      <c r="S144" s="56"/>
      <c r="T144" s="53">
        <v>10000</v>
      </c>
      <c r="U144" s="56"/>
      <c r="V144" s="56" t="s">
        <v>81</v>
      </c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/>
      <c r="BU144" s="56"/>
      <c r="BV144" s="56"/>
      <c r="BW144" s="56"/>
      <c r="BX144" s="56"/>
      <c r="BY144" s="83"/>
    </row>
    <row r="145" spans="1:77" s="8" customFormat="1" x14ac:dyDescent="0.15">
      <c r="A145" s="49">
        <v>911010011</v>
      </c>
      <c r="B145" s="50" t="s">
        <v>234</v>
      </c>
      <c r="C145" s="49" t="s">
        <v>112</v>
      </c>
      <c r="D145" s="49"/>
      <c r="E145" s="49" t="s">
        <v>78</v>
      </c>
      <c r="F145" s="49"/>
      <c r="G145" s="49"/>
      <c r="H145" s="49"/>
      <c r="I145" s="49"/>
      <c r="J145" s="66"/>
      <c r="K145" s="66"/>
      <c r="L145" s="66"/>
      <c r="M145" s="66"/>
      <c r="N145" s="66"/>
      <c r="O145" s="49" t="s">
        <v>90</v>
      </c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>
        <v>911010101</v>
      </c>
      <c r="AD145" s="49">
        <v>911010101</v>
      </c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49"/>
      <c r="BX145" s="49"/>
      <c r="BY145" s="112"/>
    </row>
    <row r="146" spans="1:77" s="8" customFormat="1" x14ac:dyDescent="0.15">
      <c r="A146" s="49">
        <v>912001011</v>
      </c>
      <c r="B146" s="50" t="s">
        <v>235</v>
      </c>
      <c r="C146" s="51" t="s">
        <v>77</v>
      </c>
      <c r="D146" s="51"/>
      <c r="E146" s="56" t="s">
        <v>78</v>
      </c>
      <c r="F146" s="56"/>
      <c r="G146" s="56"/>
      <c r="H146" s="56"/>
      <c r="I146" s="56"/>
      <c r="J146" s="67"/>
      <c r="K146" s="67"/>
      <c r="L146" s="67"/>
      <c r="M146" s="67"/>
      <c r="N146" s="67"/>
      <c r="O146" s="51" t="s">
        <v>79</v>
      </c>
      <c r="P146" s="56" t="s">
        <v>80</v>
      </c>
      <c r="Q146" s="56"/>
      <c r="R146" s="53">
        <v>10000</v>
      </c>
      <c r="S146" s="56"/>
      <c r="T146" s="53">
        <v>10000</v>
      </c>
      <c r="U146" s="56"/>
      <c r="V146" s="110" t="s">
        <v>81</v>
      </c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6"/>
      <c r="BR146" s="56"/>
      <c r="BS146" s="56"/>
      <c r="BT146" s="56"/>
      <c r="BU146" s="56"/>
      <c r="BV146" s="56"/>
      <c r="BW146" s="56"/>
      <c r="BX146" s="56"/>
      <c r="BY146" s="83"/>
    </row>
    <row r="147" spans="1:77" s="8" customFormat="1" x14ac:dyDescent="0.15">
      <c r="A147" s="49">
        <v>912010011</v>
      </c>
      <c r="B147" s="50" t="s">
        <v>236</v>
      </c>
      <c r="C147" s="51" t="s">
        <v>77</v>
      </c>
      <c r="D147" s="52"/>
      <c r="E147" s="53" t="s">
        <v>85</v>
      </c>
      <c r="F147" s="53">
        <v>60000</v>
      </c>
      <c r="G147" s="53">
        <v>150000</v>
      </c>
      <c r="H147" s="53"/>
      <c r="I147" s="53"/>
      <c r="J147" s="66"/>
      <c r="K147" s="66"/>
      <c r="L147" s="66"/>
      <c r="M147" s="66" t="s">
        <v>101</v>
      </c>
      <c r="N147" s="66"/>
      <c r="O147" s="52" t="s">
        <v>79</v>
      </c>
      <c r="P147" s="53" t="s">
        <v>102</v>
      </c>
      <c r="Q147" s="53">
        <v>100</v>
      </c>
      <c r="R147" s="53">
        <v>5000</v>
      </c>
      <c r="S147" s="53"/>
      <c r="T147" s="53"/>
      <c r="U147" s="53">
        <v>3500</v>
      </c>
      <c r="V147" s="71" t="s">
        <v>81</v>
      </c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6"/>
      <c r="BB147" s="56"/>
      <c r="BC147" s="56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82"/>
    </row>
    <row r="148" spans="1:77" s="8" customFormat="1" x14ac:dyDescent="0.15">
      <c r="A148" s="49">
        <v>912010012</v>
      </c>
      <c r="B148" s="50" t="s">
        <v>237</v>
      </c>
      <c r="C148" s="51" t="s">
        <v>89</v>
      </c>
      <c r="D148" s="52"/>
      <c r="E148" s="53" t="s">
        <v>85</v>
      </c>
      <c r="F148" s="53">
        <v>60000</v>
      </c>
      <c r="G148" s="53">
        <v>150000</v>
      </c>
      <c r="H148" s="53"/>
      <c r="I148" s="53"/>
      <c r="J148" s="66"/>
      <c r="K148" s="66"/>
      <c r="L148" s="66"/>
      <c r="M148" s="66" t="s">
        <v>101</v>
      </c>
      <c r="N148" s="66"/>
      <c r="O148" s="53" t="s">
        <v>98</v>
      </c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4">
        <v>91201001</v>
      </c>
      <c r="AF148" s="53"/>
      <c r="AG148" s="53"/>
      <c r="AH148" s="53"/>
      <c r="AI148" s="53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  <c r="BW148" s="53"/>
      <c r="BX148" s="53"/>
      <c r="BY148" s="82"/>
    </row>
    <row r="149" spans="1:77" s="8" customFormat="1" x14ac:dyDescent="0.15">
      <c r="A149" s="49">
        <v>912010013</v>
      </c>
      <c r="B149" s="50" t="s">
        <v>238</v>
      </c>
      <c r="C149" s="51" t="s">
        <v>77</v>
      </c>
      <c r="D149" s="52"/>
      <c r="E149" s="53" t="s">
        <v>78</v>
      </c>
      <c r="F149" s="53"/>
      <c r="G149" s="53"/>
      <c r="H149" s="53"/>
      <c r="I149" s="53"/>
      <c r="J149" s="66"/>
      <c r="K149" s="66"/>
      <c r="L149" s="66"/>
      <c r="M149" s="66" t="s">
        <v>101</v>
      </c>
      <c r="N149" s="66"/>
      <c r="O149" s="52" t="s">
        <v>79</v>
      </c>
      <c r="P149" s="53" t="s">
        <v>102</v>
      </c>
      <c r="Q149" s="53">
        <v>50</v>
      </c>
      <c r="R149" s="53">
        <v>1500</v>
      </c>
      <c r="S149" s="53"/>
      <c r="T149" s="53"/>
      <c r="U149" s="53">
        <v>3500</v>
      </c>
      <c r="V149" s="71" t="s">
        <v>81</v>
      </c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  <c r="BW149" s="53"/>
      <c r="BX149" s="53"/>
      <c r="BY149" s="82"/>
    </row>
    <row r="150" spans="1:77" s="8" customFormat="1" x14ac:dyDescent="0.15">
      <c r="A150" s="49">
        <v>912300011</v>
      </c>
      <c r="B150" s="50" t="s">
        <v>239</v>
      </c>
      <c r="C150" s="51" t="s">
        <v>179</v>
      </c>
      <c r="D150" s="52"/>
      <c r="E150" s="53" t="s">
        <v>78</v>
      </c>
      <c r="F150" s="53"/>
      <c r="G150" s="53"/>
      <c r="H150" s="53"/>
      <c r="I150" s="53"/>
      <c r="J150" s="66"/>
      <c r="K150" s="66"/>
      <c r="L150" s="66"/>
      <c r="M150" s="66"/>
      <c r="N150" s="66"/>
      <c r="O150" s="52" t="s">
        <v>90</v>
      </c>
      <c r="P150" s="53"/>
      <c r="Q150" s="53"/>
      <c r="R150" s="53"/>
      <c r="S150" s="53"/>
      <c r="T150" s="53"/>
      <c r="U150" s="53"/>
      <c r="V150" s="71"/>
      <c r="W150" s="53"/>
      <c r="X150" s="53"/>
      <c r="Y150" s="53"/>
      <c r="Z150" s="53"/>
      <c r="AA150" s="53"/>
      <c r="AB150" s="53"/>
      <c r="AC150" s="49">
        <v>912300101</v>
      </c>
      <c r="AD150" s="49">
        <v>912300201</v>
      </c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  <c r="BW150" s="53"/>
      <c r="BX150" s="53"/>
      <c r="BY150" s="82"/>
    </row>
    <row r="151" spans="1:77" s="8" customFormat="1" x14ac:dyDescent="0.15">
      <c r="A151" s="49">
        <v>913200011</v>
      </c>
      <c r="B151" s="50" t="s">
        <v>240</v>
      </c>
      <c r="C151" s="49" t="s">
        <v>89</v>
      </c>
      <c r="D151" s="49"/>
      <c r="E151" s="49" t="s">
        <v>78</v>
      </c>
      <c r="F151" s="49"/>
      <c r="G151" s="49"/>
      <c r="H151" s="49"/>
      <c r="I151" s="49"/>
      <c r="J151" s="66"/>
      <c r="K151" s="66"/>
      <c r="L151" s="66"/>
      <c r="M151" s="66"/>
      <c r="N151" s="66"/>
      <c r="O151" s="49" t="s">
        <v>98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>
        <v>91320001</v>
      </c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  <c r="BX151" s="49"/>
      <c r="BY151" s="112"/>
    </row>
    <row r="152" spans="1:77" s="8" customFormat="1" x14ac:dyDescent="0.15">
      <c r="A152" s="49">
        <v>913001011</v>
      </c>
      <c r="B152" s="50" t="s">
        <v>241</v>
      </c>
      <c r="C152" s="51" t="s">
        <v>77</v>
      </c>
      <c r="D152" s="51"/>
      <c r="E152" s="56" t="s">
        <v>78</v>
      </c>
      <c r="F152" s="56"/>
      <c r="G152" s="56"/>
      <c r="H152" s="56"/>
      <c r="I152" s="56"/>
      <c r="J152" s="67"/>
      <c r="K152" s="67"/>
      <c r="L152" s="67"/>
      <c r="M152" s="67"/>
      <c r="N152" s="67"/>
      <c r="O152" s="51" t="s">
        <v>79</v>
      </c>
      <c r="P152" s="56" t="s">
        <v>80</v>
      </c>
      <c r="Q152" s="56"/>
      <c r="R152" s="53">
        <v>10000</v>
      </c>
      <c r="S152" s="56"/>
      <c r="T152" s="53">
        <v>10000</v>
      </c>
      <c r="U152" s="56"/>
      <c r="V152" s="56" t="s">
        <v>81</v>
      </c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6"/>
      <c r="BR152" s="56"/>
      <c r="BS152" s="56"/>
      <c r="BT152" s="56"/>
      <c r="BU152" s="56"/>
      <c r="BV152" s="56"/>
      <c r="BW152" s="56"/>
      <c r="BX152" s="56"/>
      <c r="BY152" s="83"/>
    </row>
    <row r="153" spans="1:77" s="8" customFormat="1" x14ac:dyDescent="0.15">
      <c r="A153" s="49">
        <v>913010011</v>
      </c>
      <c r="B153" s="50" t="s">
        <v>242</v>
      </c>
      <c r="C153" s="51" t="s">
        <v>100</v>
      </c>
      <c r="D153" s="52"/>
      <c r="E153" s="53" t="s">
        <v>85</v>
      </c>
      <c r="F153" s="53">
        <v>60000</v>
      </c>
      <c r="G153" s="53">
        <v>200000</v>
      </c>
      <c r="H153" s="53"/>
      <c r="I153" s="53">
        <v>100000</v>
      </c>
      <c r="J153" s="66"/>
      <c r="K153" s="66"/>
      <c r="L153" s="66"/>
      <c r="M153" s="66" t="s">
        <v>101</v>
      </c>
      <c r="N153" s="66"/>
      <c r="O153" s="52" t="s">
        <v>79</v>
      </c>
      <c r="P153" s="53" t="s">
        <v>102</v>
      </c>
      <c r="Q153" s="53">
        <v>500</v>
      </c>
      <c r="R153" s="53">
        <v>10000</v>
      </c>
      <c r="S153" s="53"/>
      <c r="T153" s="53"/>
      <c r="U153" s="53">
        <v>3500</v>
      </c>
      <c r="V153" s="71" t="s">
        <v>81</v>
      </c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4" t="s">
        <v>90</v>
      </c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>
        <v>913010101</v>
      </c>
      <c r="AY153" s="54">
        <v>913010101</v>
      </c>
      <c r="AZ153" s="54"/>
      <c r="BA153" s="56"/>
      <c r="BB153" s="56"/>
      <c r="BC153" s="56"/>
      <c r="BD153" s="53"/>
      <c r="BE153" s="54" t="s">
        <v>90</v>
      </c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>
        <v>100000301</v>
      </c>
      <c r="BT153" s="54">
        <v>100001201</v>
      </c>
      <c r="BU153" s="53"/>
      <c r="BV153" s="53"/>
      <c r="BW153" s="53"/>
      <c r="BX153" s="53"/>
      <c r="BY153" s="82"/>
    </row>
    <row r="154" spans="1:77" s="8" customFormat="1" x14ac:dyDescent="0.15">
      <c r="A154" s="49">
        <v>916001011</v>
      </c>
      <c r="B154" s="50" t="s">
        <v>243</v>
      </c>
      <c r="C154" s="51" t="s">
        <v>77</v>
      </c>
      <c r="D154" s="51"/>
      <c r="E154" s="56" t="s">
        <v>78</v>
      </c>
      <c r="F154" s="56"/>
      <c r="G154" s="56"/>
      <c r="H154" s="56"/>
      <c r="I154" s="56"/>
      <c r="J154" s="67"/>
      <c r="K154" s="67"/>
      <c r="L154" s="67"/>
      <c r="M154" s="67"/>
      <c r="N154" s="67"/>
      <c r="O154" s="51" t="s">
        <v>79</v>
      </c>
      <c r="P154" s="56" t="s">
        <v>80</v>
      </c>
      <c r="Q154" s="56"/>
      <c r="R154" s="53">
        <v>10000</v>
      </c>
      <c r="S154" s="56"/>
      <c r="T154" s="53">
        <v>10000</v>
      </c>
      <c r="U154" s="56"/>
      <c r="V154" s="56" t="s">
        <v>81</v>
      </c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6"/>
      <c r="BR154" s="56"/>
      <c r="BS154" s="56"/>
      <c r="BT154" s="56"/>
      <c r="BU154" s="56"/>
      <c r="BV154" s="56"/>
      <c r="BW154" s="56"/>
      <c r="BX154" s="56"/>
      <c r="BY154" s="83"/>
    </row>
    <row r="155" spans="1:77" s="8" customFormat="1" x14ac:dyDescent="0.15">
      <c r="A155" s="49">
        <v>917001011</v>
      </c>
      <c r="B155" s="50" t="s">
        <v>244</v>
      </c>
      <c r="C155" s="51" t="s">
        <v>77</v>
      </c>
      <c r="D155" s="51"/>
      <c r="E155" s="56" t="s">
        <v>78</v>
      </c>
      <c r="F155" s="56"/>
      <c r="G155" s="56"/>
      <c r="H155" s="56"/>
      <c r="I155" s="56"/>
      <c r="J155" s="67"/>
      <c r="K155" s="67"/>
      <c r="L155" s="67"/>
      <c r="M155" s="67"/>
      <c r="N155" s="67"/>
      <c r="O155" s="51" t="s">
        <v>79</v>
      </c>
      <c r="P155" s="56" t="s">
        <v>80</v>
      </c>
      <c r="Q155" s="56"/>
      <c r="R155" s="53">
        <v>10000</v>
      </c>
      <c r="S155" s="56"/>
      <c r="T155" s="53">
        <v>10000</v>
      </c>
      <c r="U155" s="56"/>
      <c r="V155" s="56" t="s">
        <v>81</v>
      </c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83"/>
    </row>
    <row r="156" spans="1:77" s="8" customFormat="1" x14ac:dyDescent="0.15">
      <c r="A156" s="49">
        <v>916010011</v>
      </c>
      <c r="B156" s="50" t="s">
        <v>245</v>
      </c>
      <c r="C156" s="51" t="s">
        <v>100</v>
      </c>
      <c r="D156" s="51"/>
      <c r="E156" s="56" t="s">
        <v>78</v>
      </c>
      <c r="F156" s="56"/>
      <c r="G156" s="56"/>
      <c r="H156" s="56"/>
      <c r="I156" s="56"/>
      <c r="J156" s="67"/>
      <c r="K156" s="67"/>
      <c r="L156" s="67"/>
      <c r="M156" s="67"/>
      <c r="N156" s="67"/>
      <c r="O156" s="56" t="s">
        <v>90</v>
      </c>
      <c r="P156" s="56"/>
      <c r="Q156" s="56"/>
      <c r="R156" s="53"/>
      <c r="S156" s="56"/>
      <c r="T156" s="53"/>
      <c r="U156" s="56"/>
      <c r="V156" s="56"/>
      <c r="W156" s="56"/>
      <c r="X156" s="56"/>
      <c r="Y156" s="56"/>
      <c r="Z156" s="56"/>
      <c r="AA156" s="56"/>
      <c r="AB156" s="56"/>
      <c r="AC156" s="56">
        <v>916010101</v>
      </c>
      <c r="AD156" s="56">
        <v>916010101</v>
      </c>
      <c r="AE156" s="56"/>
      <c r="AF156" s="56"/>
      <c r="AG156" s="56"/>
      <c r="AH156" s="56"/>
      <c r="AI156" s="56"/>
      <c r="AJ156" s="56" t="s">
        <v>90</v>
      </c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>
        <v>916010201</v>
      </c>
      <c r="AY156" s="56">
        <v>916010201</v>
      </c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  <c r="BV156" s="56"/>
      <c r="BW156" s="56"/>
      <c r="BX156" s="56"/>
      <c r="BY156" s="83"/>
    </row>
    <row r="157" spans="1:77" s="8" customFormat="1" x14ac:dyDescent="0.15">
      <c r="A157" s="49">
        <v>916010012</v>
      </c>
      <c r="B157" s="50" t="s">
        <v>246</v>
      </c>
      <c r="C157" s="51" t="s">
        <v>100</v>
      </c>
      <c r="D157" s="51"/>
      <c r="E157" s="56" t="s">
        <v>78</v>
      </c>
      <c r="F157" s="56"/>
      <c r="G157" s="56"/>
      <c r="H157" s="56"/>
      <c r="I157" s="56"/>
      <c r="J157" s="67"/>
      <c r="K157" s="67"/>
      <c r="L157" s="67"/>
      <c r="M157" s="67"/>
      <c r="N157" s="67"/>
      <c r="O157" s="56" t="s">
        <v>79</v>
      </c>
      <c r="P157" s="56" t="s">
        <v>80</v>
      </c>
      <c r="Q157" s="56">
        <v>15</v>
      </c>
      <c r="R157" s="53"/>
      <c r="S157" s="56"/>
      <c r="T157" s="53"/>
      <c r="U157" s="56"/>
      <c r="V157" s="56"/>
      <c r="W157" s="56" t="s">
        <v>103</v>
      </c>
      <c r="X157" s="56">
        <v>10000</v>
      </c>
      <c r="Y157" s="56">
        <v>2</v>
      </c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6"/>
      <c r="BR157" s="56"/>
      <c r="BS157" s="56"/>
      <c r="BT157" s="56"/>
      <c r="BU157" s="56"/>
      <c r="BV157" s="56"/>
      <c r="BW157" s="56"/>
      <c r="BX157" s="56"/>
      <c r="BY157" s="83"/>
    </row>
    <row r="158" spans="1:77" s="8" customFormat="1" x14ac:dyDescent="0.15">
      <c r="A158" s="49">
        <v>917010011</v>
      </c>
      <c r="B158" s="50" t="s">
        <v>247</v>
      </c>
      <c r="C158" s="49" t="s">
        <v>89</v>
      </c>
      <c r="D158" s="51"/>
      <c r="E158" s="49" t="s">
        <v>78</v>
      </c>
      <c r="F158" s="56"/>
      <c r="G158" s="56"/>
      <c r="H158" s="56"/>
      <c r="I158" s="56"/>
      <c r="J158" s="66"/>
      <c r="K158" s="66"/>
      <c r="L158" s="66"/>
      <c r="M158" s="66"/>
      <c r="N158" s="66"/>
      <c r="O158" s="52" t="s">
        <v>90</v>
      </c>
      <c r="P158" s="56"/>
      <c r="Q158" s="56"/>
      <c r="R158" s="53"/>
      <c r="S158" s="56"/>
      <c r="T158" s="53"/>
      <c r="U158" s="56"/>
      <c r="V158" s="56"/>
      <c r="W158" s="56"/>
      <c r="X158" s="56"/>
      <c r="Y158" s="56"/>
      <c r="Z158" s="56"/>
      <c r="AA158" s="56"/>
      <c r="AB158" s="56"/>
      <c r="AC158" s="56"/>
      <c r="AD158" s="49">
        <v>917010101</v>
      </c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  <c r="BV158" s="56"/>
      <c r="BW158" s="56"/>
      <c r="BX158" s="56"/>
      <c r="BY158" s="83"/>
    </row>
    <row r="159" spans="1:77" s="8" customFormat="1" x14ac:dyDescent="0.15">
      <c r="A159" s="49">
        <v>918200011</v>
      </c>
      <c r="B159" s="50" t="s">
        <v>248</v>
      </c>
      <c r="C159" s="49" t="s">
        <v>89</v>
      </c>
      <c r="D159" s="51"/>
      <c r="E159" s="49" t="s">
        <v>78</v>
      </c>
      <c r="F159" s="56"/>
      <c r="G159" s="56"/>
      <c r="H159" s="56"/>
      <c r="I159" s="56"/>
      <c r="J159" s="66"/>
      <c r="K159" s="66"/>
      <c r="L159" s="66"/>
      <c r="M159" s="66"/>
      <c r="N159" s="66"/>
      <c r="O159" s="52" t="s">
        <v>90</v>
      </c>
      <c r="P159" s="56"/>
      <c r="Q159" s="56"/>
      <c r="R159" s="53"/>
      <c r="S159" s="56"/>
      <c r="T159" s="53"/>
      <c r="U159" s="56"/>
      <c r="V159" s="56"/>
      <c r="W159" s="56"/>
      <c r="X159" s="56"/>
      <c r="Y159" s="56"/>
      <c r="Z159" s="56"/>
      <c r="AA159" s="56"/>
      <c r="AB159" s="56"/>
      <c r="AC159" s="56">
        <v>918200101</v>
      </c>
      <c r="AD159" s="49">
        <v>918200101</v>
      </c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6"/>
      <c r="BR159" s="56"/>
      <c r="BS159" s="56"/>
      <c r="BT159" s="56"/>
      <c r="BU159" s="56"/>
      <c r="BV159" s="56"/>
      <c r="BW159" s="56"/>
      <c r="BX159" s="56"/>
      <c r="BY159" s="83"/>
    </row>
    <row r="160" spans="1:77" s="8" customFormat="1" x14ac:dyDescent="0.15">
      <c r="A160" s="49">
        <v>918201011</v>
      </c>
      <c r="B160" s="50" t="s">
        <v>249</v>
      </c>
      <c r="C160" s="49" t="s">
        <v>89</v>
      </c>
      <c r="D160" s="51"/>
      <c r="E160" s="49" t="s">
        <v>78</v>
      </c>
      <c r="F160" s="56"/>
      <c r="G160" s="56"/>
      <c r="H160" s="56"/>
      <c r="I160" s="56"/>
      <c r="J160" s="66"/>
      <c r="K160" s="66"/>
      <c r="L160" s="66"/>
      <c r="M160" s="66"/>
      <c r="N160" s="66"/>
      <c r="O160" s="52" t="s">
        <v>98</v>
      </c>
      <c r="P160" s="56"/>
      <c r="Q160" s="56"/>
      <c r="R160" s="53"/>
      <c r="S160" s="56"/>
      <c r="T160" s="53"/>
      <c r="U160" s="56"/>
      <c r="V160" s="56"/>
      <c r="W160" s="56"/>
      <c r="X160" s="56"/>
      <c r="Y160" s="56"/>
      <c r="Z160" s="56"/>
      <c r="AA160" s="56"/>
      <c r="AB160" s="56"/>
      <c r="AC160" s="56"/>
      <c r="AD160" s="49"/>
      <c r="AE160" s="56">
        <v>91820101</v>
      </c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  <c r="BV160" s="56"/>
      <c r="BW160" s="56"/>
      <c r="BX160" s="56"/>
      <c r="BY160" s="83"/>
    </row>
    <row r="161" spans="1:77" s="8" customFormat="1" x14ac:dyDescent="0.15">
      <c r="A161" s="49">
        <v>919001011</v>
      </c>
      <c r="B161" s="50" t="s">
        <v>250</v>
      </c>
      <c r="C161" s="51" t="s">
        <v>77</v>
      </c>
      <c r="D161" s="51"/>
      <c r="E161" s="56" t="s">
        <v>78</v>
      </c>
      <c r="F161" s="56"/>
      <c r="G161" s="56"/>
      <c r="H161" s="56"/>
      <c r="I161" s="56"/>
      <c r="J161" s="67"/>
      <c r="K161" s="67"/>
      <c r="L161" s="67"/>
      <c r="M161" s="67"/>
      <c r="N161" s="67"/>
      <c r="O161" s="51" t="s">
        <v>79</v>
      </c>
      <c r="P161" s="56" t="s">
        <v>80</v>
      </c>
      <c r="Q161" s="56"/>
      <c r="R161" s="53">
        <v>10000</v>
      </c>
      <c r="S161" s="56"/>
      <c r="T161" s="53">
        <v>10000</v>
      </c>
      <c r="U161" s="56"/>
      <c r="V161" s="110" t="s">
        <v>81</v>
      </c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6"/>
      <c r="BR161" s="56"/>
      <c r="BS161" s="56"/>
      <c r="BT161" s="56"/>
      <c r="BU161" s="56"/>
      <c r="BV161" s="56"/>
      <c r="BW161" s="56"/>
      <c r="BX161" s="56"/>
      <c r="BY161" s="83"/>
    </row>
    <row r="162" spans="1:77" s="8" customFormat="1" x14ac:dyDescent="0.15">
      <c r="A162" s="49">
        <v>919010011</v>
      </c>
      <c r="B162" s="50" t="s">
        <v>162</v>
      </c>
      <c r="C162" s="51" t="s">
        <v>100</v>
      </c>
      <c r="D162" s="52"/>
      <c r="E162" s="53" t="s">
        <v>85</v>
      </c>
      <c r="F162" s="53">
        <v>60000</v>
      </c>
      <c r="G162" s="53">
        <v>200000</v>
      </c>
      <c r="H162" s="53"/>
      <c r="I162" s="53">
        <v>100000</v>
      </c>
      <c r="J162" s="66"/>
      <c r="K162" s="66"/>
      <c r="L162" s="66"/>
      <c r="M162" s="66" t="s">
        <v>101</v>
      </c>
      <c r="N162" s="66"/>
      <c r="O162" s="52" t="s">
        <v>79</v>
      </c>
      <c r="P162" s="53" t="s">
        <v>102</v>
      </c>
      <c r="Q162" s="53">
        <v>500</v>
      </c>
      <c r="R162" s="53">
        <v>10000</v>
      </c>
      <c r="S162" s="53"/>
      <c r="T162" s="53"/>
      <c r="U162" s="53">
        <v>3500</v>
      </c>
      <c r="V162" s="71" t="s">
        <v>81</v>
      </c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4" t="s">
        <v>90</v>
      </c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>
        <v>919010101</v>
      </c>
      <c r="AY162" s="54">
        <v>919010101</v>
      </c>
      <c r="AZ162" s="54"/>
      <c r="BA162" s="56"/>
      <c r="BB162" s="56"/>
      <c r="BC162" s="56"/>
      <c r="BD162" s="53"/>
      <c r="BE162" s="54" t="s">
        <v>90</v>
      </c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>
        <v>100000301</v>
      </c>
      <c r="BT162" s="54">
        <v>100001201</v>
      </c>
      <c r="BU162" s="53"/>
      <c r="BV162" s="53"/>
      <c r="BW162" s="53"/>
      <c r="BX162" s="53"/>
      <c r="BY162" s="82"/>
    </row>
    <row r="163" spans="1:77" s="8" customFormat="1" x14ac:dyDescent="0.15">
      <c r="A163" s="49">
        <v>920001011</v>
      </c>
      <c r="B163" s="50" t="s">
        <v>251</v>
      </c>
      <c r="C163" s="51" t="s">
        <v>77</v>
      </c>
      <c r="D163" s="51"/>
      <c r="E163" s="56" t="s">
        <v>78</v>
      </c>
      <c r="F163" s="56"/>
      <c r="G163" s="56"/>
      <c r="H163" s="56"/>
      <c r="I163" s="56"/>
      <c r="J163" s="67"/>
      <c r="K163" s="67"/>
      <c r="L163" s="67"/>
      <c r="M163" s="67"/>
      <c r="N163" s="67"/>
      <c r="O163" s="51" t="s">
        <v>79</v>
      </c>
      <c r="P163" s="56" t="s">
        <v>80</v>
      </c>
      <c r="Q163" s="56"/>
      <c r="R163" s="53">
        <v>7000</v>
      </c>
      <c r="S163" s="56"/>
      <c r="T163" s="53">
        <v>10000</v>
      </c>
      <c r="U163" s="56"/>
      <c r="V163" s="110" t="s">
        <v>81</v>
      </c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  <c r="BV163" s="56"/>
      <c r="BW163" s="56"/>
      <c r="BX163" s="56"/>
      <c r="BY163" s="83"/>
    </row>
    <row r="164" spans="1:77" s="8" customFormat="1" x14ac:dyDescent="0.15">
      <c r="A164" s="49">
        <v>920010011</v>
      </c>
      <c r="B164" s="50" t="s">
        <v>163</v>
      </c>
      <c r="C164" s="51" t="s">
        <v>100</v>
      </c>
      <c r="D164" s="52"/>
      <c r="E164" s="53" t="s">
        <v>83</v>
      </c>
      <c r="F164" s="53">
        <v>100000</v>
      </c>
      <c r="G164" s="53"/>
      <c r="H164" s="53"/>
      <c r="I164" s="53"/>
      <c r="J164" s="66"/>
      <c r="K164" s="66"/>
      <c r="L164" s="66"/>
      <c r="M164" s="66" t="s">
        <v>101</v>
      </c>
      <c r="N164" s="66"/>
      <c r="O164" s="52" t="s">
        <v>79</v>
      </c>
      <c r="P164" s="53" t="s">
        <v>80</v>
      </c>
      <c r="Q164" s="53">
        <v>300</v>
      </c>
      <c r="R164" s="53">
        <v>10000</v>
      </c>
      <c r="S164" s="53"/>
      <c r="T164" s="53"/>
      <c r="U164" s="53">
        <v>3500</v>
      </c>
      <c r="V164" s="71" t="s">
        <v>81</v>
      </c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4" t="s">
        <v>90</v>
      </c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>
        <v>920010101</v>
      </c>
      <c r="AY164" s="54">
        <v>920010101</v>
      </c>
      <c r="AZ164" s="54"/>
      <c r="BA164" s="56"/>
      <c r="BB164" s="56"/>
      <c r="BC164" s="56"/>
      <c r="BD164" s="53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3"/>
      <c r="BV164" s="53"/>
      <c r="BW164" s="53"/>
      <c r="BX164" s="53"/>
      <c r="BY164" s="82"/>
    </row>
    <row r="165" spans="1:77" s="8" customFormat="1" x14ac:dyDescent="0.15">
      <c r="A165" s="49">
        <v>920020011</v>
      </c>
      <c r="B165" s="50" t="s">
        <v>164</v>
      </c>
      <c r="C165" s="51" t="s">
        <v>89</v>
      </c>
      <c r="D165" s="52"/>
      <c r="E165" s="53" t="s">
        <v>78</v>
      </c>
      <c r="F165" s="53"/>
      <c r="G165" s="53"/>
      <c r="H165" s="53"/>
      <c r="I165" s="53"/>
      <c r="J165" s="66"/>
      <c r="K165" s="66"/>
      <c r="L165" s="66"/>
      <c r="M165" s="66"/>
      <c r="N165" s="66"/>
      <c r="O165" s="53" t="s">
        <v>98</v>
      </c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4">
        <v>92002001</v>
      </c>
      <c r="AF165" s="53"/>
      <c r="AG165" s="53"/>
      <c r="AH165" s="53"/>
      <c r="AI165" s="53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82"/>
    </row>
    <row r="166" spans="1:77" s="8" customFormat="1" x14ac:dyDescent="0.15">
      <c r="A166" s="49">
        <v>920020012</v>
      </c>
      <c r="B166" s="50" t="s">
        <v>165</v>
      </c>
      <c r="C166" s="51" t="s">
        <v>100</v>
      </c>
      <c r="D166" s="52"/>
      <c r="E166" s="53" t="s">
        <v>78</v>
      </c>
      <c r="F166" s="53"/>
      <c r="G166" s="53"/>
      <c r="H166" s="53"/>
      <c r="I166" s="53"/>
      <c r="J166" s="66"/>
      <c r="K166" s="66"/>
      <c r="L166" s="66"/>
      <c r="M166" s="66" t="s">
        <v>101</v>
      </c>
      <c r="N166" s="66"/>
      <c r="O166" s="52" t="s">
        <v>79</v>
      </c>
      <c r="P166" s="53" t="s">
        <v>102</v>
      </c>
      <c r="Q166" s="53">
        <v>100</v>
      </c>
      <c r="R166" s="53">
        <v>2000</v>
      </c>
      <c r="S166" s="53"/>
      <c r="T166" s="53"/>
      <c r="U166" s="53">
        <v>3500</v>
      </c>
      <c r="V166" s="71" t="s">
        <v>81</v>
      </c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82"/>
    </row>
    <row r="167" spans="1:77" s="8" customFormat="1" x14ac:dyDescent="0.15">
      <c r="A167" s="49">
        <v>920030011</v>
      </c>
      <c r="B167" s="50" t="s">
        <v>166</v>
      </c>
      <c r="C167" s="51" t="s">
        <v>129</v>
      </c>
      <c r="D167" s="52"/>
      <c r="E167" s="53" t="s">
        <v>78</v>
      </c>
      <c r="F167" s="53"/>
      <c r="G167" s="53"/>
      <c r="H167" s="53"/>
      <c r="I167" s="53"/>
      <c r="J167" s="66"/>
      <c r="K167" s="66"/>
      <c r="L167" s="66"/>
      <c r="M167" s="66" t="s">
        <v>101</v>
      </c>
      <c r="N167" s="66"/>
      <c r="O167" s="52" t="s">
        <v>79</v>
      </c>
      <c r="P167" s="53" t="s">
        <v>167</v>
      </c>
      <c r="Q167" s="53">
        <v>500</v>
      </c>
      <c r="R167" s="53"/>
      <c r="S167" s="53"/>
      <c r="T167" s="53"/>
      <c r="U167" s="53"/>
      <c r="V167" s="71" t="s">
        <v>81</v>
      </c>
      <c r="W167" s="53" t="s">
        <v>168</v>
      </c>
      <c r="X167" s="53" t="s">
        <v>169</v>
      </c>
      <c r="Y167" s="53" t="s">
        <v>170</v>
      </c>
      <c r="Z167" s="53" t="s">
        <v>171</v>
      </c>
      <c r="AA167" s="53">
        <v>1500</v>
      </c>
      <c r="AB167" s="53">
        <v>5000</v>
      </c>
      <c r="AC167" s="53"/>
      <c r="AD167" s="53"/>
      <c r="AE167" s="53"/>
      <c r="AF167" s="53"/>
      <c r="AG167" s="53"/>
      <c r="AH167" s="53"/>
      <c r="AI167" s="53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6"/>
      <c r="BB167" s="56"/>
      <c r="BC167" s="56"/>
      <c r="BD167" s="53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3"/>
      <c r="BV167" s="53"/>
      <c r="BW167" s="53"/>
      <c r="BX167" s="53"/>
      <c r="BY167" s="82"/>
    </row>
    <row r="168" spans="1:77" s="8" customFormat="1" x14ac:dyDescent="0.15">
      <c r="A168" s="49">
        <v>920030012</v>
      </c>
      <c r="B168" s="50" t="s">
        <v>172</v>
      </c>
      <c r="C168" s="51" t="s">
        <v>100</v>
      </c>
      <c r="D168" s="52"/>
      <c r="E168" s="53" t="s">
        <v>85</v>
      </c>
      <c r="F168" s="53">
        <v>60000</v>
      </c>
      <c r="G168" s="53">
        <v>150000</v>
      </c>
      <c r="H168" s="53"/>
      <c r="I168" s="53">
        <v>75000</v>
      </c>
      <c r="J168" s="66"/>
      <c r="K168" s="66"/>
      <c r="L168" s="66"/>
      <c r="M168" s="66" t="s">
        <v>101</v>
      </c>
      <c r="N168" s="66"/>
      <c r="O168" s="52" t="s">
        <v>79</v>
      </c>
      <c r="P168" s="53" t="s">
        <v>167</v>
      </c>
      <c r="Q168" s="53">
        <v>250</v>
      </c>
      <c r="R168" s="53"/>
      <c r="S168" s="53"/>
      <c r="T168" s="53"/>
      <c r="U168" s="53"/>
      <c r="V168" s="71" t="s">
        <v>81</v>
      </c>
      <c r="W168" s="53" t="s">
        <v>168</v>
      </c>
      <c r="X168" s="53" t="s">
        <v>169</v>
      </c>
      <c r="Y168" s="53" t="s">
        <v>170</v>
      </c>
      <c r="Z168" s="53" t="s">
        <v>171</v>
      </c>
      <c r="AA168" s="53">
        <v>750</v>
      </c>
      <c r="AB168" s="53">
        <v>5000</v>
      </c>
      <c r="AC168" s="53"/>
      <c r="AD168" s="53"/>
      <c r="AE168" s="53"/>
      <c r="AF168" s="53"/>
      <c r="AG168" s="53"/>
      <c r="AH168" s="53"/>
      <c r="AI168" s="53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6"/>
      <c r="BB168" s="56"/>
      <c r="BC168" s="56"/>
      <c r="BD168" s="53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3"/>
      <c r="BV168" s="53"/>
      <c r="BW168" s="53"/>
      <c r="BX168" s="53"/>
      <c r="BY168" s="82"/>
    </row>
    <row r="169" spans="1:77" s="8" customFormat="1" x14ac:dyDescent="0.15">
      <c r="A169" s="49">
        <v>920030013</v>
      </c>
      <c r="B169" s="50" t="s">
        <v>173</v>
      </c>
      <c r="C169" s="51" t="s">
        <v>89</v>
      </c>
      <c r="D169" s="52"/>
      <c r="E169" s="53" t="s">
        <v>78</v>
      </c>
      <c r="F169" s="53"/>
      <c r="G169" s="53"/>
      <c r="H169" s="53"/>
      <c r="I169" s="53"/>
      <c r="J169" s="66"/>
      <c r="K169" s="66"/>
      <c r="L169" s="66"/>
      <c r="M169" s="66"/>
      <c r="N169" s="66"/>
      <c r="O169" s="52" t="s">
        <v>90</v>
      </c>
      <c r="P169" s="53"/>
      <c r="Q169" s="53"/>
      <c r="R169" s="53"/>
      <c r="S169" s="53"/>
      <c r="T169" s="53"/>
      <c r="U169" s="53"/>
      <c r="V169" s="71"/>
      <c r="W169" s="53"/>
      <c r="X169" s="53"/>
      <c r="Y169" s="53"/>
      <c r="Z169" s="53"/>
      <c r="AA169" s="53"/>
      <c r="AB169" s="53"/>
      <c r="AC169" s="53">
        <v>920030101</v>
      </c>
      <c r="AD169" s="53"/>
      <c r="AE169" s="53"/>
      <c r="AF169" s="53"/>
      <c r="AG169" s="53"/>
      <c r="AH169" s="53"/>
      <c r="AI169" s="53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6"/>
      <c r="BB169" s="56"/>
      <c r="BC169" s="56"/>
      <c r="BD169" s="53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3"/>
      <c r="BV169" s="53"/>
      <c r="BW169" s="53"/>
      <c r="BX169" s="53"/>
      <c r="BY169" s="82"/>
    </row>
    <row r="170" spans="1:77" s="8" customFormat="1" x14ac:dyDescent="0.15">
      <c r="A170" s="54">
        <v>923300011</v>
      </c>
      <c r="B170" s="55" t="s">
        <v>159</v>
      </c>
      <c r="C170" s="51" t="s">
        <v>89</v>
      </c>
      <c r="D170" s="51"/>
      <c r="E170" s="56" t="s">
        <v>83</v>
      </c>
      <c r="F170" s="56">
        <v>150000</v>
      </c>
      <c r="G170" s="56"/>
      <c r="H170" s="56"/>
      <c r="I170" s="56"/>
      <c r="J170" s="67"/>
      <c r="K170" s="67"/>
      <c r="L170" s="67"/>
      <c r="M170" s="67"/>
      <c r="N170" s="67"/>
      <c r="O170" s="51" t="s">
        <v>98</v>
      </c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>
        <v>92330001</v>
      </c>
      <c r="AF170" s="56"/>
      <c r="AG170" s="56"/>
      <c r="AH170" s="56"/>
      <c r="AI170" s="56"/>
      <c r="AJ170" s="56" t="s">
        <v>98</v>
      </c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>
        <v>92330002</v>
      </c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83"/>
    </row>
    <row r="171" spans="1:77" s="8" customFormat="1" x14ac:dyDescent="0.15">
      <c r="A171" s="54">
        <v>923300012</v>
      </c>
      <c r="B171" s="55" t="s">
        <v>160</v>
      </c>
      <c r="C171" s="49" t="s">
        <v>112</v>
      </c>
      <c r="D171" s="51"/>
      <c r="E171" s="56" t="s">
        <v>78</v>
      </c>
      <c r="F171" s="56"/>
      <c r="G171" s="56"/>
      <c r="H171" s="56"/>
      <c r="I171" s="56"/>
      <c r="J171" s="67"/>
      <c r="K171" s="67"/>
      <c r="L171" s="67"/>
      <c r="M171" s="67"/>
      <c r="N171" s="67"/>
      <c r="O171" s="51" t="s">
        <v>90</v>
      </c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>
        <v>923300301</v>
      </c>
      <c r="AD171" s="56">
        <v>923300201</v>
      </c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6"/>
      <c r="BR171" s="56"/>
      <c r="BS171" s="56"/>
      <c r="BT171" s="56"/>
      <c r="BU171" s="56"/>
      <c r="BV171" s="56"/>
      <c r="BW171" s="56"/>
      <c r="BX171" s="56"/>
      <c r="BY171" s="83"/>
    </row>
    <row r="172" spans="1:77" s="8" customFormat="1" x14ac:dyDescent="0.15">
      <c r="A172" s="104">
        <v>101001011</v>
      </c>
      <c r="B172" s="105" t="s">
        <v>252</v>
      </c>
      <c r="C172" s="106" t="s">
        <v>77</v>
      </c>
      <c r="D172" s="106"/>
      <c r="E172" s="106" t="s">
        <v>78</v>
      </c>
      <c r="F172" s="106"/>
      <c r="G172" s="106"/>
      <c r="H172" s="106"/>
      <c r="I172" s="106"/>
      <c r="J172" s="108"/>
      <c r="K172" s="108"/>
      <c r="L172" s="108"/>
      <c r="M172" s="108"/>
      <c r="N172" s="108"/>
      <c r="O172" s="106" t="s">
        <v>79</v>
      </c>
      <c r="P172" s="109" t="s">
        <v>80</v>
      </c>
      <c r="Q172" s="109"/>
      <c r="R172" s="109">
        <v>10000</v>
      </c>
      <c r="S172" s="111"/>
      <c r="T172" s="109">
        <v>10000</v>
      </c>
      <c r="U172" s="111"/>
      <c r="V172" s="109" t="s">
        <v>81</v>
      </c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  <c r="BN172" s="111"/>
      <c r="BO172" s="111"/>
      <c r="BP172" s="111"/>
      <c r="BQ172" s="111"/>
      <c r="BR172" s="111"/>
      <c r="BS172" s="111"/>
      <c r="BT172" s="111"/>
      <c r="BU172" s="111"/>
      <c r="BV172" s="111"/>
      <c r="BW172" s="111"/>
      <c r="BX172" s="111"/>
      <c r="BY172" s="113"/>
    </row>
    <row r="173" spans="1:77" s="8" customFormat="1" x14ac:dyDescent="0.15">
      <c r="A173" s="104">
        <v>101010011</v>
      </c>
      <c r="B173" s="105" t="s">
        <v>253</v>
      </c>
      <c r="C173" s="106" t="s">
        <v>89</v>
      </c>
      <c r="D173" s="106"/>
      <c r="E173" s="106" t="s">
        <v>78</v>
      </c>
      <c r="F173" s="106"/>
      <c r="G173" s="106"/>
      <c r="H173" s="106"/>
      <c r="I173" s="106"/>
      <c r="J173" s="108"/>
      <c r="K173" s="108"/>
      <c r="L173" s="108"/>
      <c r="M173" s="108"/>
      <c r="N173" s="108"/>
      <c r="O173" s="106" t="s">
        <v>90</v>
      </c>
      <c r="P173" s="109"/>
      <c r="Q173" s="109"/>
      <c r="R173" s="109"/>
      <c r="S173" s="111"/>
      <c r="T173" s="111"/>
      <c r="U173" s="111"/>
      <c r="V173" s="109"/>
      <c r="W173" s="111"/>
      <c r="X173" s="111"/>
      <c r="Y173" s="111"/>
      <c r="Z173" s="111"/>
      <c r="AA173" s="111"/>
      <c r="AB173" s="111"/>
      <c r="AC173" s="111">
        <v>101010101</v>
      </c>
      <c r="AD173" s="111">
        <v>101010101</v>
      </c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  <c r="BN173" s="111"/>
      <c r="BO173" s="111"/>
      <c r="BP173" s="111"/>
      <c r="BQ173" s="111"/>
      <c r="BR173" s="111"/>
      <c r="BS173" s="111"/>
      <c r="BT173" s="111"/>
      <c r="BU173" s="111"/>
      <c r="BV173" s="111"/>
      <c r="BW173" s="111"/>
      <c r="BX173" s="111"/>
      <c r="BY173" s="113"/>
    </row>
    <row r="174" spans="1:77" s="8" customFormat="1" x14ac:dyDescent="0.15">
      <c r="A174" s="104">
        <v>102001011</v>
      </c>
      <c r="B174" s="107" t="s">
        <v>254</v>
      </c>
      <c r="C174" s="106" t="s">
        <v>77</v>
      </c>
      <c r="D174" s="106"/>
      <c r="E174" s="106" t="s">
        <v>78</v>
      </c>
      <c r="F174" s="106"/>
      <c r="G174" s="106"/>
      <c r="H174" s="106"/>
      <c r="I174" s="106"/>
      <c r="J174" s="108"/>
      <c r="K174" s="108"/>
      <c r="L174" s="108"/>
      <c r="M174" s="108"/>
      <c r="N174" s="108"/>
      <c r="O174" s="106" t="s">
        <v>79</v>
      </c>
      <c r="P174" s="109" t="s">
        <v>80</v>
      </c>
      <c r="Q174" s="109"/>
      <c r="R174" s="109">
        <v>10000</v>
      </c>
      <c r="S174" s="111"/>
      <c r="T174" s="109">
        <v>10000</v>
      </c>
      <c r="U174" s="111"/>
      <c r="V174" s="109" t="s">
        <v>81</v>
      </c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  <c r="BN174" s="111"/>
      <c r="BO174" s="111"/>
      <c r="BP174" s="111"/>
      <c r="BQ174" s="111"/>
      <c r="BR174" s="111"/>
      <c r="BS174" s="111"/>
      <c r="BT174" s="111"/>
      <c r="BU174" s="111"/>
      <c r="BV174" s="111"/>
      <c r="BW174" s="111"/>
      <c r="BX174" s="111"/>
      <c r="BY174" s="113"/>
    </row>
    <row r="175" spans="1:77" s="8" customFormat="1" x14ac:dyDescent="0.15">
      <c r="A175" s="104">
        <v>102010011</v>
      </c>
      <c r="B175" s="107" t="s">
        <v>255</v>
      </c>
      <c r="C175" s="106" t="s">
        <v>77</v>
      </c>
      <c r="D175" s="106"/>
      <c r="E175" s="106" t="s">
        <v>78</v>
      </c>
      <c r="F175" s="106"/>
      <c r="G175" s="106"/>
      <c r="H175" s="106"/>
      <c r="I175" s="106"/>
      <c r="J175" s="108"/>
      <c r="K175" s="108"/>
      <c r="L175" s="108"/>
      <c r="M175" s="108"/>
      <c r="N175" s="108"/>
      <c r="O175" s="106" t="s">
        <v>79</v>
      </c>
      <c r="P175" s="109" t="s">
        <v>80</v>
      </c>
      <c r="Q175" s="109"/>
      <c r="R175" s="109">
        <v>10000</v>
      </c>
      <c r="S175" s="111"/>
      <c r="T175" s="109"/>
      <c r="U175" s="111"/>
      <c r="V175" s="109" t="s">
        <v>81</v>
      </c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  <c r="BN175" s="111"/>
      <c r="BO175" s="111"/>
      <c r="BP175" s="111"/>
      <c r="BQ175" s="111"/>
      <c r="BR175" s="111"/>
      <c r="BS175" s="111"/>
      <c r="BT175" s="111"/>
      <c r="BU175" s="111"/>
      <c r="BV175" s="111"/>
      <c r="BW175" s="111"/>
      <c r="BX175" s="111"/>
      <c r="BY175" s="113"/>
    </row>
    <row r="176" spans="1:77" s="8" customFormat="1" x14ac:dyDescent="0.15">
      <c r="A176" s="104">
        <v>102011011</v>
      </c>
      <c r="B176" s="107" t="s">
        <v>256</v>
      </c>
      <c r="C176" s="106" t="s">
        <v>89</v>
      </c>
      <c r="D176" s="106"/>
      <c r="E176" s="106" t="s">
        <v>78</v>
      </c>
      <c r="F176" s="106"/>
      <c r="G176" s="106"/>
      <c r="H176" s="106"/>
      <c r="I176" s="106"/>
      <c r="J176" s="108"/>
      <c r="K176" s="108"/>
      <c r="L176" s="108"/>
      <c r="M176" s="108"/>
      <c r="N176" s="108"/>
      <c r="O176" s="106" t="s">
        <v>90</v>
      </c>
      <c r="P176" s="109"/>
      <c r="Q176" s="109"/>
      <c r="R176" s="109"/>
      <c r="S176" s="111"/>
      <c r="T176" s="109"/>
      <c r="U176" s="111"/>
      <c r="V176" s="109"/>
      <c r="W176" s="111"/>
      <c r="X176" s="111"/>
      <c r="Y176" s="111"/>
      <c r="Z176" s="111"/>
      <c r="AA176" s="111"/>
      <c r="AB176" s="111"/>
      <c r="AC176" s="111">
        <v>102011101</v>
      </c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/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3"/>
    </row>
    <row r="177" spans="1:77" s="8" customFormat="1" x14ac:dyDescent="0.15">
      <c r="A177" s="104">
        <v>103001011</v>
      </c>
      <c r="B177" s="107" t="s">
        <v>257</v>
      </c>
      <c r="C177" s="106" t="s">
        <v>77</v>
      </c>
      <c r="D177" s="106"/>
      <c r="E177" s="106" t="s">
        <v>78</v>
      </c>
      <c r="F177" s="106"/>
      <c r="G177" s="106"/>
      <c r="H177" s="106"/>
      <c r="I177" s="106"/>
      <c r="J177" s="108"/>
      <c r="K177" s="108"/>
      <c r="L177" s="108"/>
      <c r="M177" s="108"/>
      <c r="N177" s="108"/>
      <c r="O177" s="106" t="s">
        <v>79</v>
      </c>
      <c r="P177" s="109" t="s">
        <v>80</v>
      </c>
      <c r="Q177" s="109"/>
      <c r="R177" s="109">
        <v>10000</v>
      </c>
      <c r="S177" s="111"/>
      <c r="T177" s="109">
        <v>10000</v>
      </c>
      <c r="U177" s="111"/>
      <c r="V177" s="109" t="s">
        <v>81</v>
      </c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/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3"/>
    </row>
    <row r="178" spans="1:77" s="8" customFormat="1" x14ac:dyDescent="0.15">
      <c r="A178" s="104">
        <v>103010011</v>
      </c>
      <c r="B178" s="105" t="s">
        <v>258</v>
      </c>
      <c r="C178" s="106" t="s">
        <v>100</v>
      </c>
      <c r="D178" s="106"/>
      <c r="E178" s="106" t="s">
        <v>78</v>
      </c>
      <c r="F178" s="106"/>
      <c r="G178" s="106"/>
      <c r="H178" s="106"/>
      <c r="I178" s="106"/>
      <c r="J178" s="108"/>
      <c r="K178" s="108"/>
      <c r="L178" s="108"/>
      <c r="M178" s="108"/>
      <c r="N178" s="108"/>
      <c r="O178" s="106" t="s">
        <v>90</v>
      </c>
      <c r="P178" s="109"/>
      <c r="Q178" s="109"/>
      <c r="R178" s="109"/>
      <c r="S178" s="111"/>
      <c r="T178" s="111"/>
      <c r="U178" s="111"/>
      <c r="V178" s="109"/>
      <c r="W178" s="111"/>
      <c r="X178" s="111"/>
      <c r="Y178" s="111"/>
      <c r="Z178" s="111"/>
      <c r="AA178" s="111"/>
      <c r="AB178" s="111"/>
      <c r="AC178" s="111">
        <v>103010101</v>
      </c>
      <c r="AD178" s="111">
        <v>103010201</v>
      </c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  <c r="BO178" s="111"/>
      <c r="BP178" s="111"/>
      <c r="BQ178" s="111"/>
      <c r="BR178" s="111"/>
      <c r="BS178" s="111"/>
      <c r="BT178" s="111"/>
      <c r="BU178" s="111"/>
      <c r="BV178" s="111"/>
      <c r="BW178" s="111"/>
      <c r="BX178" s="111"/>
      <c r="BY178" s="113"/>
    </row>
    <row r="179" spans="1:77" s="8" customFormat="1" x14ac:dyDescent="0.15">
      <c r="A179" s="104">
        <v>103020011</v>
      </c>
      <c r="B179" s="105" t="s">
        <v>259</v>
      </c>
      <c r="C179" s="106" t="s">
        <v>100</v>
      </c>
      <c r="D179" s="106"/>
      <c r="E179" s="106" t="s">
        <v>78</v>
      </c>
      <c r="F179" s="106"/>
      <c r="G179" s="106"/>
      <c r="H179" s="106"/>
      <c r="I179" s="106"/>
      <c r="J179" s="108"/>
      <c r="K179" s="108"/>
      <c r="L179" s="108"/>
      <c r="M179" s="108"/>
      <c r="N179" s="108"/>
      <c r="O179" s="106" t="s">
        <v>90</v>
      </c>
      <c r="P179" s="109"/>
      <c r="Q179" s="109"/>
      <c r="R179" s="109"/>
      <c r="S179" s="111"/>
      <c r="T179" s="111"/>
      <c r="U179" s="111"/>
      <c r="V179" s="109"/>
      <c r="W179" s="111"/>
      <c r="X179" s="111"/>
      <c r="Y179" s="111"/>
      <c r="Z179" s="111"/>
      <c r="AA179" s="111"/>
      <c r="AB179" s="111"/>
      <c r="AC179" s="111">
        <v>103020101</v>
      </c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/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3"/>
    </row>
    <row r="180" spans="1:77" s="8" customFormat="1" x14ac:dyDescent="0.15">
      <c r="A180" s="104">
        <v>104001011</v>
      </c>
      <c r="B180" s="107" t="s">
        <v>260</v>
      </c>
      <c r="C180" s="106" t="s">
        <v>77</v>
      </c>
      <c r="D180" s="106"/>
      <c r="E180" s="106" t="s">
        <v>78</v>
      </c>
      <c r="F180" s="106"/>
      <c r="G180" s="106"/>
      <c r="H180" s="106"/>
      <c r="I180" s="106"/>
      <c r="J180" s="108"/>
      <c r="K180" s="108"/>
      <c r="L180" s="108"/>
      <c r="M180" s="108"/>
      <c r="N180" s="108"/>
      <c r="O180" s="106" t="s">
        <v>79</v>
      </c>
      <c r="P180" s="109" t="s">
        <v>80</v>
      </c>
      <c r="Q180" s="109"/>
      <c r="R180" s="109">
        <v>10000</v>
      </c>
      <c r="S180" s="111"/>
      <c r="T180" s="109">
        <v>10000</v>
      </c>
      <c r="U180" s="111"/>
      <c r="V180" s="109" t="s">
        <v>81</v>
      </c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  <c r="BO180" s="111"/>
      <c r="BP180" s="111"/>
      <c r="BQ180" s="111"/>
      <c r="BR180" s="111"/>
      <c r="BS180" s="111"/>
      <c r="BT180" s="111"/>
      <c r="BU180" s="111"/>
      <c r="BV180" s="111"/>
      <c r="BW180" s="111"/>
      <c r="BX180" s="111"/>
      <c r="BY180" s="113"/>
    </row>
    <row r="181" spans="1:77" s="8" customFormat="1" x14ac:dyDescent="0.15">
      <c r="A181" s="104">
        <v>104010011</v>
      </c>
      <c r="B181" s="105" t="s">
        <v>261</v>
      </c>
      <c r="C181" s="106" t="s">
        <v>112</v>
      </c>
      <c r="D181" s="106"/>
      <c r="E181" s="106" t="s">
        <v>78</v>
      </c>
      <c r="F181" s="106"/>
      <c r="G181" s="106"/>
      <c r="H181" s="106"/>
      <c r="I181" s="106"/>
      <c r="J181" s="108"/>
      <c r="K181" s="108"/>
      <c r="L181" s="108"/>
      <c r="M181" s="108"/>
      <c r="N181" s="108"/>
      <c r="O181" s="106" t="s">
        <v>90</v>
      </c>
      <c r="P181" s="109"/>
      <c r="Q181" s="109"/>
      <c r="R181" s="109"/>
      <c r="S181" s="111"/>
      <c r="T181" s="111"/>
      <c r="U181" s="111"/>
      <c r="V181" s="109"/>
      <c r="W181" s="111"/>
      <c r="X181" s="111"/>
      <c r="Y181" s="111"/>
      <c r="Z181" s="111"/>
      <c r="AA181" s="111"/>
      <c r="AB181" s="111"/>
      <c r="AC181" s="111">
        <v>104010101</v>
      </c>
      <c r="AD181" s="111">
        <v>104010101</v>
      </c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  <c r="BN181" s="111"/>
      <c r="BO181" s="111"/>
      <c r="BP181" s="111"/>
      <c r="BQ181" s="111"/>
      <c r="BR181" s="111"/>
      <c r="BS181" s="111"/>
      <c r="BT181" s="111"/>
      <c r="BU181" s="111"/>
      <c r="BV181" s="111"/>
      <c r="BW181" s="111"/>
      <c r="BX181" s="111"/>
      <c r="BY181" s="113"/>
    </row>
    <row r="182" spans="1:77" s="8" customFormat="1" x14ac:dyDescent="0.15">
      <c r="A182" s="104">
        <v>104020011</v>
      </c>
      <c r="B182" s="105" t="s">
        <v>262</v>
      </c>
      <c r="C182" s="106" t="s">
        <v>263</v>
      </c>
      <c r="D182" s="106"/>
      <c r="E182" s="106" t="s">
        <v>83</v>
      </c>
      <c r="F182" s="106">
        <v>30000</v>
      </c>
      <c r="G182" s="106"/>
      <c r="H182" s="106"/>
      <c r="I182" s="106"/>
      <c r="J182" s="108"/>
      <c r="K182" s="108"/>
      <c r="L182" s="108"/>
      <c r="M182" s="108"/>
      <c r="N182" s="108"/>
      <c r="O182" s="106" t="s">
        <v>264</v>
      </c>
      <c r="P182" s="109"/>
      <c r="Q182" s="109"/>
      <c r="R182" s="109"/>
      <c r="S182" s="111"/>
      <c r="T182" s="109"/>
      <c r="U182" s="111"/>
      <c r="V182" s="109"/>
      <c r="W182" s="111"/>
      <c r="X182" s="111"/>
      <c r="Y182" s="111"/>
      <c r="Z182" s="111"/>
      <c r="AA182" s="111"/>
      <c r="AB182" s="111"/>
      <c r="AC182" s="111"/>
      <c r="AD182" s="111"/>
      <c r="AE182" s="111" t="s">
        <v>171</v>
      </c>
      <c r="AF182" s="111">
        <v>1200</v>
      </c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  <c r="BN182" s="111"/>
      <c r="BO182" s="111"/>
      <c r="BP182" s="111"/>
      <c r="BQ182" s="111"/>
      <c r="BR182" s="111"/>
      <c r="BS182" s="111"/>
      <c r="BT182" s="111"/>
      <c r="BU182" s="111"/>
      <c r="BV182" s="111"/>
      <c r="BW182" s="111"/>
      <c r="BX182" s="111"/>
      <c r="BY182" s="113"/>
    </row>
    <row r="183" spans="1:77" s="8" customFormat="1" ht="17.100000000000001" customHeight="1" x14ac:dyDescent="0.15">
      <c r="A183" s="104">
        <v>104030011</v>
      </c>
      <c r="B183" s="105" t="s">
        <v>265</v>
      </c>
      <c r="C183" s="106" t="s">
        <v>112</v>
      </c>
      <c r="D183" s="106"/>
      <c r="E183" s="106" t="s">
        <v>78</v>
      </c>
      <c r="F183" s="106"/>
      <c r="G183" s="106"/>
      <c r="H183" s="106"/>
      <c r="I183" s="106"/>
      <c r="J183" s="108"/>
      <c r="K183" s="108"/>
      <c r="L183" s="108"/>
      <c r="M183" s="108"/>
      <c r="N183" s="108"/>
      <c r="O183" s="106" t="s">
        <v>90</v>
      </c>
      <c r="P183" s="109"/>
      <c r="Q183" s="109"/>
      <c r="R183" s="109"/>
      <c r="S183" s="111"/>
      <c r="T183" s="111"/>
      <c r="U183" s="111"/>
      <c r="V183" s="109"/>
      <c r="W183" s="111"/>
      <c r="X183" s="111"/>
      <c r="Y183" s="111"/>
      <c r="Z183" s="111"/>
      <c r="AA183" s="111"/>
      <c r="AB183" s="111"/>
      <c r="AC183" s="111">
        <v>104030101</v>
      </c>
      <c r="AD183" s="111">
        <v>104030101</v>
      </c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  <c r="BN183" s="111"/>
      <c r="BO183" s="111"/>
      <c r="BP183" s="111"/>
      <c r="BQ183" s="111"/>
      <c r="BR183" s="111"/>
      <c r="BS183" s="111"/>
      <c r="BT183" s="111"/>
      <c r="BU183" s="111"/>
      <c r="BV183" s="111"/>
      <c r="BW183" s="111"/>
      <c r="BX183" s="111"/>
      <c r="BY183" s="113"/>
    </row>
    <row r="184" spans="1:77" s="8" customFormat="1" x14ac:dyDescent="0.15">
      <c r="A184" s="104">
        <v>105001011</v>
      </c>
      <c r="B184" s="107" t="s">
        <v>266</v>
      </c>
      <c r="C184" s="106" t="s">
        <v>77</v>
      </c>
      <c r="D184" s="106"/>
      <c r="E184" s="106" t="s">
        <v>78</v>
      </c>
      <c r="F184" s="106"/>
      <c r="G184" s="106"/>
      <c r="H184" s="106"/>
      <c r="I184" s="106"/>
      <c r="J184" s="108"/>
      <c r="K184" s="108"/>
      <c r="L184" s="108"/>
      <c r="M184" s="108"/>
      <c r="N184" s="108"/>
      <c r="O184" s="106" t="s">
        <v>79</v>
      </c>
      <c r="P184" s="109" t="s">
        <v>80</v>
      </c>
      <c r="Q184" s="109"/>
      <c r="R184" s="109">
        <v>10000</v>
      </c>
      <c r="S184" s="111"/>
      <c r="T184" s="109">
        <v>10000</v>
      </c>
      <c r="U184" s="111"/>
      <c r="V184" s="109" t="s">
        <v>81</v>
      </c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  <c r="BN184" s="111"/>
      <c r="BO184" s="111"/>
      <c r="BP184" s="111"/>
      <c r="BQ184" s="111"/>
      <c r="BR184" s="111"/>
      <c r="BS184" s="111"/>
      <c r="BT184" s="111"/>
      <c r="BU184" s="111"/>
      <c r="BV184" s="111"/>
      <c r="BW184" s="111"/>
      <c r="BX184" s="111"/>
      <c r="BY184" s="113"/>
    </row>
    <row r="185" spans="1:77" s="8" customFormat="1" x14ac:dyDescent="0.15">
      <c r="A185" s="104">
        <v>105010011</v>
      </c>
      <c r="B185" s="107" t="s">
        <v>267</v>
      </c>
      <c r="C185" s="106" t="s">
        <v>100</v>
      </c>
      <c r="D185" s="106"/>
      <c r="E185" s="106" t="s">
        <v>78</v>
      </c>
      <c r="F185" s="106"/>
      <c r="G185" s="106"/>
      <c r="H185" s="106"/>
      <c r="I185" s="106"/>
      <c r="J185" s="108"/>
      <c r="K185" s="108"/>
      <c r="L185" s="108"/>
      <c r="M185" s="108"/>
      <c r="N185" s="108"/>
      <c r="O185" s="106" t="s">
        <v>79</v>
      </c>
      <c r="P185" s="109" t="s">
        <v>80</v>
      </c>
      <c r="Q185" s="109"/>
      <c r="R185" s="109">
        <v>2000</v>
      </c>
      <c r="S185" s="111"/>
      <c r="T185" s="111"/>
      <c r="U185" s="111"/>
      <c r="V185" s="109" t="s">
        <v>81</v>
      </c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  <c r="BN185" s="111"/>
      <c r="BO185" s="111"/>
      <c r="BP185" s="111"/>
      <c r="BQ185" s="111"/>
      <c r="BR185" s="111"/>
      <c r="BS185" s="111"/>
      <c r="BT185" s="111"/>
      <c r="BU185" s="111"/>
      <c r="BV185" s="111"/>
      <c r="BW185" s="111"/>
      <c r="BX185" s="111"/>
      <c r="BY185" s="113"/>
    </row>
    <row r="186" spans="1:77" s="8" customFormat="1" x14ac:dyDescent="0.15">
      <c r="A186" s="104">
        <v>105010012</v>
      </c>
      <c r="B186" s="107" t="s">
        <v>268</v>
      </c>
      <c r="C186" s="106" t="s">
        <v>100</v>
      </c>
      <c r="D186" s="106"/>
      <c r="E186" s="106" t="s">
        <v>83</v>
      </c>
      <c r="F186" s="106">
        <v>50000</v>
      </c>
      <c r="G186" s="106"/>
      <c r="H186" s="106"/>
      <c r="I186" s="106"/>
      <c r="J186" s="108"/>
      <c r="K186" s="108"/>
      <c r="L186" s="108"/>
      <c r="M186" s="108"/>
      <c r="N186" s="108"/>
      <c r="O186" s="106"/>
      <c r="P186" s="109"/>
      <c r="Q186" s="109"/>
      <c r="R186" s="109"/>
      <c r="S186" s="111"/>
      <c r="T186" s="111"/>
      <c r="U186" s="111"/>
      <c r="V186" s="109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  <c r="BN186" s="111"/>
      <c r="BO186" s="111"/>
      <c r="BP186" s="111"/>
      <c r="BQ186" s="111"/>
      <c r="BR186" s="111"/>
      <c r="BS186" s="111"/>
      <c r="BT186" s="111"/>
      <c r="BU186" s="111"/>
      <c r="BV186" s="111"/>
      <c r="BW186" s="111"/>
      <c r="BX186" s="111"/>
      <c r="BY186" s="113"/>
    </row>
    <row r="187" spans="1:77" s="8" customFormat="1" x14ac:dyDescent="0.15">
      <c r="A187" s="104">
        <v>106001011</v>
      </c>
      <c r="B187" s="107" t="s">
        <v>269</v>
      </c>
      <c r="C187" s="106" t="s">
        <v>77</v>
      </c>
      <c r="D187" s="106"/>
      <c r="E187" s="106" t="s">
        <v>78</v>
      </c>
      <c r="F187" s="106"/>
      <c r="G187" s="106"/>
      <c r="H187" s="106"/>
      <c r="I187" s="106"/>
      <c r="J187" s="108"/>
      <c r="K187" s="108"/>
      <c r="L187" s="108"/>
      <c r="M187" s="108"/>
      <c r="N187" s="108"/>
      <c r="O187" s="106" t="s">
        <v>79</v>
      </c>
      <c r="P187" s="109" t="s">
        <v>80</v>
      </c>
      <c r="Q187" s="109"/>
      <c r="R187" s="109">
        <v>10000</v>
      </c>
      <c r="S187" s="111"/>
      <c r="T187" s="109">
        <v>10000</v>
      </c>
      <c r="U187" s="111"/>
      <c r="V187" s="109" t="s">
        <v>81</v>
      </c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06"/>
      <c r="AK187" s="109"/>
      <c r="AL187" s="109"/>
      <c r="AM187" s="109"/>
      <c r="AN187" s="111"/>
      <c r="AO187" s="111"/>
      <c r="AP187" s="111"/>
      <c r="AQ187" s="109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  <c r="BO187" s="111"/>
      <c r="BP187" s="111"/>
      <c r="BQ187" s="111"/>
      <c r="BR187" s="111"/>
      <c r="BS187" s="111"/>
      <c r="BT187" s="111"/>
      <c r="BU187" s="111"/>
      <c r="BV187" s="111"/>
      <c r="BW187" s="111"/>
      <c r="BX187" s="111"/>
      <c r="BY187" s="113"/>
    </row>
    <row r="188" spans="1:77" s="8" customFormat="1" x14ac:dyDescent="0.15">
      <c r="A188" s="104">
        <v>106001012</v>
      </c>
      <c r="B188" s="107" t="s">
        <v>270</v>
      </c>
      <c r="C188" s="106" t="s">
        <v>100</v>
      </c>
      <c r="D188" s="106"/>
      <c r="E188" s="106" t="s">
        <v>78</v>
      </c>
      <c r="F188" s="106"/>
      <c r="G188" s="106"/>
      <c r="H188" s="106"/>
      <c r="I188" s="106"/>
      <c r="J188" s="108"/>
      <c r="K188" s="108"/>
      <c r="L188" s="108"/>
      <c r="M188" s="108"/>
      <c r="N188" s="108"/>
      <c r="O188" s="106" t="s">
        <v>271</v>
      </c>
      <c r="P188" s="109" t="s">
        <v>102</v>
      </c>
      <c r="Q188" s="109"/>
      <c r="R188" s="109"/>
      <c r="S188" s="111"/>
      <c r="T188" s="111"/>
      <c r="U188" s="111">
        <v>10000</v>
      </c>
      <c r="V188" s="109"/>
      <c r="W188" s="111"/>
      <c r="X188" s="111"/>
      <c r="Y188" s="111"/>
      <c r="Z188" s="111"/>
      <c r="AA188" s="111"/>
      <c r="AB188" s="111"/>
      <c r="AC188" s="111"/>
      <c r="AD188" s="111"/>
      <c r="AE188" s="111">
        <v>10</v>
      </c>
      <c r="AF188" s="111">
        <v>50</v>
      </c>
      <c r="AG188" s="111">
        <v>50000</v>
      </c>
      <c r="AH188" s="111"/>
      <c r="AI188" s="111"/>
      <c r="AJ188" s="106" t="s">
        <v>90</v>
      </c>
      <c r="AK188" s="109"/>
      <c r="AL188" s="109"/>
      <c r="AM188" s="109"/>
      <c r="AN188" s="111"/>
      <c r="AO188" s="111"/>
      <c r="AP188" s="111"/>
      <c r="AQ188" s="109"/>
      <c r="AR188" s="111"/>
      <c r="AS188" s="111"/>
      <c r="AT188" s="111"/>
      <c r="AU188" s="111"/>
      <c r="AV188" s="111"/>
      <c r="AW188" s="111"/>
      <c r="AX188" s="111"/>
      <c r="AY188" s="111">
        <v>106001201</v>
      </c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  <c r="BO188" s="111"/>
      <c r="BP188" s="111"/>
      <c r="BQ188" s="111"/>
      <c r="BR188" s="111"/>
      <c r="BS188" s="111"/>
      <c r="BT188" s="111"/>
      <c r="BU188" s="111"/>
      <c r="BV188" s="111"/>
      <c r="BW188" s="111"/>
      <c r="BX188" s="111"/>
      <c r="BY188" s="113"/>
    </row>
    <row r="189" spans="1:77" s="8" customFormat="1" x14ac:dyDescent="0.15">
      <c r="A189" s="104">
        <v>106010011</v>
      </c>
      <c r="B189" s="105" t="s">
        <v>272</v>
      </c>
      <c r="C189" s="106" t="s">
        <v>263</v>
      </c>
      <c r="D189" s="106"/>
      <c r="E189" s="106" t="s">
        <v>78</v>
      </c>
      <c r="F189" s="106"/>
      <c r="G189" s="106"/>
      <c r="H189" s="106"/>
      <c r="I189" s="106"/>
      <c r="J189" s="108"/>
      <c r="K189" s="108"/>
      <c r="L189" s="108"/>
      <c r="M189" s="108"/>
      <c r="N189" s="108"/>
      <c r="O189" s="106" t="s">
        <v>273</v>
      </c>
      <c r="P189" s="109"/>
      <c r="Q189" s="109"/>
      <c r="R189" s="109"/>
      <c r="S189" s="111"/>
      <c r="T189" s="111"/>
      <c r="U189" s="111"/>
      <c r="V189" s="109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  <c r="BN189" s="111"/>
      <c r="BO189" s="111"/>
      <c r="BP189" s="111"/>
      <c r="BQ189" s="111"/>
      <c r="BR189" s="111"/>
      <c r="BS189" s="111"/>
      <c r="BT189" s="111"/>
      <c r="BU189" s="111"/>
      <c r="BV189" s="111"/>
      <c r="BW189" s="111"/>
      <c r="BX189" s="111"/>
      <c r="BY189" s="113"/>
    </row>
    <row r="190" spans="1:77" s="8" customFormat="1" x14ac:dyDescent="0.15">
      <c r="A190" s="104">
        <v>107001011</v>
      </c>
      <c r="B190" s="105" t="s">
        <v>274</v>
      </c>
      <c r="C190" s="106" t="s">
        <v>77</v>
      </c>
      <c r="D190" s="106"/>
      <c r="E190" s="106" t="s">
        <v>78</v>
      </c>
      <c r="F190" s="106"/>
      <c r="G190" s="106"/>
      <c r="H190" s="106"/>
      <c r="I190" s="106"/>
      <c r="J190" s="108"/>
      <c r="K190" s="108"/>
      <c r="L190" s="108"/>
      <c r="M190" s="108"/>
      <c r="N190" s="108"/>
      <c r="O190" s="106" t="s">
        <v>79</v>
      </c>
      <c r="P190" s="109" t="s">
        <v>80</v>
      </c>
      <c r="Q190" s="109"/>
      <c r="R190" s="109">
        <v>10000</v>
      </c>
      <c r="S190" s="111"/>
      <c r="T190" s="109">
        <v>10000</v>
      </c>
      <c r="U190" s="111"/>
      <c r="V190" s="109" t="s">
        <v>81</v>
      </c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  <c r="BN190" s="111"/>
      <c r="BO190" s="111"/>
      <c r="BP190" s="111"/>
      <c r="BQ190" s="111"/>
      <c r="BR190" s="111"/>
      <c r="BS190" s="111"/>
      <c r="BT190" s="111"/>
      <c r="BU190" s="111"/>
      <c r="BV190" s="111"/>
      <c r="BW190" s="111"/>
      <c r="BX190" s="111"/>
      <c r="BY190" s="113"/>
    </row>
    <row r="191" spans="1:77" s="8" customFormat="1" x14ac:dyDescent="0.15">
      <c r="A191" s="104">
        <v>107010011</v>
      </c>
      <c r="B191" s="105" t="s">
        <v>275</v>
      </c>
      <c r="C191" s="106" t="s">
        <v>100</v>
      </c>
      <c r="D191" s="106"/>
      <c r="E191" s="106" t="s">
        <v>78</v>
      </c>
      <c r="F191" s="106"/>
      <c r="G191" s="106"/>
      <c r="H191" s="106"/>
      <c r="I191" s="106"/>
      <c r="J191" s="108"/>
      <c r="K191" s="108"/>
      <c r="L191" s="108"/>
      <c r="M191" s="108"/>
      <c r="N191" s="108"/>
      <c r="O191" s="106" t="s">
        <v>90</v>
      </c>
      <c r="P191" s="109"/>
      <c r="Q191" s="109"/>
      <c r="R191" s="109"/>
      <c r="S191" s="111"/>
      <c r="T191" s="111"/>
      <c r="U191" s="111"/>
      <c r="V191" s="109"/>
      <c r="W191" s="111"/>
      <c r="X191" s="111"/>
      <c r="Y191" s="111"/>
      <c r="Z191" s="111"/>
      <c r="AA191" s="111"/>
      <c r="AB191" s="111"/>
      <c r="AC191" s="111">
        <v>107010101</v>
      </c>
      <c r="AD191" s="111">
        <v>107010101</v>
      </c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  <c r="BN191" s="111"/>
      <c r="BO191" s="111"/>
      <c r="BP191" s="111"/>
      <c r="BQ191" s="111"/>
      <c r="BR191" s="111"/>
      <c r="BS191" s="111"/>
      <c r="BT191" s="111"/>
      <c r="BU191" s="111"/>
      <c r="BV191" s="111"/>
      <c r="BW191" s="111"/>
      <c r="BX191" s="111"/>
      <c r="BY191" s="113"/>
    </row>
    <row r="192" spans="1:77" s="8" customFormat="1" x14ac:dyDescent="0.15">
      <c r="A192" s="104">
        <v>107010012</v>
      </c>
      <c r="B192" s="105" t="s">
        <v>276</v>
      </c>
      <c r="C192" s="106" t="s">
        <v>100</v>
      </c>
      <c r="D192" s="106"/>
      <c r="E192" s="106" t="s">
        <v>78</v>
      </c>
      <c r="F192" s="106"/>
      <c r="G192" s="106"/>
      <c r="H192" s="106"/>
      <c r="I192" s="106"/>
      <c r="J192" s="108"/>
      <c r="K192" s="108"/>
      <c r="L192" s="108"/>
      <c r="M192" s="108"/>
      <c r="N192" s="108"/>
      <c r="O192" s="106" t="s">
        <v>277</v>
      </c>
      <c r="P192" s="109"/>
      <c r="Q192" s="109"/>
      <c r="R192" s="109"/>
      <c r="S192" s="111"/>
      <c r="T192" s="111"/>
      <c r="U192" s="111"/>
      <c r="V192" s="109"/>
      <c r="W192" s="111"/>
      <c r="X192" s="111"/>
      <c r="Y192" s="111"/>
      <c r="Z192" s="111"/>
      <c r="AA192" s="111"/>
      <c r="AB192" s="111"/>
      <c r="AC192" s="111"/>
      <c r="AD192" s="111"/>
      <c r="AE192" s="111">
        <v>1070101</v>
      </c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  <c r="BN192" s="111"/>
      <c r="BO192" s="111"/>
      <c r="BP192" s="111"/>
      <c r="BQ192" s="111"/>
      <c r="BR192" s="111"/>
      <c r="BS192" s="111"/>
      <c r="BT192" s="111"/>
      <c r="BU192" s="111"/>
      <c r="BV192" s="111"/>
      <c r="BW192" s="111"/>
      <c r="BX192" s="111"/>
      <c r="BY192" s="113"/>
    </row>
    <row r="193" spans="1:77" s="8" customFormat="1" x14ac:dyDescent="0.15">
      <c r="A193" s="104">
        <v>107010013</v>
      </c>
      <c r="B193" s="105" t="s">
        <v>278</v>
      </c>
      <c r="C193" s="106" t="s">
        <v>100</v>
      </c>
      <c r="D193" s="106"/>
      <c r="E193" s="106" t="s">
        <v>78</v>
      </c>
      <c r="F193" s="106"/>
      <c r="G193" s="106"/>
      <c r="H193" s="106"/>
      <c r="I193" s="106"/>
      <c r="J193" s="108"/>
      <c r="K193" s="108"/>
      <c r="L193" s="108"/>
      <c r="M193" s="108"/>
      <c r="N193" s="108"/>
      <c r="O193" s="106" t="s">
        <v>79</v>
      </c>
      <c r="P193" s="109" t="s">
        <v>102</v>
      </c>
      <c r="Q193" s="109">
        <v>90</v>
      </c>
      <c r="R193" s="109"/>
      <c r="S193" s="111"/>
      <c r="T193" s="111"/>
      <c r="U193" s="111">
        <v>10000</v>
      </c>
      <c r="V193" s="109" t="s">
        <v>81</v>
      </c>
      <c r="W193" s="111"/>
      <c r="X193" s="111"/>
      <c r="Y193" s="111"/>
      <c r="Z193" s="111"/>
      <c r="AA193" s="111"/>
      <c r="AB193" s="111"/>
      <c r="AC193" s="111"/>
      <c r="AD193" s="111"/>
      <c r="AE193" s="111">
        <v>107010101</v>
      </c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11"/>
      <c r="BM193" s="111"/>
      <c r="BN193" s="111"/>
      <c r="BO193" s="111"/>
      <c r="BP193" s="111"/>
      <c r="BQ193" s="111"/>
      <c r="BR193" s="111"/>
      <c r="BS193" s="111"/>
      <c r="BT193" s="111"/>
      <c r="BU193" s="111"/>
      <c r="BV193" s="111"/>
      <c r="BW193" s="111"/>
      <c r="BX193" s="111"/>
      <c r="BY193" s="113"/>
    </row>
    <row r="194" spans="1:77" s="8" customFormat="1" x14ac:dyDescent="0.15">
      <c r="A194" s="104">
        <v>108001011</v>
      </c>
      <c r="B194" s="107" t="s">
        <v>279</v>
      </c>
      <c r="C194" s="106" t="s">
        <v>77</v>
      </c>
      <c r="D194" s="106"/>
      <c r="E194" s="106" t="s">
        <v>78</v>
      </c>
      <c r="F194" s="106"/>
      <c r="G194" s="106"/>
      <c r="H194" s="106"/>
      <c r="I194" s="106"/>
      <c r="J194" s="108"/>
      <c r="K194" s="108"/>
      <c r="L194" s="108"/>
      <c r="M194" s="108"/>
      <c r="N194" s="108"/>
      <c r="O194" s="106" t="s">
        <v>79</v>
      </c>
      <c r="P194" s="109" t="s">
        <v>80</v>
      </c>
      <c r="Q194" s="109"/>
      <c r="R194" s="109">
        <v>10000</v>
      </c>
      <c r="S194" s="111"/>
      <c r="T194" s="116">
        <v>10000</v>
      </c>
      <c r="U194" s="111"/>
      <c r="V194" s="109" t="s">
        <v>81</v>
      </c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  <c r="BG194" s="111"/>
      <c r="BH194" s="111"/>
      <c r="BI194" s="111"/>
      <c r="BJ194" s="111"/>
      <c r="BK194" s="111"/>
      <c r="BL194" s="111"/>
      <c r="BM194" s="111"/>
      <c r="BN194" s="111"/>
      <c r="BO194" s="111"/>
      <c r="BP194" s="111"/>
      <c r="BQ194" s="111"/>
      <c r="BR194" s="111"/>
      <c r="BS194" s="111"/>
      <c r="BT194" s="111"/>
      <c r="BU194" s="111"/>
      <c r="BV194" s="111"/>
      <c r="BW194" s="111"/>
      <c r="BX194" s="111"/>
      <c r="BY194" s="113"/>
    </row>
    <row r="195" spans="1:77" s="8" customFormat="1" x14ac:dyDescent="0.15">
      <c r="A195" s="104">
        <v>108010011</v>
      </c>
      <c r="B195" s="107" t="s">
        <v>280</v>
      </c>
      <c r="C195" s="106" t="s">
        <v>100</v>
      </c>
      <c r="D195" s="106"/>
      <c r="E195" s="106" t="s">
        <v>78</v>
      </c>
      <c r="F195" s="106"/>
      <c r="G195" s="106"/>
      <c r="H195" s="106"/>
      <c r="I195" s="106"/>
      <c r="J195" s="108"/>
      <c r="K195" s="108"/>
      <c r="L195" s="108"/>
      <c r="M195" s="108"/>
      <c r="N195" s="108"/>
      <c r="O195" s="106" t="s">
        <v>79</v>
      </c>
      <c r="P195" s="109" t="s">
        <v>80</v>
      </c>
      <c r="Q195" s="109"/>
      <c r="R195" s="109">
        <v>30000</v>
      </c>
      <c r="S195" s="111"/>
      <c r="T195" s="116"/>
      <c r="U195" s="111"/>
      <c r="V195" s="109" t="s">
        <v>81</v>
      </c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 t="s">
        <v>90</v>
      </c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>
        <v>108010101</v>
      </c>
      <c r="AY195" s="111"/>
      <c r="AZ195" s="111"/>
      <c r="BA195" s="111"/>
      <c r="BB195" s="111"/>
      <c r="BC195" s="111"/>
      <c r="BD195" s="111"/>
      <c r="BE195" s="111"/>
      <c r="BF195" s="111"/>
      <c r="BG195" s="111"/>
      <c r="BH195" s="111"/>
      <c r="BI195" s="111"/>
      <c r="BJ195" s="111"/>
      <c r="BK195" s="111"/>
      <c r="BL195" s="111"/>
      <c r="BM195" s="111"/>
      <c r="BN195" s="111"/>
      <c r="BO195" s="111"/>
      <c r="BP195" s="111"/>
      <c r="BQ195" s="111"/>
      <c r="BR195" s="111"/>
      <c r="BS195" s="111"/>
      <c r="BT195" s="111"/>
      <c r="BU195" s="111"/>
      <c r="BV195" s="111"/>
      <c r="BW195" s="111"/>
      <c r="BX195" s="111"/>
      <c r="BY195" s="113"/>
    </row>
    <row r="196" spans="1:77" s="8" customFormat="1" x14ac:dyDescent="0.15">
      <c r="A196" s="104">
        <v>109001011</v>
      </c>
      <c r="B196" s="105" t="s">
        <v>281</v>
      </c>
      <c r="C196" s="106" t="s">
        <v>77</v>
      </c>
      <c r="D196" s="106"/>
      <c r="E196" s="106" t="s">
        <v>78</v>
      </c>
      <c r="F196" s="106"/>
      <c r="G196" s="106"/>
      <c r="H196" s="106"/>
      <c r="I196" s="106"/>
      <c r="J196" s="108"/>
      <c r="K196" s="108"/>
      <c r="L196" s="108"/>
      <c r="M196" s="108"/>
      <c r="N196" s="108"/>
      <c r="O196" s="106" t="s">
        <v>79</v>
      </c>
      <c r="P196" s="109" t="s">
        <v>80</v>
      </c>
      <c r="Q196" s="109"/>
      <c r="R196" s="109">
        <v>10000</v>
      </c>
      <c r="S196" s="111"/>
      <c r="T196" s="116">
        <v>10000</v>
      </c>
      <c r="U196" s="111"/>
      <c r="V196" s="109" t="s">
        <v>81</v>
      </c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11"/>
      <c r="BM196" s="111"/>
      <c r="BN196" s="111"/>
      <c r="BO196" s="111"/>
      <c r="BP196" s="111"/>
      <c r="BQ196" s="111"/>
      <c r="BR196" s="111"/>
      <c r="BS196" s="111"/>
      <c r="BT196" s="111"/>
      <c r="BU196" s="111"/>
      <c r="BV196" s="111"/>
      <c r="BW196" s="111"/>
      <c r="BX196" s="111"/>
      <c r="BY196" s="113"/>
    </row>
    <row r="197" spans="1:77" s="8" customFormat="1" x14ac:dyDescent="0.15">
      <c r="A197" s="104">
        <v>109010011</v>
      </c>
      <c r="B197" s="105" t="s">
        <v>281</v>
      </c>
      <c r="C197" s="106" t="s">
        <v>129</v>
      </c>
      <c r="D197" s="106"/>
      <c r="E197" s="106" t="s">
        <v>78</v>
      </c>
      <c r="F197" s="106"/>
      <c r="G197" s="106"/>
      <c r="H197" s="106"/>
      <c r="I197" s="106"/>
      <c r="J197" s="108"/>
      <c r="K197" s="108"/>
      <c r="L197" s="108"/>
      <c r="M197" s="108"/>
      <c r="N197" s="108"/>
      <c r="O197" s="106" t="s">
        <v>79</v>
      </c>
      <c r="P197" s="109" t="s">
        <v>80</v>
      </c>
      <c r="Q197" s="109"/>
      <c r="R197" s="109">
        <v>15000</v>
      </c>
      <c r="S197" s="111"/>
      <c r="T197" s="116">
        <v>10000</v>
      </c>
      <c r="U197" s="111"/>
      <c r="V197" s="109" t="s">
        <v>81</v>
      </c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  <c r="BW197" s="111"/>
      <c r="BX197" s="111"/>
      <c r="BY197" s="113"/>
    </row>
    <row r="198" spans="1:77" s="8" customFormat="1" x14ac:dyDescent="0.15">
      <c r="A198" s="104">
        <v>109010012</v>
      </c>
      <c r="B198" s="105" t="s">
        <v>282</v>
      </c>
      <c r="C198" s="106" t="s">
        <v>129</v>
      </c>
      <c r="D198" s="106"/>
      <c r="E198" s="106" t="s">
        <v>83</v>
      </c>
      <c r="F198" s="106">
        <v>45000</v>
      </c>
      <c r="G198" s="106"/>
      <c r="H198" s="106"/>
      <c r="I198" s="106"/>
      <c r="J198" s="108"/>
      <c r="K198" s="108"/>
      <c r="L198" s="108"/>
      <c r="M198" s="108"/>
      <c r="N198" s="108"/>
      <c r="O198" s="106" t="s">
        <v>98</v>
      </c>
      <c r="P198" s="109"/>
      <c r="Q198" s="109"/>
      <c r="R198" s="109"/>
      <c r="S198" s="111"/>
      <c r="T198" s="111"/>
      <c r="U198" s="111"/>
      <c r="V198" s="109"/>
      <c r="W198" s="111"/>
      <c r="X198" s="111"/>
      <c r="Y198" s="111"/>
      <c r="Z198" s="111"/>
      <c r="AA198" s="111"/>
      <c r="AB198" s="111"/>
      <c r="AC198" s="111"/>
      <c r="AD198" s="111"/>
      <c r="AE198" s="111">
        <v>10901001</v>
      </c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  <c r="BN198" s="111"/>
      <c r="BO198" s="111"/>
      <c r="BP198" s="111"/>
      <c r="BQ198" s="111"/>
      <c r="BR198" s="111"/>
      <c r="BS198" s="111"/>
      <c r="BT198" s="111"/>
      <c r="BU198" s="111"/>
      <c r="BV198" s="111"/>
      <c r="BW198" s="111"/>
      <c r="BX198" s="111"/>
      <c r="BY198" s="113"/>
    </row>
    <row r="199" spans="1:77" s="8" customFormat="1" x14ac:dyDescent="0.15">
      <c r="A199" s="104">
        <v>110001011</v>
      </c>
      <c r="B199" s="105" t="s">
        <v>283</v>
      </c>
      <c r="C199" s="106" t="s">
        <v>77</v>
      </c>
      <c r="D199" s="106"/>
      <c r="E199" s="109" t="s">
        <v>78</v>
      </c>
      <c r="F199" s="109"/>
      <c r="G199" s="109"/>
      <c r="H199" s="109"/>
      <c r="I199" s="109"/>
      <c r="J199" s="128"/>
      <c r="K199" s="128"/>
      <c r="L199" s="128"/>
      <c r="M199" s="128"/>
      <c r="N199" s="128"/>
      <c r="O199" s="106" t="s">
        <v>79</v>
      </c>
      <c r="P199" s="109" t="s">
        <v>80</v>
      </c>
      <c r="Q199" s="109"/>
      <c r="R199" s="109">
        <v>10000</v>
      </c>
      <c r="S199" s="111"/>
      <c r="T199" s="116">
        <v>10000</v>
      </c>
      <c r="U199" s="109"/>
      <c r="V199" s="109" t="s">
        <v>81</v>
      </c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  <c r="AO199" s="109"/>
      <c r="AP199" s="109"/>
      <c r="AQ199" s="109"/>
      <c r="AR199" s="109"/>
      <c r="AS199" s="109"/>
      <c r="AT199" s="109"/>
      <c r="AU199" s="109"/>
      <c r="AV199" s="109"/>
      <c r="AW199" s="109"/>
      <c r="AX199" s="109"/>
      <c r="AY199" s="109"/>
      <c r="AZ199" s="109"/>
      <c r="BA199" s="109"/>
      <c r="BB199" s="109"/>
      <c r="BC199" s="109"/>
      <c r="BD199" s="109"/>
      <c r="BE199" s="109"/>
      <c r="BF199" s="109"/>
      <c r="BG199" s="109"/>
      <c r="BH199" s="109"/>
      <c r="BI199" s="109"/>
      <c r="BJ199" s="109"/>
      <c r="BK199" s="109"/>
      <c r="BL199" s="109"/>
      <c r="BM199" s="109"/>
      <c r="BN199" s="109"/>
      <c r="BO199" s="109"/>
      <c r="BP199" s="109"/>
      <c r="BQ199" s="109"/>
      <c r="BR199" s="109"/>
      <c r="BS199" s="109"/>
      <c r="BT199" s="109"/>
      <c r="BU199" s="109"/>
      <c r="BV199" s="109"/>
      <c r="BW199" s="109"/>
      <c r="BX199" s="109"/>
      <c r="BY199" s="136"/>
    </row>
    <row r="200" spans="1:77" s="8" customFormat="1" x14ac:dyDescent="0.15">
      <c r="A200" s="104">
        <v>110010011</v>
      </c>
      <c r="B200" s="105" t="s">
        <v>284</v>
      </c>
      <c r="C200" s="106" t="s">
        <v>100</v>
      </c>
      <c r="D200" s="106"/>
      <c r="E200" s="109" t="s">
        <v>85</v>
      </c>
      <c r="F200" s="109">
        <v>60000</v>
      </c>
      <c r="G200" s="109">
        <v>120000</v>
      </c>
      <c r="H200" s="109"/>
      <c r="I200" s="109">
        <v>60000</v>
      </c>
      <c r="J200" s="128"/>
      <c r="K200" s="128"/>
      <c r="L200" s="128"/>
      <c r="M200" s="128" t="s">
        <v>101</v>
      </c>
      <c r="N200" s="128"/>
      <c r="O200" s="106" t="s">
        <v>79</v>
      </c>
      <c r="P200" s="109" t="s">
        <v>102</v>
      </c>
      <c r="Q200" s="109">
        <v>300</v>
      </c>
      <c r="R200" s="109">
        <v>10000</v>
      </c>
      <c r="S200" s="111"/>
      <c r="T200" s="116"/>
      <c r="U200" s="109">
        <v>3500</v>
      </c>
      <c r="V200" s="109" t="s">
        <v>81</v>
      </c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 t="s">
        <v>90</v>
      </c>
      <c r="AK200" s="109"/>
      <c r="AL200" s="109"/>
      <c r="AM200" s="109"/>
      <c r="AN200" s="109"/>
      <c r="AO200" s="109"/>
      <c r="AP200" s="109"/>
      <c r="AQ200" s="109"/>
      <c r="AR200" s="109"/>
      <c r="AS200" s="109"/>
      <c r="AT200" s="109"/>
      <c r="AU200" s="109"/>
      <c r="AV200" s="109"/>
      <c r="AW200" s="109"/>
      <c r="AX200" s="109">
        <v>110010101</v>
      </c>
      <c r="AY200" s="109">
        <v>110010101</v>
      </c>
      <c r="AZ200" s="109"/>
      <c r="BA200" s="109"/>
      <c r="BB200" s="109"/>
      <c r="BC200" s="109"/>
      <c r="BD200" s="109"/>
      <c r="BE200" s="109"/>
      <c r="BF200" s="109"/>
      <c r="BG200" s="109"/>
      <c r="BH200" s="109"/>
      <c r="BI200" s="109"/>
      <c r="BJ200" s="109"/>
      <c r="BK200" s="109"/>
      <c r="BL200" s="109"/>
      <c r="BM200" s="109"/>
      <c r="BN200" s="109"/>
      <c r="BO200" s="109"/>
      <c r="BP200" s="109"/>
      <c r="BQ200" s="109"/>
      <c r="BR200" s="109"/>
      <c r="BS200" s="109"/>
      <c r="BT200" s="109"/>
      <c r="BU200" s="109"/>
      <c r="BV200" s="109"/>
      <c r="BW200" s="109"/>
      <c r="BX200" s="109"/>
      <c r="BY200" s="136"/>
    </row>
    <row r="201" spans="1:77" s="8" customFormat="1" x14ac:dyDescent="0.15">
      <c r="A201" s="104">
        <v>112001011</v>
      </c>
      <c r="B201" s="107" t="s">
        <v>285</v>
      </c>
      <c r="C201" s="106" t="s">
        <v>77</v>
      </c>
      <c r="D201" s="106"/>
      <c r="E201" s="106" t="s">
        <v>78</v>
      </c>
      <c r="F201" s="106"/>
      <c r="G201" s="106"/>
      <c r="H201" s="106"/>
      <c r="I201" s="106"/>
      <c r="J201" s="108"/>
      <c r="K201" s="108"/>
      <c r="L201" s="108"/>
      <c r="M201" s="108"/>
      <c r="N201" s="108"/>
      <c r="O201" s="106" t="s">
        <v>79</v>
      </c>
      <c r="P201" s="109" t="s">
        <v>80</v>
      </c>
      <c r="Q201" s="109"/>
      <c r="R201" s="109">
        <v>10000</v>
      </c>
      <c r="S201" s="111"/>
      <c r="T201" s="116"/>
      <c r="U201" s="111"/>
      <c r="V201" s="109" t="s">
        <v>81</v>
      </c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 t="s">
        <v>90</v>
      </c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>
        <v>112001201</v>
      </c>
      <c r="AY201" s="111">
        <v>112001101</v>
      </c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  <c r="BN201" s="111"/>
      <c r="BO201" s="111"/>
      <c r="BP201" s="111"/>
      <c r="BQ201" s="111"/>
      <c r="BR201" s="111"/>
      <c r="BS201" s="111"/>
      <c r="BT201" s="111"/>
      <c r="BU201" s="111"/>
      <c r="BV201" s="111"/>
      <c r="BW201" s="111"/>
      <c r="BX201" s="111"/>
      <c r="BY201" s="113"/>
    </row>
    <row r="202" spans="1:77" s="8" customFormat="1" x14ac:dyDescent="0.15">
      <c r="A202" s="104">
        <v>112001012</v>
      </c>
      <c r="B202" s="107" t="s">
        <v>286</v>
      </c>
      <c r="C202" s="106" t="s">
        <v>77</v>
      </c>
      <c r="D202" s="106"/>
      <c r="E202" s="106" t="s">
        <v>83</v>
      </c>
      <c r="F202" s="106">
        <v>30000</v>
      </c>
      <c r="G202" s="106"/>
      <c r="H202" s="106"/>
      <c r="I202" s="106"/>
      <c r="J202" s="108"/>
      <c r="K202" s="108"/>
      <c r="L202" s="108"/>
      <c r="M202" s="108" t="s">
        <v>101</v>
      </c>
      <c r="N202" s="108"/>
      <c r="O202" s="106" t="s">
        <v>79</v>
      </c>
      <c r="P202" s="109" t="s">
        <v>80</v>
      </c>
      <c r="Q202" s="109"/>
      <c r="R202" s="109">
        <v>3000</v>
      </c>
      <c r="S202" s="111"/>
      <c r="T202" s="116"/>
      <c r="U202" s="111"/>
      <c r="V202" s="109" t="s">
        <v>81</v>
      </c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 t="s">
        <v>90</v>
      </c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>
        <v>112001201</v>
      </c>
      <c r="AY202" s="111">
        <v>112001101</v>
      </c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  <c r="BN202" s="111"/>
      <c r="BO202" s="111"/>
      <c r="BP202" s="111"/>
      <c r="BQ202" s="111"/>
      <c r="BR202" s="111"/>
      <c r="BS202" s="111"/>
      <c r="BT202" s="111"/>
      <c r="BU202" s="111"/>
      <c r="BV202" s="111"/>
      <c r="BW202" s="111"/>
      <c r="BX202" s="111"/>
      <c r="BY202" s="113"/>
    </row>
    <row r="203" spans="1:77" s="8" customFormat="1" x14ac:dyDescent="0.15">
      <c r="A203" s="114">
        <v>115001011</v>
      </c>
      <c r="B203" s="107" t="s">
        <v>287</v>
      </c>
      <c r="C203" s="106" t="s">
        <v>77</v>
      </c>
      <c r="D203" s="106"/>
      <c r="E203" s="106" t="s">
        <v>78</v>
      </c>
      <c r="F203" s="106"/>
      <c r="G203" s="106"/>
      <c r="H203" s="106"/>
      <c r="I203" s="106"/>
      <c r="J203" s="108"/>
      <c r="K203" s="108"/>
      <c r="L203" s="108"/>
      <c r="M203" s="108"/>
      <c r="N203" s="108"/>
      <c r="O203" s="106" t="s">
        <v>79</v>
      </c>
      <c r="P203" s="109" t="s">
        <v>80</v>
      </c>
      <c r="Q203" s="109"/>
      <c r="R203" s="109">
        <v>10000</v>
      </c>
      <c r="S203" s="111"/>
      <c r="T203" s="116"/>
      <c r="U203" s="111"/>
      <c r="V203" s="109" t="s">
        <v>81</v>
      </c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11"/>
      <c r="BN203" s="111"/>
      <c r="BO203" s="111"/>
      <c r="BP203" s="111"/>
      <c r="BQ203" s="111"/>
      <c r="BR203" s="111"/>
      <c r="BS203" s="111"/>
      <c r="BT203" s="111"/>
      <c r="BU203" s="111"/>
      <c r="BV203" s="111"/>
      <c r="BW203" s="111"/>
      <c r="BX203" s="111"/>
      <c r="BY203" s="113"/>
    </row>
    <row r="204" spans="1:77" s="8" customFormat="1" x14ac:dyDescent="0.15">
      <c r="A204" s="104">
        <v>116001011</v>
      </c>
      <c r="B204" s="107" t="s">
        <v>288</v>
      </c>
      <c r="C204" s="106" t="s">
        <v>77</v>
      </c>
      <c r="D204" s="106" t="s">
        <v>101</v>
      </c>
      <c r="E204" s="106" t="s">
        <v>83</v>
      </c>
      <c r="F204" s="106">
        <v>30000</v>
      </c>
      <c r="G204" s="106"/>
      <c r="H204" s="106"/>
      <c r="I204" s="106"/>
      <c r="J204" s="108"/>
      <c r="K204" s="108"/>
      <c r="L204" s="108"/>
      <c r="M204" s="108" t="s">
        <v>101</v>
      </c>
      <c r="N204" s="108"/>
      <c r="O204" s="106" t="s">
        <v>79</v>
      </c>
      <c r="P204" s="109" t="s">
        <v>80</v>
      </c>
      <c r="Q204" s="109"/>
      <c r="R204" s="109">
        <v>10000</v>
      </c>
      <c r="S204" s="111"/>
      <c r="T204" s="116"/>
      <c r="U204" s="111"/>
      <c r="V204" s="109" t="s">
        <v>81</v>
      </c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  <c r="BJ204" s="111"/>
      <c r="BK204" s="111"/>
      <c r="BL204" s="111"/>
      <c r="BM204" s="111"/>
      <c r="BN204" s="111"/>
      <c r="BO204" s="111"/>
      <c r="BP204" s="111"/>
      <c r="BQ204" s="111"/>
      <c r="BR204" s="111"/>
      <c r="BS204" s="111"/>
      <c r="BT204" s="111"/>
      <c r="BU204" s="111"/>
      <c r="BV204" s="111"/>
      <c r="BW204" s="111"/>
      <c r="BX204" s="111"/>
      <c r="BY204" s="113"/>
    </row>
    <row r="205" spans="1:77" s="8" customFormat="1" x14ac:dyDescent="0.15">
      <c r="A205" s="104">
        <v>120300011</v>
      </c>
      <c r="B205" s="115" t="s">
        <v>289</v>
      </c>
      <c r="C205" s="106" t="s">
        <v>89</v>
      </c>
      <c r="D205" s="106"/>
      <c r="E205" s="109" t="s">
        <v>83</v>
      </c>
      <c r="F205" s="109">
        <v>20000</v>
      </c>
      <c r="G205" s="109"/>
      <c r="H205" s="109"/>
      <c r="I205" s="109"/>
      <c r="J205" s="128"/>
      <c r="K205" s="128"/>
      <c r="L205" s="128"/>
      <c r="M205" s="128"/>
      <c r="N205" s="128"/>
      <c r="O205" s="106" t="s">
        <v>98</v>
      </c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>
        <v>12030001</v>
      </c>
      <c r="AF205" s="109"/>
      <c r="AG205" s="109"/>
      <c r="AH205" s="109"/>
      <c r="AI205" s="109"/>
      <c r="AJ205" s="109"/>
      <c r="AK205" s="109"/>
      <c r="AL205" s="109"/>
      <c r="AM205" s="109"/>
      <c r="AN205" s="109"/>
      <c r="AO205" s="109"/>
      <c r="AP205" s="109"/>
      <c r="AQ205" s="109"/>
      <c r="AR205" s="109"/>
      <c r="AS205" s="109"/>
      <c r="AT205" s="109"/>
      <c r="AU205" s="109"/>
      <c r="AV205" s="109"/>
      <c r="AW205" s="109"/>
      <c r="AX205" s="109"/>
      <c r="AY205" s="109"/>
      <c r="AZ205" s="109"/>
      <c r="BA205" s="109"/>
      <c r="BB205" s="109"/>
      <c r="BC205" s="109"/>
      <c r="BD205" s="109"/>
      <c r="BE205" s="109"/>
      <c r="BF205" s="109"/>
      <c r="BG205" s="109"/>
      <c r="BH205" s="109"/>
      <c r="BI205" s="109"/>
      <c r="BJ205" s="109"/>
      <c r="BK205" s="109"/>
      <c r="BL205" s="109"/>
      <c r="BM205" s="109"/>
      <c r="BN205" s="109"/>
      <c r="BO205" s="109"/>
      <c r="BP205" s="109"/>
      <c r="BQ205" s="109"/>
      <c r="BR205" s="109"/>
      <c r="BS205" s="109"/>
      <c r="BT205" s="109"/>
      <c r="BU205" s="109"/>
      <c r="BV205" s="109"/>
      <c r="BW205" s="109"/>
      <c r="BX205" s="109"/>
      <c r="BY205" s="136"/>
    </row>
    <row r="206" spans="1:77" s="8" customFormat="1" x14ac:dyDescent="0.15">
      <c r="A206" s="104">
        <v>120300012</v>
      </c>
      <c r="B206" s="115" t="s">
        <v>290</v>
      </c>
      <c r="C206" s="106" t="s">
        <v>89</v>
      </c>
      <c r="D206" s="106"/>
      <c r="E206" s="109" t="s">
        <v>78</v>
      </c>
      <c r="F206" s="109"/>
      <c r="G206" s="109"/>
      <c r="H206" s="109"/>
      <c r="I206" s="109"/>
      <c r="J206" s="128"/>
      <c r="K206" s="128"/>
      <c r="L206" s="128"/>
      <c r="M206" s="128"/>
      <c r="N206" s="128"/>
      <c r="O206" s="106" t="s">
        <v>90</v>
      </c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>
        <v>120300101</v>
      </c>
      <c r="AD206" s="109">
        <v>120300101</v>
      </c>
      <c r="AE206" s="109"/>
      <c r="AF206" s="109"/>
      <c r="AG206" s="109"/>
      <c r="AH206" s="109"/>
      <c r="AI206" s="109"/>
      <c r="AJ206" s="109"/>
      <c r="AK206" s="109"/>
      <c r="AL206" s="109"/>
      <c r="AM206" s="109"/>
      <c r="AN206" s="109"/>
      <c r="AO206" s="109"/>
      <c r="AP206" s="109"/>
      <c r="AQ206" s="109"/>
      <c r="AR206" s="109"/>
      <c r="AS206" s="109"/>
      <c r="AT206" s="109"/>
      <c r="AU206" s="109"/>
      <c r="AV206" s="109"/>
      <c r="AW206" s="109"/>
      <c r="AX206" s="109"/>
      <c r="AY206" s="109"/>
      <c r="AZ206" s="109"/>
      <c r="BA206" s="109"/>
      <c r="BB206" s="109"/>
      <c r="BC206" s="109"/>
      <c r="BD206" s="109"/>
      <c r="BE206" s="109"/>
      <c r="BF206" s="109"/>
      <c r="BG206" s="109"/>
      <c r="BH206" s="109"/>
      <c r="BI206" s="109"/>
      <c r="BJ206" s="109"/>
      <c r="BK206" s="109"/>
      <c r="BL206" s="109"/>
      <c r="BM206" s="109"/>
      <c r="BN206" s="109"/>
      <c r="BO206" s="109"/>
      <c r="BP206" s="109"/>
      <c r="BQ206" s="109"/>
      <c r="BR206" s="109"/>
      <c r="BS206" s="109"/>
      <c r="BT206" s="109"/>
      <c r="BU206" s="109"/>
      <c r="BV206" s="109"/>
      <c r="BW206" s="109"/>
      <c r="BX206" s="109"/>
      <c r="BY206" s="136"/>
    </row>
    <row r="207" spans="1:77" s="12" customFormat="1" x14ac:dyDescent="0.15">
      <c r="A207" s="116">
        <v>121001011</v>
      </c>
      <c r="B207" s="107" t="s">
        <v>291</v>
      </c>
      <c r="C207" s="116" t="s">
        <v>77</v>
      </c>
      <c r="D207" s="116"/>
      <c r="E207" s="116" t="s">
        <v>78</v>
      </c>
      <c r="F207" s="116"/>
      <c r="G207" s="116"/>
      <c r="H207" s="116"/>
      <c r="I207" s="116"/>
      <c r="J207" s="108"/>
      <c r="K207" s="108"/>
      <c r="L207" s="108"/>
      <c r="M207" s="108"/>
      <c r="N207" s="108"/>
      <c r="O207" s="116" t="s">
        <v>79</v>
      </c>
      <c r="P207" s="116" t="s">
        <v>80</v>
      </c>
      <c r="Q207" s="116"/>
      <c r="R207" s="116">
        <v>10000</v>
      </c>
      <c r="S207" s="116"/>
      <c r="T207" s="116">
        <v>10000</v>
      </c>
      <c r="U207" s="116"/>
      <c r="V207" s="116" t="s">
        <v>81</v>
      </c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  <c r="AR207" s="116"/>
      <c r="AS207" s="116"/>
      <c r="AT207" s="116"/>
      <c r="AU207" s="116"/>
      <c r="AV207" s="116"/>
      <c r="AW207" s="116"/>
      <c r="AX207" s="116"/>
      <c r="AY207" s="116"/>
      <c r="AZ207" s="116"/>
      <c r="BA207" s="116"/>
      <c r="BB207" s="116"/>
      <c r="BC207" s="116"/>
      <c r="BD207" s="116"/>
      <c r="BE207" s="116"/>
      <c r="BF207" s="116"/>
      <c r="BG207" s="116"/>
      <c r="BH207" s="116"/>
      <c r="BI207" s="116"/>
      <c r="BJ207" s="116"/>
      <c r="BK207" s="116"/>
      <c r="BL207" s="116"/>
      <c r="BM207" s="116"/>
      <c r="BN207" s="116"/>
      <c r="BO207" s="116"/>
      <c r="BP207" s="116"/>
      <c r="BQ207" s="116"/>
      <c r="BR207" s="116"/>
      <c r="BS207" s="116"/>
      <c r="BT207" s="116"/>
      <c r="BU207" s="116"/>
      <c r="BV207" s="116"/>
      <c r="BW207" s="116"/>
      <c r="BX207" s="116"/>
      <c r="BY207" s="137"/>
    </row>
    <row r="208" spans="1:77" s="8" customFormat="1" x14ac:dyDescent="0.15">
      <c r="A208" s="117">
        <v>201001011</v>
      </c>
      <c r="B208" s="118" t="s">
        <v>292</v>
      </c>
      <c r="C208" s="119" t="s">
        <v>77</v>
      </c>
      <c r="D208" s="119"/>
      <c r="E208" s="119" t="s">
        <v>78</v>
      </c>
      <c r="F208" s="119"/>
      <c r="G208" s="119"/>
      <c r="H208" s="119"/>
      <c r="I208" s="119"/>
      <c r="J208" s="129"/>
      <c r="K208" s="129"/>
      <c r="L208" s="129"/>
      <c r="M208" s="129"/>
      <c r="N208" s="129"/>
      <c r="O208" s="119" t="s">
        <v>79</v>
      </c>
      <c r="P208" s="130" t="s">
        <v>80</v>
      </c>
      <c r="Q208" s="130"/>
      <c r="R208" s="130">
        <v>10000</v>
      </c>
      <c r="S208" s="117"/>
      <c r="T208" s="130">
        <v>10000</v>
      </c>
      <c r="U208" s="117"/>
      <c r="V208" s="130" t="s">
        <v>81</v>
      </c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17"/>
      <c r="AI208" s="117"/>
      <c r="AJ208" s="117"/>
      <c r="AK208" s="117"/>
      <c r="AL208" s="117"/>
      <c r="AM208" s="117"/>
      <c r="AN208" s="117"/>
      <c r="AO208" s="117"/>
      <c r="AP208" s="117"/>
      <c r="AQ208" s="117"/>
      <c r="AR208" s="117"/>
      <c r="AS208" s="117"/>
      <c r="AT208" s="117"/>
      <c r="AU208" s="117"/>
      <c r="AV208" s="117"/>
      <c r="AW208" s="117"/>
      <c r="AX208" s="117"/>
      <c r="AY208" s="117"/>
      <c r="AZ208" s="117"/>
      <c r="BA208" s="117"/>
      <c r="BB208" s="117"/>
      <c r="BC208" s="117"/>
      <c r="BD208" s="117"/>
      <c r="BE208" s="117"/>
      <c r="BF208" s="117"/>
      <c r="BG208" s="117"/>
      <c r="BH208" s="117"/>
      <c r="BI208" s="117"/>
      <c r="BJ208" s="117"/>
      <c r="BK208" s="117"/>
      <c r="BL208" s="117"/>
      <c r="BM208" s="117"/>
      <c r="BN208" s="117"/>
      <c r="BO208" s="117"/>
      <c r="BP208" s="117"/>
      <c r="BQ208" s="117"/>
      <c r="BR208" s="117"/>
      <c r="BS208" s="117"/>
      <c r="BT208" s="117"/>
      <c r="BU208" s="117"/>
      <c r="BV208" s="117"/>
      <c r="BW208" s="117"/>
      <c r="BX208" s="117"/>
      <c r="BY208" s="138"/>
    </row>
    <row r="209" spans="1:77" s="8" customFormat="1" x14ac:dyDescent="0.15">
      <c r="A209" s="104">
        <v>201010011</v>
      </c>
      <c r="B209" s="105" t="s">
        <v>293</v>
      </c>
      <c r="C209" s="106" t="s">
        <v>89</v>
      </c>
      <c r="D209" s="106"/>
      <c r="E209" s="106" t="s">
        <v>78</v>
      </c>
      <c r="F209" s="106"/>
      <c r="G209" s="106"/>
      <c r="H209" s="106"/>
      <c r="I209" s="106"/>
      <c r="J209" s="108"/>
      <c r="K209" s="108"/>
      <c r="L209" s="108"/>
      <c r="M209" s="108"/>
      <c r="N209" s="108"/>
      <c r="O209" s="106" t="s">
        <v>90</v>
      </c>
      <c r="P209" s="109"/>
      <c r="Q209" s="109"/>
      <c r="R209" s="109"/>
      <c r="S209" s="111"/>
      <c r="T209" s="111"/>
      <c r="U209" s="111"/>
      <c r="V209" s="109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  <c r="BN209" s="111"/>
      <c r="BO209" s="111"/>
      <c r="BP209" s="111"/>
      <c r="BQ209" s="111"/>
      <c r="BR209" s="111"/>
      <c r="BS209" s="111"/>
      <c r="BT209" s="111"/>
      <c r="BU209" s="111"/>
      <c r="BV209" s="111"/>
      <c r="BW209" s="111"/>
      <c r="BX209" s="111"/>
      <c r="BY209" s="113"/>
    </row>
    <row r="210" spans="1:77" s="8" customFormat="1" x14ac:dyDescent="0.15">
      <c r="A210" s="104">
        <v>202001011</v>
      </c>
      <c r="B210" s="107" t="s">
        <v>294</v>
      </c>
      <c r="C210" s="106" t="s">
        <v>77</v>
      </c>
      <c r="D210" s="106"/>
      <c r="E210" s="106" t="s">
        <v>78</v>
      </c>
      <c r="F210" s="106"/>
      <c r="G210" s="106"/>
      <c r="H210" s="106"/>
      <c r="I210" s="106"/>
      <c r="J210" s="108"/>
      <c r="K210" s="108"/>
      <c r="L210" s="108"/>
      <c r="M210" s="108"/>
      <c r="N210" s="108"/>
      <c r="O210" s="106" t="s">
        <v>79</v>
      </c>
      <c r="P210" s="109" t="s">
        <v>80</v>
      </c>
      <c r="Q210" s="109"/>
      <c r="R210" s="109">
        <v>10000</v>
      </c>
      <c r="S210" s="111"/>
      <c r="T210" s="109">
        <v>10000</v>
      </c>
      <c r="U210" s="111"/>
      <c r="V210" s="109" t="s">
        <v>81</v>
      </c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  <c r="BN210" s="111"/>
      <c r="BO210" s="111"/>
      <c r="BP210" s="111"/>
      <c r="BQ210" s="111"/>
      <c r="BR210" s="111"/>
      <c r="BS210" s="111"/>
      <c r="BT210" s="111"/>
      <c r="BU210" s="111"/>
      <c r="BV210" s="111"/>
      <c r="BW210" s="111"/>
      <c r="BX210" s="111"/>
      <c r="BY210" s="113"/>
    </row>
    <row r="211" spans="1:77" s="8" customFormat="1" x14ac:dyDescent="0.15">
      <c r="A211" s="104">
        <v>202010011</v>
      </c>
      <c r="B211" s="105" t="s">
        <v>295</v>
      </c>
      <c r="C211" s="106" t="s">
        <v>89</v>
      </c>
      <c r="D211" s="106"/>
      <c r="E211" s="106" t="s">
        <v>78</v>
      </c>
      <c r="F211" s="106"/>
      <c r="G211" s="106"/>
      <c r="H211" s="106"/>
      <c r="I211" s="106"/>
      <c r="J211" s="108"/>
      <c r="K211" s="108"/>
      <c r="L211" s="108"/>
      <c r="M211" s="108"/>
      <c r="N211" s="108"/>
      <c r="O211" s="106" t="s">
        <v>90</v>
      </c>
      <c r="P211" s="109"/>
      <c r="Q211" s="109"/>
      <c r="R211" s="109"/>
      <c r="S211" s="111"/>
      <c r="T211" s="111"/>
      <c r="U211" s="111"/>
      <c r="V211" s="109"/>
      <c r="W211" s="111"/>
      <c r="X211" s="111"/>
      <c r="Y211" s="111"/>
      <c r="Z211" s="111"/>
      <c r="AA211" s="111"/>
      <c r="AB211" s="111"/>
      <c r="AC211" s="111">
        <v>202010101</v>
      </c>
      <c r="AD211" s="111">
        <v>202010101</v>
      </c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  <c r="BN211" s="111"/>
      <c r="BO211" s="111"/>
      <c r="BP211" s="111"/>
      <c r="BQ211" s="111"/>
      <c r="BR211" s="111"/>
      <c r="BS211" s="111"/>
      <c r="BT211" s="111"/>
      <c r="BU211" s="111"/>
      <c r="BV211" s="111"/>
      <c r="BW211" s="111"/>
      <c r="BX211" s="111"/>
      <c r="BY211" s="113"/>
    </row>
    <row r="212" spans="1:77" s="8" customFormat="1" x14ac:dyDescent="0.15">
      <c r="A212" s="104">
        <v>203001011</v>
      </c>
      <c r="B212" s="107" t="s">
        <v>296</v>
      </c>
      <c r="C212" s="106" t="s">
        <v>77</v>
      </c>
      <c r="D212" s="106"/>
      <c r="E212" s="106" t="s">
        <v>78</v>
      </c>
      <c r="F212" s="106"/>
      <c r="G212" s="106"/>
      <c r="H212" s="106"/>
      <c r="I212" s="106"/>
      <c r="J212" s="108"/>
      <c r="K212" s="108"/>
      <c r="L212" s="108"/>
      <c r="M212" s="108"/>
      <c r="N212" s="108"/>
      <c r="O212" s="106" t="s">
        <v>79</v>
      </c>
      <c r="P212" s="109" t="s">
        <v>80</v>
      </c>
      <c r="Q212" s="109"/>
      <c r="R212" s="109">
        <v>10000</v>
      </c>
      <c r="S212" s="111"/>
      <c r="T212" s="109">
        <v>10000</v>
      </c>
      <c r="U212" s="111"/>
      <c r="V212" s="109" t="s">
        <v>81</v>
      </c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  <c r="BN212" s="111"/>
      <c r="BO212" s="111"/>
      <c r="BP212" s="111"/>
      <c r="BQ212" s="111"/>
      <c r="BR212" s="111"/>
      <c r="BS212" s="111"/>
      <c r="BT212" s="111"/>
      <c r="BU212" s="111"/>
      <c r="BV212" s="111"/>
      <c r="BW212" s="111"/>
      <c r="BX212" s="111"/>
      <c r="BY212" s="113"/>
    </row>
    <row r="213" spans="1:77" s="8" customFormat="1" x14ac:dyDescent="0.15">
      <c r="A213" s="120">
        <v>203010011</v>
      </c>
      <c r="B213" s="121" t="s">
        <v>297</v>
      </c>
      <c r="C213" s="122" t="s">
        <v>100</v>
      </c>
      <c r="D213" s="122"/>
      <c r="E213" s="122" t="s">
        <v>83</v>
      </c>
      <c r="F213" s="122">
        <v>50000</v>
      </c>
      <c r="G213" s="122"/>
      <c r="H213" s="122"/>
      <c r="I213" s="122"/>
      <c r="J213" s="131"/>
      <c r="K213" s="131"/>
      <c r="L213" s="131"/>
      <c r="M213" s="131" t="s">
        <v>101</v>
      </c>
      <c r="N213" s="131"/>
      <c r="O213" s="122" t="s">
        <v>90</v>
      </c>
      <c r="P213" s="132"/>
      <c r="Q213" s="132"/>
      <c r="R213" s="132"/>
      <c r="S213" s="135"/>
      <c r="T213" s="135"/>
      <c r="U213" s="135"/>
      <c r="V213" s="132"/>
      <c r="W213" s="135"/>
      <c r="X213" s="135"/>
      <c r="Y213" s="135"/>
      <c r="Z213" s="135"/>
      <c r="AA213" s="135"/>
      <c r="AB213" s="135"/>
      <c r="AC213" s="135">
        <v>203010101</v>
      </c>
      <c r="AD213" s="135">
        <v>203010101</v>
      </c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35"/>
      <c r="AP213" s="135"/>
      <c r="AQ213" s="135"/>
      <c r="AR213" s="135"/>
      <c r="AS213" s="135"/>
      <c r="AT213" s="135"/>
      <c r="AU213" s="135"/>
      <c r="AV213" s="135"/>
      <c r="AW213" s="135"/>
      <c r="AX213" s="135"/>
      <c r="AY213" s="135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/>
      <c r="BJ213" s="135"/>
      <c r="BK213" s="135"/>
      <c r="BL213" s="135"/>
      <c r="BM213" s="135"/>
      <c r="BN213" s="135"/>
      <c r="BO213" s="135"/>
      <c r="BP213" s="135"/>
      <c r="BQ213" s="135"/>
      <c r="BR213" s="135"/>
      <c r="BS213" s="135"/>
      <c r="BT213" s="135"/>
      <c r="BU213" s="135"/>
      <c r="BV213" s="135"/>
      <c r="BW213" s="135"/>
      <c r="BX213" s="135"/>
      <c r="BY213" s="139"/>
    </row>
    <row r="214" spans="1:77" s="8" customFormat="1" x14ac:dyDescent="0.15">
      <c r="A214" s="120">
        <v>203010012</v>
      </c>
      <c r="B214" s="121" t="s">
        <v>298</v>
      </c>
      <c r="C214" s="122" t="s">
        <v>100</v>
      </c>
      <c r="D214" s="122"/>
      <c r="E214" s="122" t="s">
        <v>78</v>
      </c>
      <c r="F214" s="122"/>
      <c r="G214" s="122"/>
      <c r="H214" s="122"/>
      <c r="I214" s="122"/>
      <c r="J214" s="131"/>
      <c r="K214" s="131"/>
      <c r="L214" s="131"/>
      <c r="M214" s="131" t="s">
        <v>101</v>
      </c>
      <c r="N214" s="131"/>
      <c r="O214" s="122" t="s">
        <v>79</v>
      </c>
      <c r="P214" s="132" t="s">
        <v>102</v>
      </c>
      <c r="Q214" s="132">
        <v>105</v>
      </c>
      <c r="R214" s="132"/>
      <c r="S214" s="135"/>
      <c r="T214" s="135"/>
      <c r="U214" s="135">
        <v>5000</v>
      </c>
      <c r="V214" s="132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135"/>
      <c r="AQ214" s="135"/>
      <c r="AR214" s="135"/>
      <c r="AS214" s="135"/>
      <c r="AT214" s="135"/>
      <c r="AU214" s="135"/>
      <c r="AV214" s="135"/>
      <c r="AW214" s="135"/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  <c r="BP214" s="135"/>
      <c r="BQ214" s="135"/>
      <c r="BR214" s="135"/>
      <c r="BS214" s="135"/>
      <c r="BT214" s="135"/>
      <c r="BU214" s="135"/>
      <c r="BV214" s="135"/>
      <c r="BW214" s="135"/>
      <c r="BX214" s="135"/>
      <c r="BY214" s="139"/>
    </row>
    <row r="215" spans="1:77" s="8" customFormat="1" x14ac:dyDescent="0.15">
      <c r="A215" s="104">
        <v>203020011</v>
      </c>
      <c r="B215" s="105" t="s">
        <v>299</v>
      </c>
      <c r="C215" s="106" t="s">
        <v>112</v>
      </c>
      <c r="D215" s="106"/>
      <c r="E215" s="106" t="s">
        <v>78</v>
      </c>
      <c r="F215" s="106"/>
      <c r="G215" s="106"/>
      <c r="H215" s="106"/>
      <c r="I215" s="106"/>
      <c r="J215" s="108"/>
      <c r="K215" s="108"/>
      <c r="L215" s="108"/>
      <c r="M215" s="108"/>
      <c r="N215" s="108"/>
      <c r="O215" s="106" t="s">
        <v>90</v>
      </c>
      <c r="P215" s="109"/>
      <c r="Q215" s="109"/>
      <c r="R215" s="109"/>
      <c r="S215" s="111"/>
      <c r="T215" s="111"/>
      <c r="U215" s="111"/>
      <c r="V215" s="109"/>
      <c r="W215" s="111"/>
      <c r="X215" s="111"/>
      <c r="Y215" s="111"/>
      <c r="Z215" s="111"/>
      <c r="AA215" s="111"/>
      <c r="AB215" s="111"/>
      <c r="AC215" s="111">
        <v>203020101</v>
      </c>
      <c r="AD215" s="111">
        <v>203020101</v>
      </c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/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3"/>
    </row>
    <row r="216" spans="1:77" s="8" customFormat="1" x14ac:dyDescent="0.15">
      <c r="A216" s="104">
        <v>203030011</v>
      </c>
      <c r="B216" s="105" t="s">
        <v>300</v>
      </c>
      <c r="C216" s="106" t="s">
        <v>100</v>
      </c>
      <c r="D216" s="106"/>
      <c r="E216" s="106" t="s">
        <v>78</v>
      </c>
      <c r="F216" s="106"/>
      <c r="G216" s="106"/>
      <c r="H216" s="106"/>
      <c r="I216" s="106"/>
      <c r="J216" s="108"/>
      <c r="K216" s="108"/>
      <c r="L216" s="108"/>
      <c r="M216" s="108"/>
      <c r="N216" s="108"/>
      <c r="O216" s="106" t="s">
        <v>264</v>
      </c>
      <c r="P216" s="109"/>
      <c r="Q216" s="109"/>
      <c r="R216" s="109"/>
      <c r="S216" s="111"/>
      <c r="T216" s="109"/>
      <c r="U216" s="111"/>
      <c r="V216" s="109"/>
      <c r="W216" s="111"/>
      <c r="X216" s="111"/>
      <c r="Y216" s="111"/>
      <c r="Z216" s="111"/>
      <c r="AA216" s="111"/>
      <c r="AB216" s="111"/>
      <c r="AC216" s="111"/>
      <c r="AD216" s="111"/>
      <c r="AE216" s="111" t="s">
        <v>171</v>
      </c>
      <c r="AF216" s="111">
        <v>2400</v>
      </c>
      <c r="AG216" s="111"/>
      <c r="AH216" s="111"/>
      <c r="AI216" s="111"/>
      <c r="AJ216" s="106" t="s">
        <v>90</v>
      </c>
      <c r="AK216" s="109"/>
      <c r="AL216" s="109"/>
      <c r="AM216" s="109"/>
      <c r="AN216" s="111"/>
      <c r="AO216" s="111"/>
      <c r="AP216" s="111"/>
      <c r="AQ216" s="109"/>
      <c r="AR216" s="111"/>
      <c r="AS216" s="111"/>
      <c r="AT216" s="111"/>
      <c r="AU216" s="111"/>
      <c r="AV216" s="111"/>
      <c r="AW216" s="111"/>
      <c r="AX216" s="111">
        <v>203030201</v>
      </c>
      <c r="AY216" s="111">
        <v>203030101</v>
      </c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  <c r="BN216" s="111"/>
      <c r="BO216" s="111"/>
      <c r="BP216" s="111"/>
      <c r="BQ216" s="111"/>
      <c r="BR216" s="111"/>
      <c r="BS216" s="111"/>
      <c r="BT216" s="111"/>
      <c r="BU216" s="111"/>
      <c r="BV216" s="111"/>
      <c r="BW216" s="111"/>
      <c r="BX216" s="111"/>
      <c r="BY216" s="113"/>
    </row>
    <row r="217" spans="1:77" s="8" customFormat="1" x14ac:dyDescent="0.15">
      <c r="A217" s="104">
        <v>203030012</v>
      </c>
      <c r="B217" s="105" t="s">
        <v>301</v>
      </c>
      <c r="C217" s="106" t="s">
        <v>112</v>
      </c>
      <c r="D217" s="106"/>
      <c r="E217" s="106" t="s">
        <v>78</v>
      </c>
      <c r="F217" s="106"/>
      <c r="G217" s="106"/>
      <c r="H217" s="106"/>
      <c r="I217" s="106"/>
      <c r="J217" s="108"/>
      <c r="K217" s="108"/>
      <c r="L217" s="108"/>
      <c r="M217" s="108"/>
      <c r="N217" s="108"/>
      <c r="O217" s="106" t="s">
        <v>264</v>
      </c>
      <c r="P217" s="109"/>
      <c r="Q217" s="109"/>
      <c r="R217" s="109"/>
      <c r="S217" s="111"/>
      <c r="T217" s="111"/>
      <c r="U217" s="111"/>
      <c r="V217" s="109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/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3"/>
    </row>
    <row r="218" spans="1:77" s="8" customFormat="1" x14ac:dyDescent="0.15">
      <c r="A218" s="104">
        <v>204001011</v>
      </c>
      <c r="B218" s="107" t="s">
        <v>302</v>
      </c>
      <c r="C218" s="106" t="s">
        <v>77</v>
      </c>
      <c r="D218" s="106"/>
      <c r="E218" s="106" t="s">
        <v>78</v>
      </c>
      <c r="F218" s="106"/>
      <c r="G218" s="106"/>
      <c r="H218" s="106"/>
      <c r="I218" s="106"/>
      <c r="J218" s="108"/>
      <c r="K218" s="108"/>
      <c r="L218" s="108"/>
      <c r="M218" s="108"/>
      <c r="N218" s="108"/>
      <c r="O218" s="106" t="s">
        <v>79</v>
      </c>
      <c r="P218" s="109" t="s">
        <v>80</v>
      </c>
      <c r="Q218" s="109"/>
      <c r="R218" s="109">
        <v>10000</v>
      </c>
      <c r="S218" s="111"/>
      <c r="T218" s="109">
        <v>10000</v>
      </c>
      <c r="U218" s="111"/>
      <c r="V218" s="109" t="s">
        <v>81</v>
      </c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  <c r="BO218" s="111"/>
      <c r="BP218" s="111"/>
      <c r="BQ218" s="111"/>
      <c r="BR218" s="111"/>
      <c r="BS218" s="111"/>
      <c r="BT218" s="111"/>
      <c r="BU218" s="111"/>
      <c r="BV218" s="111"/>
      <c r="BW218" s="111"/>
      <c r="BX218" s="111"/>
      <c r="BY218" s="113"/>
    </row>
    <row r="219" spans="1:77" s="8" customFormat="1" x14ac:dyDescent="0.15">
      <c r="A219" s="104">
        <v>204010011</v>
      </c>
      <c r="B219" s="105" t="s">
        <v>303</v>
      </c>
      <c r="C219" s="106" t="s">
        <v>304</v>
      </c>
      <c r="D219" s="106"/>
      <c r="E219" s="106" t="s">
        <v>83</v>
      </c>
      <c r="F219" s="106">
        <v>80000</v>
      </c>
      <c r="G219" s="106"/>
      <c r="H219" s="106"/>
      <c r="I219" s="106"/>
      <c r="J219" s="108"/>
      <c r="K219" s="108"/>
      <c r="L219" s="108"/>
      <c r="M219" s="108"/>
      <c r="N219" s="108"/>
      <c r="O219" s="106" t="s">
        <v>90</v>
      </c>
      <c r="P219" s="109"/>
      <c r="Q219" s="109"/>
      <c r="R219" s="109"/>
      <c r="S219" s="111"/>
      <c r="T219" s="111"/>
      <c r="U219" s="111"/>
      <c r="V219" s="109"/>
      <c r="W219" s="111"/>
      <c r="X219" s="111"/>
      <c r="Y219" s="111"/>
      <c r="Z219" s="111"/>
      <c r="AA219" s="111"/>
      <c r="AB219" s="111"/>
      <c r="AC219" s="111">
        <v>100000201</v>
      </c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11"/>
      <c r="BL219" s="111"/>
      <c r="BM219" s="111"/>
      <c r="BN219" s="111"/>
      <c r="BO219" s="111"/>
      <c r="BP219" s="111"/>
      <c r="BQ219" s="111"/>
      <c r="BR219" s="111"/>
      <c r="BS219" s="111"/>
      <c r="BT219" s="111"/>
      <c r="BU219" s="111"/>
      <c r="BV219" s="111"/>
      <c r="BW219" s="111"/>
      <c r="BX219" s="111"/>
      <c r="BY219" s="113"/>
    </row>
    <row r="220" spans="1:77" s="8" customFormat="1" x14ac:dyDescent="0.15">
      <c r="A220" s="104">
        <v>204020011</v>
      </c>
      <c r="B220" s="105" t="s">
        <v>305</v>
      </c>
      <c r="C220" s="106" t="s">
        <v>112</v>
      </c>
      <c r="D220" s="106"/>
      <c r="E220" s="106" t="s">
        <v>83</v>
      </c>
      <c r="F220" s="106">
        <v>80000</v>
      </c>
      <c r="G220" s="106"/>
      <c r="H220" s="106"/>
      <c r="I220" s="106"/>
      <c r="J220" s="108"/>
      <c r="K220" s="108"/>
      <c r="L220" s="108"/>
      <c r="M220" s="108"/>
      <c r="N220" s="108"/>
      <c r="O220" s="106" t="s">
        <v>306</v>
      </c>
      <c r="P220" s="109"/>
      <c r="Q220" s="109">
        <v>260</v>
      </c>
      <c r="R220" s="109"/>
      <c r="S220" s="111"/>
      <c r="T220" s="111"/>
      <c r="U220" s="111"/>
      <c r="V220" s="109"/>
      <c r="W220" s="124" t="s">
        <v>307</v>
      </c>
      <c r="X220" s="124" t="s">
        <v>308</v>
      </c>
      <c r="Y220" s="124">
        <v>-1500</v>
      </c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  <c r="BN220" s="111"/>
      <c r="BO220" s="111"/>
      <c r="BP220" s="111"/>
      <c r="BQ220" s="111"/>
      <c r="BR220" s="111"/>
      <c r="BS220" s="111"/>
      <c r="BT220" s="111"/>
      <c r="BU220" s="111"/>
      <c r="BV220" s="111"/>
      <c r="BW220" s="111"/>
      <c r="BX220" s="111"/>
      <c r="BY220" s="113"/>
    </row>
    <row r="221" spans="1:77" s="8" customFormat="1" x14ac:dyDescent="0.15">
      <c r="A221" s="104">
        <v>205001011</v>
      </c>
      <c r="B221" s="107" t="s">
        <v>309</v>
      </c>
      <c r="C221" s="106" t="s">
        <v>77</v>
      </c>
      <c r="D221" s="106"/>
      <c r="E221" s="106" t="s">
        <v>78</v>
      </c>
      <c r="F221" s="106"/>
      <c r="G221" s="106"/>
      <c r="H221" s="106"/>
      <c r="I221" s="106"/>
      <c r="J221" s="108"/>
      <c r="K221" s="108"/>
      <c r="L221" s="108"/>
      <c r="M221" s="108"/>
      <c r="N221" s="108"/>
      <c r="O221" s="106" t="s">
        <v>79</v>
      </c>
      <c r="P221" s="109" t="s">
        <v>80</v>
      </c>
      <c r="Q221" s="109"/>
      <c r="R221" s="109">
        <v>10000</v>
      </c>
      <c r="S221" s="111"/>
      <c r="T221" s="109">
        <v>10000</v>
      </c>
      <c r="U221" s="111"/>
      <c r="V221" s="109" t="s">
        <v>81</v>
      </c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  <c r="BN221" s="111"/>
      <c r="BO221" s="111"/>
      <c r="BP221" s="111"/>
      <c r="BQ221" s="111"/>
      <c r="BR221" s="111"/>
      <c r="BS221" s="111"/>
      <c r="BT221" s="111"/>
      <c r="BU221" s="111"/>
      <c r="BV221" s="111"/>
      <c r="BW221" s="111"/>
      <c r="BX221" s="111"/>
      <c r="BY221" s="113"/>
    </row>
    <row r="222" spans="1:77" s="8" customFormat="1" x14ac:dyDescent="0.15">
      <c r="A222" s="104">
        <v>205010011</v>
      </c>
      <c r="B222" s="107" t="s">
        <v>310</v>
      </c>
      <c r="C222" s="106" t="s">
        <v>112</v>
      </c>
      <c r="D222" s="106"/>
      <c r="E222" s="106" t="s">
        <v>83</v>
      </c>
      <c r="F222" s="106">
        <v>150000</v>
      </c>
      <c r="G222" s="106"/>
      <c r="H222" s="106"/>
      <c r="I222" s="106"/>
      <c r="J222" s="108" t="s">
        <v>860</v>
      </c>
      <c r="K222" s="108" t="s">
        <v>389</v>
      </c>
      <c r="L222" s="108">
        <v>4</v>
      </c>
      <c r="M222" s="108"/>
      <c r="N222" s="108"/>
      <c r="O222" s="106" t="s">
        <v>90</v>
      </c>
      <c r="P222" s="109"/>
      <c r="Q222" s="109"/>
      <c r="R222" s="109"/>
      <c r="S222" s="111"/>
      <c r="T222" s="111"/>
      <c r="U222" s="111"/>
      <c r="V222" s="109"/>
      <c r="W222" s="111"/>
      <c r="X222" s="111"/>
      <c r="Y222" s="111"/>
      <c r="Z222" s="111"/>
      <c r="AA222" s="111"/>
      <c r="AB222" s="111"/>
      <c r="AC222" s="111">
        <v>205010101</v>
      </c>
      <c r="AD222" s="111">
        <v>205010101</v>
      </c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  <c r="BN222" s="111"/>
      <c r="BO222" s="111"/>
      <c r="BP222" s="111"/>
      <c r="BQ222" s="111"/>
      <c r="BR222" s="111"/>
      <c r="BS222" s="111"/>
      <c r="BT222" s="111"/>
      <c r="BU222" s="111"/>
      <c r="BV222" s="111"/>
      <c r="BW222" s="111"/>
      <c r="BX222" s="111"/>
      <c r="BY222" s="113"/>
    </row>
    <row r="223" spans="1:77" s="8" customFormat="1" x14ac:dyDescent="0.15">
      <c r="A223" s="104">
        <v>205020011</v>
      </c>
      <c r="B223" s="107" t="s">
        <v>311</v>
      </c>
      <c r="C223" s="106" t="s">
        <v>89</v>
      </c>
      <c r="D223" s="106"/>
      <c r="E223" s="106" t="s">
        <v>78</v>
      </c>
      <c r="F223" s="106"/>
      <c r="G223" s="106"/>
      <c r="H223" s="106"/>
      <c r="I223" s="106"/>
      <c r="J223" s="108"/>
      <c r="K223" s="108"/>
      <c r="L223" s="108"/>
      <c r="M223" s="108"/>
      <c r="N223" s="108"/>
      <c r="O223" s="106" t="s">
        <v>90</v>
      </c>
      <c r="P223" s="109"/>
      <c r="Q223" s="109"/>
      <c r="R223" s="109"/>
      <c r="S223" s="111"/>
      <c r="T223" s="111"/>
      <c r="U223" s="111"/>
      <c r="V223" s="109"/>
      <c r="W223" s="111"/>
      <c r="X223" s="111"/>
      <c r="Y223" s="111"/>
      <c r="Z223" s="111"/>
      <c r="AA223" s="111"/>
      <c r="AB223" s="111"/>
      <c r="AC223" s="111">
        <v>205020101</v>
      </c>
      <c r="AD223" s="111">
        <v>205020101</v>
      </c>
      <c r="AE223" s="111">
        <v>6</v>
      </c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  <c r="BG223" s="111"/>
      <c r="BH223" s="111"/>
      <c r="BI223" s="111"/>
      <c r="BJ223" s="111"/>
      <c r="BK223" s="111"/>
      <c r="BL223" s="111"/>
      <c r="BM223" s="111"/>
      <c r="BN223" s="111"/>
      <c r="BO223" s="111"/>
      <c r="BP223" s="111"/>
      <c r="BQ223" s="111"/>
      <c r="BR223" s="111"/>
      <c r="BS223" s="111"/>
      <c r="BT223" s="111"/>
      <c r="BU223" s="111"/>
      <c r="BV223" s="111"/>
      <c r="BW223" s="111"/>
      <c r="BX223" s="111"/>
      <c r="BY223" s="113"/>
    </row>
    <row r="224" spans="1:77" s="8" customFormat="1" x14ac:dyDescent="0.15">
      <c r="A224" s="104">
        <v>205030011</v>
      </c>
      <c r="B224" s="107" t="s">
        <v>312</v>
      </c>
      <c r="C224" s="106" t="s">
        <v>112</v>
      </c>
      <c r="D224" s="106"/>
      <c r="E224" s="106" t="s">
        <v>78</v>
      </c>
      <c r="F224" s="106"/>
      <c r="G224" s="106"/>
      <c r="H224" s="106"/>
      <c r="I224" s="106"/>
      <c r="J224" s="108"/>
      <c r="K224" s="108"/>
      <c r="L224" s="108"/>
      <c r="M224" s="108"/>
      <c r="N224" s="108"/>
      <c r="O224" s="106" t="s">
        <v>139</v>
      </c>
      <c r="P224" s="109"/>
      <c r="Q224" s="109"/>
      <c r="R224" s="109"/>
      <c r="S224" s="111"/>
      <c r="T224" s="111"/>
      <c r="U224" s="111"/>
      <c r="V224" s="109"/>
      <c r="W224" s="111"/>
      <c r="X224" s="111"/>
      <c r="Y224" s="111"/>
      <c r="Z224" s="111"/>
      <c r="AA224" s="111"/>
      <c r="AB224" s="111"/>
      <c r="AC224" s="111"/>
      <c r="AD224" s="111"/>
      <c r="AE224" s="111" t="s">
        <v>313</v>
      </c>
      <c r="AF224" s="111">
        <v>10000</v>
      </c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  <c r="BG224" s="111"/>
      <c r="BH224" s="111"/>
      <c r="BI224" s="111"/>
      <c r="BJ224" s="111"/>
      <c r="BK224" s="111"/>
      <c r="BL224" s="111"/>
      <c r="BM224" s="111"/>
      <c r="BN224" s="111"/>
      <c r="BO224" s="111"/>
      <c r="BP224" s="111"/>
      <c r="BQ224" s="111"/>
      <c r="BR224" s="111"/>
      <c r="BS224" s="111"/>
      <c r="BT224" s="111"/>
      <c r="BU224" s="111"/>
      <c r="BV224" s="111"/>
      <c r="BW224" s="111"/>
      <c r="BX224" s="111"/>
      <c r="BY224" s="113"/>
    </row>
    <row r="225" spans="1:77" s="8" customFormat="1" x14ac:dyDescent="0.15">
      <c r="A225" s="104">
        <v>206001011</v>
      </c>
      <c r="B225" s="107" t="s">
        <v>314</v>
      </c>
      <c r="C225" s="106" t="s">
        <v>77</v>
      </c>
      <c r="D225" s="106"/>
      <c r="E225" s="106" t="s">
        <v>78</v>
      </c>
      <c r="F225" s="106"/>
      <c r="G225" s="106"/>
      <c r="H225" s="106"/>
      <c r="I225" s="106"/>
      <c r="J225" s="108"/>
      <c r="K225" s="108"/>
      <c r="L225" s="108"/>
      <c r="M225" s="108"/>
      <c r="N225" s="108"/>
      <c r="O225" s="106" t="s">
        <v>315</v>
      </c>
      <c r="P225" s="109" t="s">
        <v>80</v>
      </c>
      <c r="Q225" s="109"/>
      <c r="R225" s="109">
        <v>10000</v>
      </c>
      <c r="S225" s="111"/>
      <c r="T225" s="116">
        <v>10000</v>
      </c>
      <c r="U225" s="111"/>
      <c r="V225" s="109" t="s">
        <v>81</v>
      </c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  <c r="BG225" s="111"/>
      <c r="BH225" s="111"/>
      <c r="BI225" s="111"/>
      <c r="BJ225" s="111"/>
      <c r="BK225" s="111"/>
      <c r="BL225" s="111"/>
      <c r="BM225" s="111"/>
      <c r="BN225" s="111"/>
      <c r="BO225" s="111"/>
      <c r="BP225" s="111"/>
      <c r="BQ225" s="111"/>
      <c r="BR225" s="111"/>
      <c r="BS225" s="111"/>
      <c r="BT225" s="111"/>
      <c r="BU225" s="111"/>
      <c r="BV225" s="111"/>
      <c r="BW225" s="111"/>
      <c r="BX225" s="111"/>
      <c r="BY225" s="113"/>
    </row>
    <row r="226" spans="1:77" s="8" customFormat="1" x14ac:dyDescent="0.15">
      <c r="A226" s="104">
        <v>206010011</v>
      </c>
      <c r="B226" s="105" t="s">
        <v>316</v>
      </c>
      <c r="C226" s="106" t="s">
        <v>100</v>
      </c>
      <c r="D226" s="106"/>
      <c r="E226" s="106" t="s">
        <v>78</v>
      </c>
      <c r="F226" s="106"/>
      <c r="G226" s="106"/>
      <c r="H226" s="106"/>
      <c r="I226" s="106"/>
      <c r="J226" s="108"/>
      <c r="K226" s="108"/>
      <c r="L226" s="108"/>
      <c r="M226" s="108"/>
      <c r="N226" s="108"/>
      <c r="O226" s="106" t="s">
        <v>90</v>
      </c>
      <c r="P226" s="109"/>
      <c r="Q226" s="109"/>
      <c r="R226" s="109"/>
      <c r="S226" s="111"/>
      <c r="T226" s="111"/>
      <c r="U226" s="111"/>
      <c r="V226" s="109"/>
      <c r="W226" s="111"/>
      <c r="X226" s="111"/>
      <c r="Y226" s="111"/>
      <c r="Z226" s="111"/>
      <c r="AA226" s="111"/>
      <c r="AB226" s="111"/>
      <c r="AC226" s="111">
        <v>206010101</v>
      </c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  <c r="BG226" s="111"/>
      <c r="BH226" s="111"/>
      <c r="BI226" s="111"/>
      <c r="BJ226" s="111"/>
      <c r="BK226" s="111"/>
      <c r="BL226" s="111"/>
      <c r="BM226" s="111"/>
      <c r="BN226" s="111"/>
      <c r="BO226" s="111"/>
      <c r="BP226" s="111"/>
      <c r="BQ226" s="111"/>
      <c r="BR226" s="111"/>
      <c r="BS226" s="111"/>
      <c r="BT226" s="111"/>
      <c r="BU226" s="111"/>
      <c r="BV226" s="111"/>
      <c r="BW226" s="111"/>
      <c r="BX226" s="111"/>
      <c r="BY226" s="113"/>
    </row>
    <row r="227" spans="1:77" s="8" customFormat="1" x14ac:dyDescent="0.15">
      <c r="A227" s="104">
        <v>206010012</v>
      </c>
      <c r="B227" s="105" t="s">
        <v>317</v>
      </c>
      <c r="C227" s="106" t="s">
        <v>100</v>
      </c>
      <c r="D227" s="106"/>
      <c r="E227" s="106" t="s">
        <v>78</v>
      </c>
      <c r="F227" s="106"/>
      <c r="G227" s="106"/>
      <c r="H227" s="106"/>
      <c r="I227" s="106"/>
      <c r="J227" s="108"/>
      <c r="K227" s="108"/>
      <c r="L227" s="108"/>
      <c r="M227" s="108"/>
      <c r="N227" s="108"/>
      <c r="O227" s="106" t="s">
        <v>277</v>
      </c>
      <c r="P227" s="109"/>
      <c r="Q227" s="109"/>
      <c r="R227" s="109"/>
      <c r="S227" s="111"/>
      <c r="T227" s="111"/>
      <c r="U227" s="111"/>
      <c r="V227" s="109"/>
      <c r="W227" s="111"/>
      <c r="X227" s="111"/>
      <c r="Y227" s="111"/>
      <c r="Z227" s="111"/>
      <c r="AA227" s="111"/>
      <c r="AB227" s="111"/>
      <c r="AC227" s="111"/>
      <c r="AD227" s="111"/>
      <c r="AE227" s="111">
        <v>2060101</v>
      </c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  <c r="BG227" s="111"/>
      <c r="BH227" s="111"/>
      <c r="BI227" s="111"/>
      <c r="BJ227" s="111"/>
      <c r="BK227" s="111"/>
      <c r="BL227" s="111"/>
      <c r="BM227" s="111"/>
      <c r="BN227" s="111"/>
      <c r="BO227" s="111"/>
      <c r="BP227" s="111"/>
      <c r="BQ227" s="111"/>
      <c r="BR227" s="111"/>
      <c r="BS227" s="111"/>
      <c r="BT227" s="111"/>
      <c r="BU227" s="111"/>
      <c r="BV227" s="111"/>
      <c r="BW227" s="111"/>
      <c r="BX227" s="111"/>
      <c r="BY227" s="113"/>
    </row>
    <row r="228" spans="1:77" s="8" customFormat="1" x14ac:dyDescent="0.15">
      <c r="A228" s="104">
        <v>206010013</v>
      </c>
      <c r="B228" s="105" t="s">
        <v>318</v>
      </c>
      <c r="C228" s="106" t="s">
        <v>100</v>
      </c>
      <c r="D228" s="106"/>
      <c r="E228" s="106" t="s">
        <v>78</v>
      </c>
      <c r="F228" s="106"/>
      <c r="G228" s="106"/>
      <c r="H228" s="106"/>
      <c r="I228" s="106"/>
      <c r="J228" s="108"/>
      <c r="K228" s="108"/>
      <c r="L228" s="108"/>
      <c r="M228" s="108"/>
      <c r="N228" s="108"/>
      <c r="O228" s="106" t="s">
        <v>90</v>
      </c>
      <c r="P228" s="109"/>
      <c r="Q228" s="109"/>
      <c r="R228" s="109"/>
      <c r="S228" s="111"/>
      <c r="T228" s="111"/>
      <c r="U228" s="111"/>
      <c r="V228" s="109"/>
      <c r="W228" s="111"/>
      <c r="X228" s="111"/>
      <c r="Y228" s="111"/>
      <c r="Z228" s="111"/>
      <c r="AA228" s="111"/>
      <c r="AB228" s="111"/>
      <c r="AC228" s="111">
        <v>206010201</v>
      </c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  <c r="BN228" s="111"/>
      <c r="BO228" s="111"/>
      <c r="BP228" s="111"/>
      <c r="BQ228" s="111"/>
      <c r="BR228" s="111"/>
      <c r="BS228" s="111"/>
      <c r="BT228" s="111"/>
      <c r="BU228" s="111"/>
      <c r="BV228" s="111"/>
      <c r="BW228" s="111"/>
      <c r="BX228" s="111"/>
      <c r="BY228" s="113"/>
    </row>
    <row r="229" spans="1:77" s="8" customFormat="1" x14ac:dyDescent="0.15">
      <c r="A229" s="104">
        <v>206010014</v>
      </c>
      <c r="B229" s="105" t="s">
        <v>319</v>
      </c>
      <c r="C229" s="106" t="s">
        <v>100</v>
      </c>
      <c r="D229" s="106"/>
      <c r="E229" s="106" t="s">
        <v>78</v>
      </c>
      <c r="F229" s="106"/>
      <c r="G229" s="106"/>
      <c r="H229" s="106"/>
      <c r="I229" s="106"/>
      <c r="J229" s="108"/>
      <c r="K229" s="108"/>
      <c r="L229" s="108"/>
      <c r="M229" s="108"/>
      <c r="N229" s="108"/>
      <c r="O229" s="106" t="s">
        <v>90</v>
      </c>
      <c r="P229" s="109"/>
      <c r="Q229" s="109"/>
      <c r="R229" s="109"/>
      <c r="S229" s="111"/>
      <c r="T229" s="111"/>
      <c r="U229" s="111"/>
      <c r="V229" s="109"/>
      <c r="W229" s="111"/>
      <c r="X229" s="111"/>
      <c r="Y229" s="111"/>
      <c r="Z229" s="111"/>
      <c r="AA229" s="111"/>
      <c r="AB229" s="111"/>
      <c r="AC229" s="111">
        <v>206010301</v>
      </c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  <c r="BN229" s="111"/>
      <c r="BO229" s="111"/>
      <c r="BP229" s="111"/>
      <c r="BQ229" s="111"/>
      <c r="BR229" s="111"/>
      <c r="BS229" s="111"/>
      <c r="BT229" s="111"/>
      <c r="BU229" s="111"/>
      <c r="BV229" s="111"/>
      <c r="BW229" s="111"/>
      <c r="BX229" s="111"/>
      <c r="BY229" s="113"/>
    </row>
    <row r="230" spans="1:77" s="8" customFormat="1" x14ac:dyDescent="0.15">
      <c r="A230" s="104">
        <v>207001011</v>
      </c>
      <c r="B230" s="105" t="s">
        <v>320</v>
      </c>
      <c r="C230" s="106" t="s">
        <v>77</v>
      </c>
      <c r="D230" s="106"/>
      <c r="E230" s="106" t="s">
        <v>78</v>
      </c>
      <c r="F230" s="106"/>
      <c r="G230" s="106"/>
      <c r="H230" s="106"/>
      <c r="I230" s="106"/>
      <c r="J230" s="108"/>
      <c r="K230" s="108"/>
      <c r="L230" s="108"/>
      <c r="M230" s="108"/>
      <c r="N230" s="108"/>
      <c r="O230" s="106" t="s">
        <v>79</v>
      </c>
      <c r="P230" s="109" t="s">
        <v>80</v>
      </c>
      <c r="Q230" s="109"/>
      <c r="R230" s="109">
        <v>10000</v>
      </c>
      <c r="S230" s="111"/>
      <c r="T230" s="109">
        <v>10000</v>
      </c>
      <c r="U230" s="111"/>
      <c r="V230" s="109" t="s">
        <v>81</v>
      </c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  <c r="BN230" s="111"/>
      <c r="BO230" s="111"/>
      <c r="BP230" s="111"/>
      <c r="BQ230" s="111"/>
      <c r="BR230" s="111"/>
      <c r="BS230" s="111"/>
      <c r="BT230" s="111"/>
      <c r="BU230" s="111"/>
      <c r="BV230" s="111"/>
      <c r="BW230" s="111"/>
      <c r="BX230" s="111"/>
      <c r="BY230" s="113"/>
    </row>
    <row r="231" spans="1:77" s="8" customFormat="1" x14ac:dyDescent="0.15">
      <c r="A231" s="104">
        <v>207010011</v>
      </c>
      <c r="B231" s="105" t="s">
        <v>321</v>
      </c>
      <c r="C231" s="106" t="s">
        <v>77</v>
      </c>
      <c r="D231" s="106"/>
      <c r="E231" s="109" t="s">
        <v>78</v>
      </c>
      <c r="F231" s="109"/>
      <c r="G231" s="109"/>
      <c r="H231" s="109"/>
      <c r="I231" s="109"/>
      <c r="J231" s="128"/>
      <c r="K231" s="128"/>
      <c r="L231" s="128"/>
      <c r="M231" s="128"/>
      <c r="N231" s="128"/>
      <c r="O231" s="106" t="s">
        <v>79</v>
      </c>
      <c r="P231" s="109" t="s">
        <v>102</v>
      </c>
      <c r="Q231" s="109">
        <v>1000</v>
      </c>
      <c r="R231" s="109"/>
      <c r="S231" s="111"/>
      <c r="T231" s="116"/>
      <c r="U231" s="109">
        <v>3500</v>
      </c>
      <c r="V231" s="109" t="s">
        <v>81</v>
      </c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09"/>
      <c r="AK231" s="109"/>
      <c r="AL231" s="109"/>
      <c r="AM231" s="109"/>
      <c r="AN231" s="109"/>
      <c r="AO231" s="109"/>
      <c r="AP231" s="109"/>
      <c r="AQ231" s="109"/>
      <c r="AR231" s="109"/>
      <c r="AS231" s="109"/>
      <c r="AT231" s="109"/>
      <c r="AU231" s="109"/>
      <c r="AV231" s="109"/>
      <c r="AW231" s="109"/>
      <c r="AX231" s="109"/>
      <c r="AY231" s="109"/>
      <c r="AZ231" s="109"/>
      <c r="BA231" s="109"/>
      <c r="BB231" s="109"/>
      <c r="BC231" s="109"/>
      <c r="BD231" s="109"/>
      <c r="BE231" s="109"/>
      <c r="BF231" s="109"/>
      <c r="BG231" s="109"/>
      <c r="BH231" s="109"/>
      <c r="BI231" s="109"/>
      <c r="BJ231" s="109"/>
      <c r="BK231" s="109"/>
      <c r="BL231" s="109"/>
      <c r="BM231" s="109"/>
      <c r="BN231" s="109"/>
      <c r="BO231" s="109"/>
      <c r="BP231" s="109"/>
      <c r="BQ231" s="109"/>
      <c r="BR231" s="109"/>
      <c r="BS231" s="109"/>
      <c r="BT231" s="109"/>
      <c r="BU231" s="109"/>
      <c r="BV231" s="109"/>
      <c r="BW231" s="109"/>
      <c r="BX231" s="109"/>
      <c r="BY231" s="136"/>
    </row>
    <row r="232" spans="1:77" s="8" customFormat="1" x14ac:dyDescent="0.15">
      <c r="A232" s="104">
        <v>207010012</v>
      </c>
      <c r="B232" s="105" t="s">
        <v>322</v>
      </c>
      <c r="C232" s="106" t="s">
        <v>77</v>
      </c>
      <c r="D232" s="106"/>
      <c r="E232" s="109" t="s">
        <v>83</v>
      </c>
      <c r="F232" s="109">
        <v>30000</v>
      </c>
      <c r="G232" s="109"/>
      <c r="H232" s="109"/>
      <c r="I232" s="109"/>
      <c r="J232" s="128"/>
      <c r="K232" s="128"/>
      <c r="L232" s="128"/>
      <c r="M232" s="128" t="s">
        <v>101</v>
      </c>
      <c r="N232" s="128"/>
      <c r="O232" s="106" t="s">
        <v>79</v>
      </c>
      <c r="P232" s="109" t="s">
        <v>102</v>
      </c>
      <c r="Q232" s="109">
        <v>350</v>
      </c>
      <c r="R232" s="109"/>
      <c r="S232" s="111"/>
      <c r="T232" s="116"/>
      <c r="U232" s="109">
        <v>3500</v>
      </c>
      <c r="V232" s="109" t="s">
        <v>81</v>
      </c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09"/>
      <c r="AK232" s="109"/>
      <c r="AL232" s="109"/>
      <c r="AM232" s="109"/>
      <c r="AN232" s="109"/>
      <c r="AO232" s="109"/>
      <c r="AP232" s="109"/>
      <c r="AQ232" s="109"/>
      <c r="AR232" s="109"/>
      <c r="AS232" s="109"/>
      <c r="AT232" s="109"/>
      <c r="AU232" s="109"/>
      <c r="AV232" s="109"/>
      <c r="AW232" s="109"/>
      <c r="AX232" s="109"/>
      <c r="AY232" s="109"/>
      <c r="AZ232" s="109"/>
      <c r="BA232" s="109"/>
      <c r="BB232" s="109"/>
      <c r="BC232" s="109"/>
      <c r="BD232" s="109"/>
      <c r="BE232" s="109"/>
      <c r="BF232" s="109"/>
      <c r="BG232" s="109"/>
      <c r="BH232" s="109"/>
      <c r="BI232" s="109"/>
      <c r="BJ232" s="109"/>
      <c r="BK232" s="109"/>
      <c r="BL232" s="109"/>
      <c r="BM232" s="109"/>
      <c r="BN232" s="109"/>
      <c r="BO232" s="109"/>
      <c r="BP232" s="109"/>
      <c r="BQ232" s="109"/>
      <c r="BR232" s="109"/>
      <c r="BS232" s="109"/>
      <c r="BT232" s="109"/>
      <c r="BU232" s="109"/>
      <c r="BV232" s="109"/>
      <c r="BW232" s="109"/>
      <c r="BX232" s="109"/>
      <c r="BY232" s="136"/>
    </row>
    <row r="233" spans="1:77" s="8" customFormat="1" x14ac:dyDescent="0.15">
      <c r="A233" s="104">
        <v>208001011</v>
      </c>
      <c r="B233" s="105" t="s">
        <v>323</v>
      </c>
      <c r="C233" s="106" t="s">
        <v>77</v>
      </c>
      <c r="D233" s="106"/>
      <c r="E233" s="106" t="s">
        <v>78</v>
      </c>
      <c r="F233" s="106"/>
      <c r="G233" s="106"/>
      <c r="H233" s="106"/>
      <c r="I233" s="106"/>
      <c r="J233" s="108"/>
      <c r="K233" s="108"/>
      <c r="L233" s="108"/>
      <c r="M233" s="108"/>
      <c r="N233" s="108"/>
      <c r="O233" s="106" t="s">
        <v>79</v>
      </c>
      <c r="P233" s="109" t="s">
        <v>80</v>
      </c>
      <c r="Q233" s="109"/>
      <c r="R233" s="109">
        <v>10000</v>
      </c>
      <c r="S233" s="111"/>
      <c r="T233" s="109">
        <v>10000</v>
      </c>
      <c r="U233" s="111"/>
      <c r="V233" s="109" t="s">
        <v>81</v>
      </c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11"/>
      <c r="BN233" s="111"/>
      <c r="BO233" s="111"/>
      <c r="BP233" s="111"/>
      <c r="BQ233" s="111"/>
      <c r="BR233" s="111"/>
      <c r="BS233" s="111"/>
      <c r="BT233" s="111"/>
      <c r="BU233" s="111"/>
      <c r="BV233" s="111"/>
      <c r="BW233" s="111"/>
      <c r="BX233" s="111"/>
      <c r="BY233" s="113"/>
    </row>
    <row r="234" spans="1:77" s="8" customFormat="1" x14ac:dyDescent="0.15">
      <c r="A234" s="104">
        <v>208010011</v>
      </c>
      <c r="B234" s="123" t="s">
        <v>324</v>
      </c>
      <c r="C234" s="104" t="s">
        <v>77</v>
      </c>
      <c r="D234" s="104"/>
      <c r="E234" s="104" t="s">
        <v>78</v>
      </c>
      <c r="F234" s="104"/>
      <c r="G234" s="104"/>
      <c r="H234" s="104"/>
      <c r="I234" s="104"/>
      <c r="J234" s="133"/>
      <c r="K234" s="133"/>
      <c r="L234" s="133"/>
      <c r="M234" s="133"/>
      <c r="N234" s="133"/>
      <c r="O234" s="104" t="s">
        <v>79</v>
      </c>
      <c r="P234" s="104" t="s">
        <v>80</v>
      </c>
      <c r="Q234" s="104"/>
      <c r="R234" s="104">
        <v>10000</v>
      </c>
      <c r="S234" s="104"/>
      <c r="T234" s="104">
        <v>10000</v>
      </c>
      <c r="U234" s="104"/>
      <c r="V234" s="104" t="s">
        <v>81</v>
      </c>
      <c r="W234" s="111" t="s">
        <v>168</v>
      </c>
      <c r="X234" s="111" t="s">
        <v>325</v>
      </c>
      <c r="Y234" s="111" t="s">
        <v>326</v>
      </c>
      <c r="Z234" s="111" t="s">
        <v>308</v>
      </c>
      <c r="AA234" s="111">
        <v>200</v>
      </c>
      <c r="AB234" s="104">
        <v>100</v>
      </c>
      <c r="AC234" s="104"/>
      <c r="AD234" s="104"/>
      <c r="AE234" s="104"/>
      <c r="AF234" s="104"/>
      <c r="AG234" s="104"/>
      <c r="AH234" s="104"/>
      <c r="AI234" s="104"/>
      <c r="AJ234" s="104" t="s">
        <v>90</v>
      </c>
      <c r="AK234" s="104"/>
      <c r="AL234" s="104"/>
      <c r="AM234" s="104"/>
      <c r="AN234" s="104"/>
      <c r="AO234" s="104"/>
      <c r="AP234" s="104"/>
      <c r="AQ234" s="104"/>
      <c r="AR234" s="104"/>
      <c r="AS234" s="104"/>
      <c r="AT234" s="104"/>
      <c r="AU234" s="104"/>
      <c r="AV234" s="104"/>
      <c r="AW234" s="104"/>
      <c r="AX234" s="104">
        <v>208010101</v>
      </c>
      <c r="AY234" s="104">
        <v>208010101</v>
      </c>
      <c r="AZ234" s="104"/>
      <c r="BA234" s="104"/>
      <c r="BB234" s="104"/>
      <c r="BC234" s="104"/>
      <c r="BD234" s="104"/>
      <c r="BE234" s="104"/>
      <c r="BF234" s="104"/>
      <c r="BG234" s="104"/>
      <c r="BH234" s="104"/>
      <c r="BI234" s="104"/>
      <c r="BJ234" s="104"/>
      <c r="BK234" s="104"/>
      <c r="BL234" s="104"/>
      <c r="BM234" s="104"/>
      <c r="BN234" s="104"/>
      <c r="BO234" s="104"/>
      <c r="BP234" s="104"/>
      <c r="BQ234" s="104"/>
      <c r="BR234" s="104"/>
      <c r="BS234" s="104"/>
      <c r="BT234" s="104"/>
      <c r="BU234" s="104"/>
      <c r="BV234" s="104"/>
      <c r="BW234" s="104"/>
      <c r="BX234" s="104"/>
      <c r="BY234" s="140"/>
    </row>
    <row r="235" spans="1:77" s="8" customFormat="1" x14ac:dyDescent="0.15">
      <c r="A235" s="104">
        <v>208010012</v>
      </c>
      <c r="B235" s="123" t="s">
        <v>327</v>
      </c>
      <c r="C235" s="104" t="s">
        <v>77</v>
      </c>
      <c r="D235" s="104"/>
      <c r="E235" s="104" t="s">
        <v>78</v>
      </c>
      <c r="F235" s="104"/>
      <c r="G235" s="104"/>
      <c r="H235" s="104"/>
      <c r="I235" s="104"/>
      <c r="J235" s="133"/>
      <c r="K235" s="133"/>
      <c r="L235" s="133"/>
      <c r="M235" s="133"/>
      <c r="N235" s="133"/>
      <c r="O235" s="104" t="s">
        <v>79</v>
      </c>
      <c r="P235" s="104" t="s">
        <v>102</v>
      </c>
      <c r="Q235" s="104">
        <v>45</v>
      </c>
      <c r="R235" s="104"/>
      <c r="S235" s="104"/>
      <c r="T235" s="104"/>
      <c r="U235" s="104">
        <v>10000</v>
      </c>
      <c r="V235" s="104" t="s">
        <v>81</v>
      </c>
      <c r="W235" s="111"/>
      <c r="X235" s="111"/>
      <c r="Y235" s="111"/>
      <c r="Z235" s="111"/>
      <c r="AA235" s="111"/>
      <c r="AB235" s="104"/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104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  <c r="AW235" s="104"/>
      <c r="AX235" s="104"/>
      <c r="AY235" s="104"/>
      <c r="AZ235" s="104"/>
      <c r="BA235" s="104"/>
      <c r="BB235" s="104"/>
      <c r="BC235" s="104"/>
      <c r="BD235" s="104"/>
      <c r="BE235" s="104"/>
      <c r="BF235" s="104"/>
      <c r="BG235" s="104"/>
      <c r="BH235" s="104"/>
      <c r="BI235" s="104"/>
      <c r="BJ235" s="104"/>
      <c r="BK235" s="104"/>
      <c r="BL235" s="104"/>
      <c r="BM235" s="104"/>
      <c r="BN235" s="104"/>
      <c r="BO235" s="104"/>
      <c r="BP235" s="104"/>
      <c r="BQ235" s="104"/>
      <c r="BR235" s="104"/>
      <c r="BS235" s="104"/>
      <c r="BT235" s="104"/>
      <c r="BU235" s="104"/>
      <c r="BV235" s="104"/>
      <c r="BW235" s="104"/>
      <c r="BX235" s="104"/>
      <c r="BY235" s="140"/>
    </row>
    <row r="236" spans="1:77" s="8" customFormat="1" x14ac:dyDescent="0.15">
      <c r="A236" s="104">
        <v>209001011</v>
      </c>
      <c r="B236" s="105" t="s">
        <v>328</v>
      </c>
      <c r="C236" s="106" t="s">
        <v>77</v>
      </c>
      <c r="D236" s="106"/>
      <c r="E236" s="106" t="s">
        <v>78</v>
      </c>
      <c r="F236" s="106"/>
      <c r="G236" s="106"/>
      <c r="H236" s="106"/>
      <c r="I236" s="106"/>
      <c r="J236" s="108"/>
      <c r="K236" s="108"/>
      <c r="L236" s="108"/>
      <c r="M236" s="108"/>
      <c r="N236" s="108"/>
      <c r="O236" s="106" t="s">
        <v>79</v>
      </c>
      <c r="P236" s="109" t="s">
        <v>80</v>
      </c>
      <c r="Q236" s="109"/>
      <c r="R236" s="109">
        <v>10000</v>
      </c>
      <c r="S236" s="111"/>
      <c r="T236" s="116">
        <v>10000</v>
      </c>
      <c r="U236" s="111"/>
      <c r="V236" s="109" t="s">
        <v>81</v>
      </c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11"/>
      <c r="BN236" s="111"/>
      <c r="BO236" s="111"/>
      <c r="BP236" s="111"/>
      <c r="BQ236" s="111"/>
      <c r="BR236" s="111"/>
      <c r="BS236" s="111"/>
      <c r="BT236" s="111"/>
      <c r="BU236" s="111"/>
      <c r="BV236" s="111"/>
      <c r="BW236" s="111"/>
      <c r="BX236" s="111"/>
      <c r="BY236" s="113"/>
    </row>
    <row r="237" spans="1:77" s="8" customFormat="1" x14ac:dyDescent="0.15">
      <c r="A237" s="104">
        <v>209001012</v>
      </c>
      <c r="B237" s="105" t="s">
        <v>329</v>
      </c>
      <c r="C237" s="106" t="s">
        <v>77</v>
      </c>
      <c r="D237" s="106"/>
      <c r="E237" s="106" t="s">
        <v>83</v>
      </c>
      <c r="F237" s="106">
        <v>20000</v>
      </c>
      <c r="G237" s="106"/>
      <c r="H237" s="106"/>
      <c r="I237" s="106"/>
      <c r="J237" s="108"/>
      <c r="K237" s="108"/>
      <c r="L237" s="108"/>
      <c r="M237" s="108" t="s">
        <v>101</v>
      </c>
      <c r="N237" s="108"/>
      <c r="O237" s="106" t="s">
        <v>79</v>
      </c>
      <c r="P237" s="109" t="s">
        <v>80</v>
      </c>
      <c r="Q237" s="109"/>
      <c r="R237" s="109">
        <v>2500</v>
      </c>
      <c r="S237" s="111"/>
      <c r="T237" s="116">
        <v>10000</v>
      </c>
      <c r="U237" s="111"/>
      <c r="V237" s="109" t="s">
        <v>81</v>
      </c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  <c r="BN237" s="111"/>
      <c r="BO237" s="111"/>
      <c r="BP237" s="111"/>
      <c r="BQ237" s="111"/>
      <c r="BR237" s="111"/>
      <c r="BS237" s="111"/>
      <c r="BT237" s="111"/>
      <c r="BU237" s="111"/>
      <c r="BV237" s="111"/>
      <c r="BW237" s="111"/>
      <c r="BX237" s="111"/>
      <c r="BY237" s="113"/>
    </row>
    <row r="238" spans="1:77" s="8" customFormat="1" x14ac:dyDescent="0.15">
      <c r="A238" s="104">
        <v>209010011</v>
      </c>
      <c r="B238" s="105" t="s">
        <v>330</v>
      </c>
      <c r="C238" s="106" t="s">
        <v>77</v>
      </c>
      <c r="D238" s="106" t="s">
        <v>101</v>
      </c>
      <c r="E238" s="106" t="s">
        <v>83</v>
      </c>
      <c r="F238" s="106">
        <v>20000</v>
      </c>
      <c r="G238" s="106"/>
      <c r="H238" s="106"/>
      <c r="I238" s="106"/>
      <c r="J238" s="108"/>
      <c r="K238" s="108"/>
      <c r="L238" s="108"/>
      <c r="M238" s="108" t="s">
        <v>101</v>
      </c>
      <c r="N238" s="108"/>
      <c r="O238" s="106" t="s">
        <v>79</v>
      </c>
      <c r="P238" s="109" t="s">
        <v>80</v>
      </c>
      <c r="Q238" s="109"/>
      <c r="R238" s="109">
        <v>10000</v>
      </c>
      <c r="S238" s="111"/>
      <c r="T238" s="116"/>
      <c r="U238" s="111"/>
      <c r="V238" s="109" t="s">
        <v>81</v>
      </c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  <c r="BO238" s="111"/>
      <c r="BP238" s="111"/>
      <c r="BQ238" s="111"/>
      <c r="BR238" s="111"/>
      <c r="BS238" s="111"/>
      <c r="BT238" s="111"/>
      <c r="BU238" s="111"/>
      <c r="BV238" s="111"/>
      <c r="BW238" s="111"/>
      <c r="BX238" s="111"/>
      <c r="BY238" s="113"/>
    </row>
    <row r="239" spans="1:77" s="8" customFormat="1" x14ac:dyDescent="0.15">
      <c r="A239" s="104">
        <v>209010012</v>
      </c>
      <c r="B239" s="105" t="s">
        <v>331</v>
      </c>
      <c r="C239" s="106" t="s">
        <v>129</v>
      </c>
      <c r="D239" s="106"/>
      <c r="E239" s="106" t="s">
        <v>83</v>
      </c>
      <c r="F239" s="106">
        <v>20000</v>
      </c>
      <c r="G239" s="106"/>
      <c r="H239" s="106"/>
      <c r="I239" s="106"/>
      <c r="J239" s="108"/>
      <c r="K239" s="108"/>
      <c r="L239" s="108"/>
      <c r="M239" s="108" t="s">
        <v>101</v>
      </c>
      <c r="N239" s="108"/>
      <c r="O239" s="106" t="s">
        <v>90</v>
      </c>
      <c r="P239" s="109"/>
      <c r="Q239" s="109"/>
      <c r="R239" s="109"/>
      <c r="S239" s="111"/>
      <c r="T239" s="116"/>
      <c r="U239" s="111"/>
      <c r="V239" s="109"/>
      <c r="W239" s="111"/>
      <c r="X239" s="111"/>
      <c r="Y239" s="111"/>
      <c r="Z239" s="111"/>
      <c r="AA239" s="111"/>
      <c r="AB239" s="111"/>
      <c r="AC239" s="111">
        <v>209010201</v>
      </c>
      <c r="AD239" s="111">
        <v>209010201</v>
      </c>
      <c r="AE239" s="111"/>
      <c r="AF239" s="111"/>
      <c r="AG239" s="111"/>
      <c r="AH239" s="111"/>
      <c r="AI239" s="111"/>
      <c r="AJ239" s="111" t="s">
        <v>90</v>
      </c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>
        <v>209010301</v>
      </c>
      <c r="AY239" s="111">
        <v>209010301</v>
      </c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  <c r="BO239" s="111"/>
      <c r="BP239" s="111"/>
      <c r="BQ239" s="111"/>
      <c r="BR239" s="111"/>
      <c r="BS239" s="111"/>
      <c r="BT239" s="111"/>
      <c r="BU239" s="111"/>
      <c r="BV239" s="111"/>
      <c r="BW239" s="111"/>
      <c r="BX239" s="111"/>
      <c r="BY239" s="113"/>
    </row>
    <row r="240" spans="1:77" s="8" customFormat="1" x14ac:dyDescent="0.15">
      <c r="A240" s="104">
        <v>209010013</v>
      </c>
      <c r="B240" s="123" t="s">
        <v>332</v>
      </c>
      <c r="C240" s="104" t="s">
        <v>129</v>
      </c>
      <c r="D240" s="104"/>
      <c r="E240" s="104" t="s">
        <v>78</v>
      </c>
      <c r="F240" s="104"/>
      <c r="G240" s="104"/>
      <c r="H240" s="104"/>
      <c r="I240" s="104"/>
      <c r="J240" s="133"/>
      <c r="K240" s="133"/>
      <c r="L240" s="133"/>
      <c r="M240" s="133" t="s">
        <v>101</v>
      </c>
      <c r="N240" s="133"/>
      <c r="O240" s="104" t="s">
        <v>79</v>
      </c>
      <c r="P240" s="104" t="s">
        <v>102</v>
      </c>
      <c r="Q240" s="104">
        <v>120</v>
      </c>
      <c r="R240" s="104"/>
      <c r="S240" s="104"/>
      <c r="T240" s="104"/>
      <c r="U240" s="104">
        <v>10000</v>
      </c>
      <c r="V240" s="104" t="s">
        <v>81</v>
      </c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104"/>
      <c r="AM240" s="104"/>
      <c r="AN240" s="104"/>
      <c r="AO240" s="104"/>
      <c r="AP240" s="104"/>
      <c r="AQ240" s="104"/>
      <c r="AR240" s="104"/>
      <c r="AS240" s="104"/>
      <c r="AT240" s="104"/>
      <c r="AU240" s="104"/>
      <c r="AV240" s="104"/>
      <c r="AW240" s="104"/>
      <c r="AX240" s="104"/>
      <c r="AY240" s="104"/>
      <c r="AZ240" s="104"/>
      <c r="BA240" s="104"/>
      <c r="BB240" s="104"/>
      <c r="BC240" s="104"/>
      <c r="BD240" s="104"/>
      <c r="BE240" s="104"/>
      <c r="BF240" s="104"/>
      <c r="BG240" s="104"/>
      <c r="BH240" s="104"/>
      <c r="BI240" s="104"/>
      <c r="BJ240" s="104"/>
      <c r="BK240" s="104"/>
      <c r="BL240" s="104"/>
      <c r="BM240" s="104"/>
      <c r="BN240" s="104"/>
      <c r="BO240" s="104"/>
      <c r="BP240" s="104"/>
      <c r="BQ240" s="104"/>
      <c r="BR240" s="104"/>
      <c r="BS240" s="104"/>
      <c r="BT240" s="104"/>
      <c r="BU240" s="104"/>
      <c r="BV240" s="104"/>
      <c r="BW240" s="104"/>
      <c r="BX240" s="104"/>
      <c r="BY240" s="140"/>
    </row>
    <row r="241" spans="1:77" s="8" customFormat="1" x14ac:dyDescent="0.15">
      <c r="A241" s="104">
        <v>210001011</v>
      </c>
      <c r="B241" s="107" t="s">
        <v>333</v>
      </c>
      <c r="C241" s="106" t="s">
        <v>77</v>
      </c>
      <c r="D241" s="106"/>
      <c r="E241" s="106" t="s">
        <v>78</v>
      </c>
      <c r="F241" s="106"/>
      <c r="G241" s="106"/>
      <c r="H241" s="106"/>
      <c r="I241" s="106"/>
      <c r="J241" s="108"/>
      <c r="K241" s="108"/>
      <c r="L241" s="108"/>
      <c r="M241" s="108"/>
      <c r="N241" s="108"/>
      <c r="O241" s="106" t="s">
        <v>79</v>
      </c>
      <c r="P241" s="109" t="s">
        <v>80</v>
      </c>
      <c r="Q241" s="109"/>
      <c r="R241" s="109">
        <v>10000</v>
      </c>
      <c r="S241" s="111"/>
      <c r="T241" s="116">
        <v>10000</v>
      </c>
      <c r="U241" s="111"/>
      <c r="V241" s="109" t="s">
        <v>81</v>
      </c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  <c r="BJ241" s="111"/>
      <c r="BK241" s="111"/>
      <c r="BL241" s="111"/>
      <c r="BM241" s="111"/>
      <c r="BN241" s="111"/>
      <c r="BO241" s="111"/>
      <c r="BP241" s="111"/>
      <c r="BQ241" s="111"/>
      <c r="BR241" s="111"/>
      <c r="BS241" s="111"/>
      <c r="BT241" s="111"/>
      <c r="BU241" s="111"/>
      <c r="BV241" s="111"/>
      <c r="BW241" s="111"/>
      <c r="BX241" s="111"/>
      <c r="BY241" s="113"/>
    </row>
    <row r="242" spans="1:77" s="8" customFormat="1" x14ac:dyDescent="0.15">
      <c r="A242" s="104">
        <v>210002011</v>
      </c>
      <c r="B242" s="107" t="s">
        <v>334</v>
      </c>
      <c r="C242" s="106" t="s">
        <v>77</v>
      </c>
      <c r="D242" s="106" t="s">
        <v>101</v>
      </c>
      <c r="E242" s="106" t="s">
        <v>83</v>
      </c>
      <c r="F242" s="106">
        <v>50000</v>
      </c>
      <c r="G242" s="106"/>
      <c r="H242" s="106"/>
      <c r="I242" s="106"/>
      <c r="J242" s="108"/>
      <c r="K242" s="108"/>
      <c r="L242" s="108"/>
      <c r="M242" s="108" t="s">
        <v>101</v>
      </c>
      <c r="N242" s="108"/>
      <c r="O242" s="106" t="s">
        <v>79</v>
      </c>
      <c r="P242" s="109" t="s">
        <v>80</v>
      </c>
      <c r="Q242" s="109">
        <v>600</v>
      </c>
      <c r="R242" s="109">
        <v>10000</v>
      </c>
      <c r="S242" s="111"/>
      <c r="T242" s="116"/>
      <c r="U242" s="111"/>
      <c r="V242" s="109" t="s">
        <v>81</v>
      </c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  <c r="BJ242" s="111"/>
      <c r="BK242" s="111"/>
      <c r="BL242" s="111"/>
      <c r="BM242" s="111"/>
      <c r="BN242" s="111"/>
      <c r="BO242" s="111"/>
      <c r="BP242" s="111"/>
      <c r="BQ242" s="111"/>
      <c r="BR242" s="111"/>
      <c r="BS242" s="111"/>
      <c r="BT242" s="111"/>
      <c r="BU242" s="111"/>
      <c r="BV242" s="111"/>
      <c r="BW242" s="111"/>
      <c r="BX242" s="111"/>
      <c r="BY242" s="113"/>
    </row>
    <row r="243" spans="1:77" s="8" customFormat="1" x14ac:dyDescent="0.15">
      <c r="A243" s="104">
        <v>210010011</v>
      </c>
      <c r="B243" s="123" t="s">
        <v>335</v>
      </c>
      <c r="C243" s="104" t="s">
        <v>89</v>
      </c>
      <c r="D243" s="104"/>
      <c r="E243" s="104" t="s">
        <v>78</v>
      </c>
      <c r="F243" s="104"/>
      <c r="G243" s="104"/>
      <c r="H243" s="104"/>
      <c r="I243" s="104"/>
      <c r="J243" s="133"/>
      <c r="K243" s="133"/>
      <c r="L243" s="133"/>
      <c r="M243" s="133" t="s">
        <v>101</v>
      </c>
      <c r="N243" s="133"/>
      <c r="O243" s="104" t="s">
        <v>90</v>
      </c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>
        <v>210010101</v>
      </c>
      <c r="AD243" s="104">
        <v>210010101</v>
      </c>
      <c r="AE243" s="104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  <c r="AW243" s="104"/>
      <c r="AX243" s="104"/>
      <c r="AY243" s="104"/>
      <c r="AZ243" s="104"/>
      <c r="BA243" s="104"/>
      <c r="BB243" s="104"/>
      <c r="BC243" s="104"/>
      <c r="BD243" s="104"/>
      <c r="BE243" s="104"/>
      <c r="BF243" s="104"/>
      <c r="BG243" s="104"/>
      <c r="BH243" s="104"/>
      <c r="BI243" s="104"/>
      <c r="BJ243" s="104"/>
      <c r="BK243" s="104"/>
      <c r="BL243" s="104"/>
      <c r="BM243" s="104"/>
      <c r="BN243" s="104"/>
      <c r="BO243" s="104"/>
      <c r="BP243" s="104"/>
      <c r="BQ243" s="104"/>
      <c r="BR243" s="104"/>
      <c r="BS243" s="104"/>
      <c r="BT243" s="104"/>
      <c r="BU243" s="104"/>
      <c r="BV243" s="104"/>
      <c r="BW243" s="104"/>
      <c r="BX243" s="104"/>
      <c r="BY243" s="140"/>
    </row>
    <row r="244" spans="1:77" s="8" customFormat="1" x14ac:dyDescent="0.15">
      <c r="A244" s="104">
        <v>212001011</v>
      </c>
      <c r="B244" s="107" t="s">
        <v>336</v>
      </c>
      <c r="C244" s="106" t="s">
        <v>77</v>
      </c>
      <c r="D244" s="106"/>
      <c r="E244" s="106" t="s">
        <v>78</v>
      </c>
      <c r="F244" s="106"/>
      <c r="G244" s="106"/>
      <c r="H244" s="106"/>
      <c r="I244" s="106"/>
      <c r="J244" s="108"/>
      <c r="K244" s="108"/>
      <c r="L244" s="108"/>
      <c r="M244" s="108"/>
      <c r="N244" s="108"/>
      <c r="O244" s="106" t="s">
        <v>79</v>
      </c>
      <c r="P244" s="109" t="s">
        <v>80</v>
      </c>
      <c r="Q244" s="109"/>
      <c r="R244" s="109">
        <v>10000</v>
      </c>
      <c r="S244" s="111"/>
      <c r="T244" s="116"/>
      <c r="U244" s="111"/>
      <c r="V244" s="109" t="s">
        <v>81</v>
      </c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 t="s">
        <v>90</v>
      </c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04">
        <v>212001201</v>
      </c>
      <c r="AY244" s="104">
        <v>212001101</v>
      </c>
      <c r="AZ244" s="111"/>
      <c r="BA244" s="111"/>
      <c r="BB244" s="111"/>
      <c r="BC244" s="111"/>
      <c r="BD244" s="111"/>
      <c r="BE244" s="111"/>
      <c r="BF244" s="111"/>
      <c r="BG244" s="111"/>
      <c r="BH244" s="111"/>
      <c r="BI244" s="111"/>
      <c r="BJ244" s="111"/>
      <c r="BK244" s="111"/>
      <c r="BL244" s="111"/>
      <c r="BM244" s="111"/>
      <c r="BN244" s="111"/>
      <c r="BO244" s="111"/>
      <c r="BP244" s="111"/>
      <c r="BQ244" s="111"/>
      <c r="BR244" s="111"/>
      <c r="BS244" s="111"/>
      <c r="BT244" s="111"/>
      <c r="BU244" s="111"/>
      <c r="BV244" s="111"/>
      <c r="BW244" s="111"/>
      <c r="BX244" s="111"/>
      <c r="BY244" s="113"/>
    </row>
    <row r="245" spans="1:77" s="8" customFormat="1" x14ac:dyDescent="0.15">
      <c r="A245" s="104">
        <v>212001012</v>
      </c>
      <c r="B245" s="107" t="s">
        <v>337</v>
      </c>
      <c r="C245" s="106" t="s">
        <v>77</v>
      </c>
      <c r="D245" s="106"/>
      <c r="E245" s="106" t="s">
        <v>83</v>
      </c>
      <c r="F245" s="106">
        <v>30000</v>
      </c>
      <c r="G245" s="106"/>
      <c r="H245" s="106"/>
      <c r="I245" s="106"/>
      <c r="J245" s="108"/>
      <c r="K245" s="108"/>
      <c r="L245" s="108"/>
      <c r="M245" s="108" t="s">
        <v>101</v>
      </c>
      <c r="N245" s="108"/>
      <c r="O245" s="106" t="s">
        <v>79</v>
      </c>
      <c r="P245" s="109" t="s">
        <v>80</v>
      </c>
      <c r="Q245" s="109"/>
      <c r="R245" s="109">
        <v>3000</v>
      </c>
      <c r="S245" s="111"/>
      <c r="T245" s="116"/>
      <c r="U245" s="111"/>
      <c r="V245" s="109" t="s">
        <v>81</v>
      </c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 t="s">
        <v>90</v>
      </c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04">
        <v>212001201</v>
      </c>
      <c r="AY245" s="104">
        <v>212001101</v>
      </c>
      <c r="AZ245" s="111"/>
      <c r="BA245" s="111"/>
      <c r="BB245" s="111"/>
      <c r="BC245" s="111"/>
      <c r="BD245" s="111"/>
      <c r="BE245" s="111"/>
      <c r="BF245" s="111"/>
      <c r="BG245" s="111"/>
      <c r="BH245" s="111"/>
      <c r="BI245" s="111"/>
      <c r="BJ245" s="111"/>
      <c r="BK245" s="111"/>
      <c r="BL245" s="111"/>
      <c r="BM245" s="111"/>
      <c r="BN245" s="111"/>
      <c r="BO245" s="111"/>
      <c r="BP245" s="111"/>
      <c r="BQ245" s="111"/>
      <c r="BR245" s="111"/>
      <c r="BS245" s="111"/>
      <c r="BT245" s="111"/>
      <c r="BU245" s="111"/>
      <c r="BV245" s="111"/>
      <c r="BW245" s="111"/>
      <c r="BX245" s="111"/>
      <c r="BY245" s="113"/>
    </row>
    <row r="246" spans="1:77" s="8" customFormat="1" x14ac:dyDescent="0.15">
      <c r="A246" s="114">
        <v>215001011</v>
      </c>
      <c r="B246" s="107" t="s">
        <v>338</v>
      </c>
      <c r="C246" s="106" t="s">
        <v>77</v>
      </c>
      <c r="D246" s="106"/>
      <c r="E246" s="106" t="s">
        <v>78</v>
      </c>
      <c r="F246" s="106"/>
      <c r="G246" s="106"/>
      <c r="H246" s="106"/>
      <c r="I246" s="106"/>
      <c r="J246" s="108"/>
      <c r="K246" s="108"/>
      <c r="L246" s="108"/>
      <c r="M246" s="108"/>
      <c r="N246" s="108"/>
      <c r="O246" s="106" t="s">
        <v>79</v>
      </c>
      <c r="P246" s="109" t="s">
        <v>80</v>
      </c>
      <c r="Q246" s="109"/>
      <c r="R246" s="109">
        <v>10000</v>
      </c>
      <c r="S246" s="111"/>
      <c r="T246" s="116"/>
      <c r="U246" s="111"/>
      <c r="V246" s="109" t="s">
        <v>81</v>
      </c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1"/>
      <c r="BC246" s="111"/>
      <c r="BD246" s="111"/>
      <c r="BE246" s="111"/>
      <c r="BF246" s="111"/>
      <c r="BG246" s="111"/>
      <c r="BH246" s="111"/>
      <c r="BI246" s="111"/>
      <c r="BJ246" s="111"/>
      <c r="BK246" s="111"/>
      <c r="BL246" s="111"/>
      <c r="BM246" s="111"/>
      <c r="BN246" s="111"/>
      <c r="BO246" s="111"/>
      <c r="BP246" s="111"/>
      <c r="BQ246" s="111"/>
      <c r="BR246" s="111"/>
      <c r="BS246" s="111"/>
      <c r="BT246" s="111"/>
      <c r="BU246" s="111"/>
      <c r="BV246" s="111"/>
      <c r="BW246" s="111"/>
      <c r="BX246" s="111"/>
      <c r="BY246" s="113"/>
    </row>
    <row r="247" spans="1:77" s="8" customFormat="1" x14ac:dyDescent="0.15">
      <c r="A247" s="104">
        <v>220300011</v>
      </c>
      <c r="B247" s="115" t="s">
        <v>339</v>
      </c>
      <c r="C247" s="106" t="s">
        <v>89</v>
      </c>
      <c r="D247" s="106"/>
      <c r="E247" s="109" t="s">
        <v>83</v>
      </c>
      <c r="F247" s="109">
        <v>20000</v>
      </c>
      <c r="G247" s="109"/>
      <c r="H247" s="109"/>
      <c r="I247" s="109"/>
      <c r="J247" s="128"/>
      <c r="K247" s="128"/>
      <c r="L247" s="128"/>
      <c r="M247" s="128"/>
      <c r="N247" s="128"/>
      <c r="O247" s="106" t="s">
        <v>98</v>
      </c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>
        <v>22030001</v>
      </c>
      <c r="AF247" s="109"/>
      <c r="AG247" s="109"/>
      <c r="AH247" s="109"/>
      <c r="AI247" s="109"/>
      <c r="AJ247" s="109"/>
      <c r="AK247" s="109"/>
      <c r="AL247" s="109"/>
      <c r="AM247" s="109"/>
      <c r="AN247" s="109"/>
      <c r="AO247" s="109"/>
      <c r="AP247" s="109"/>
      <c r="AQ247" s="109"/>
      <c r="AR247" s="109"/>
      <c r="AS247" s="109"/>
      <c r="AT247" s="109"/>
      <c r="AU247" s="109"/>
      <c r="AV247" s="109"/>
      <c r="AW247" s="109"/>
      <c r="AX247" s="109"/>
      <c r="AY247" s="109"/>
      <c r="AZ247" s="109"/>
      <c r="BA247" s="109"/>
      <c r="BB247" s="109"/>
      <c r="BC247" s="109"/>
      <c r="BD247" s="109"/>
      <c r="BE247" s="109"/>
      <c r="BF247" s="109"/>
      <c r="BG247" s="109"/>
      <c r="BH247" s="109"/>
      <c r="BI247" s="109"/>
      <c r="BJ247" s="109"/>
      <c r="BK247" s="109"/>
      <c r="BL247" s="109"/>
      <c r="BM247" s="109"/>
      <c r="BN247" s="109"/>
      <c r="BO247" s="109"/>
      <c r="BP247" s="109"/>
      <c r="BQ247" s="109"/>
      <c r="BR247" s="109"/>
      <c r="BS247" s="109"/>
      <c r="BT247" s="109"/>
      <c r="BU247" s="109"/>
      <c r="BV247" s="109"/>
      <c r="BW247" s="109"/>
      <c r="BX247" s="109"/>
      <c r="BY247" s="136"/>
    </row>
    <row r="248" spans="1:77" s="8" customFormat="1" x14ac:dyDescent="0.15">
      <c r="A248" s="104">
        <v>220300012</v>
      </c>
      <c r="B248" s="115" t="s">
        <v>290</v>
      </c>
      <c r="C248" s="106" t="s">
        <v>89</v>
      </c>
      <c r="D248" s="106"/>
      <c r="E248" s="109" t="s">
        <v>78</v>
      </c>
      <c r="F248" s="109"/>
      <c r="G248" s="109"/>
      <c r="H248" s="109"/>
      <c r="I248" s="109"/>
      <c r="J248" s="128"/>
      <c r="K248" s="128"/>
      <c r="L248" s="128"/>
      <c r="M248" s="128"/>
      <c r="N248" s="128"/>
      <c r="O248" s="106" t="s">
        <v>90</v>
      </c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>
        <v>220300101</v>
      </c>
      <c r="AD248" s="109">
        <v>220300101</v>
      </c>
      <c r="AE248" s="109"/>
      <c r="AF248" s="109"/>
      <c r="AG248" s="109"/>
      <c r="AH248" s="109"/>
      <c r="AI248" s="109"/>
      <c r="AJ248" s="109"/>
      <c r="AK248" s="109"/>
      <c r="AL248" s="109"/>
      <c r="AM248" s="109"/>
      <c r="AN248" s="109"/>
      <c r="AO248" s="109"/>
      <c r="AP248" s="109"/>
      <c r="AQ248" s="109"/>
      <c r="AR248" s="109"/>
      <c r="AS248" s="109"/>
      <c r="AT248" s="109"/>
      <c r="AU248" s="109"/>
      <c r="AV248" s="109"/>
      <c r="AW248" s="109"/>
      <c r="AX248" s="109"/>
      <c r="AY248" s="109"/>
      <c r="AZ248" s="109"/>
      <c r="BA248" s="109"/>
      <c r="BB248" s="109"/>
      <c r="BC248" s="109"/>
      <c r="BD248" s="109"/>
      <c r="BE248" s="109"/>
      <c r="BF248" s="109"/>
      <c r="BG248" s="109"/>
      <c r="BH248" s="109"/>
      <c r="BI248" s="109"/>
      <c r="BJ248" s="109"/>
      <c r="BK248" s="109"/>
      <c r="BL248" s="109"/>
      <c r="BM248" s="109"/>
      <c r="BN248" s="109"/>
      <c r="BO248" s="109"/>
      <c r="BP248" s="109"/>
      <c r="BQ248" s="109"/>
      <c r="BR248" s="109"/>
      <c r="BS248" s="109"/>
      <c r="BT248" s="109"/>
      <c r="BU248" s="109"/>
      <c r="BV248" s="109"/>
      <c r="BW248" s="109"/>
      <c r="BX248" s="109"/>
      <c r="BY248" s="136"/>
    </row>
    <row r="249" spans="1:77" s="8" customFormat="1" x14ac:dyDescent="0.15">
      <c r="A249" s="104">
        <v>221001011</v>
      </c>
      <c r="B249" s="105" t="s">
        <v>340</v>
      </c>
      <c r="C249" s="106" t="s">
        <v>77</v>
      </c>
      <c r="D249" s="106"/>
      <c r="E249" s="106" t="s">
        <v>78</v>
      </c>
      <c r="F249" s="106"/>
      <c r="G249" s="106"/>
      <c r="H249" s="106"/>
      <c r="I249" s="106"/>
      <c r="J249" s="108"/>
      <c r="K249" s="108"/>
      <c r="L249" s="108"/>
      <c r="M249" s="108"/>
      <c r="N249" s="108"/>
      <c r="O249" s="106" t="s">
        <v>79</v>
      </c>
      <c r="P249" s="109" t="s">
        <v>80</v>
      </c>
      <c r="Q249" s="109"/>
      <c r="R249" s="109">
        <v>10000</v>
      </c>
      <c r="S249" s="111"/>
      <c r="T249" s="109">
        <v>10000</v>
      </c>
      <c r="U249" s="111"/>
      <c r="V249" s="109" t="s">
        <v>101</v>
      </c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  <c r="BK249" s="111"/>
      <c r="BL249" s="111"/>
      <c r="BM249" s="111"/>
      <c r="BN249" s="111"/>
      <c r="BO249" s="111"/>
      <c r="BP249" s="111"/>
      <c r="BQ249" s="111"/>
      <c r="BR249" s="111"/>
      <c r="BS249" s="111"/>
      <c r="BT249" s="111"/>
      <c r="BU249" s="111"/>
      <c r="BV249" s="111"/>
      <c r="BW249" s="111"/>
      <c r="BX249" s="111"/>
      <c r="BY249" s="113"/>
    </row>
    <row r="250" spans="1:77" s="8" customFormat="1" x14ac:dyDescent="0.15">
      <c r="A250" s="124">
        <v>224200011</v>
      </c>
      <c r="B250" s="125" t="s">
        <v>341</v>
      </c>
      <c r="C250" s="126" t="s">
        <v>100</v>
      </c>
      <c r="D250" s="124"/>
      <c r="E250" s="126" t="s">
        <v>83</v>
      </c>
      <c r="F250" s="124">
        <v>100000</v>
      </c>
      <c r="G250" s="124"/>
      <c r="H250" s="124"/>
      <c r="I250" s="124"/>
      <c r="J250" s="134"/>
      <c r="K250" s="134"/>
      <c r="L250" s="134"/>
      <c r="M250" s="134" t="s">
        <v>101</v>
      </c>
      <c r="N250" s="134"/>
      <c r="O250" s="126" t="s">
        <v>79</v>
      </c>
      <c r="P250" s="126" t="s">
        <v>102</v>
      </c>
      <c r="Q250" s="126">
        <v>300</v>
      </c>
      <c r="R250" s="124"/>
      <c r="S250" s="124">
        <v>2000</v>
      </c>
      <c r="T250" s="124"/>
      <c r="U250" s="124">
        <v>5000</v>
      </c>
      <c r="V250" s="124" t="s">
        <v>81</v>
      </c>
      <c r="W250" s="124" t="s">
        <v>307</v>
      </c>
      <c r="X250" s="124" t="s">
        <v>308</v>
      </c>
      <c r="Y250" s="124">
        <v>-1500</v>
      </c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124"/>
      <c r="AQ250" s="124"/>
      <c r="AR250" s="124"/>
      <c r="AS250" s="124"/>
      <c r="AT250" s="124"/>
      <c r="AU250" s="124"/>
      <c r="AV250" s="124"/>
      <c r="AW250" s="124"/>
      <c r="AX250" s="124"/>
      <c r="AY250" s="124"/>
      <c r="AZ250" s="124"/>
      <c r="BA250" s="124"/>
      <c r="BB250" s="124"/>
      <c r="BC250" s="124"/>
      <c r="BD250" s="124"/>
      <c r="BE250" s="124"/>
      <c r="BF250" s="124"/>
      <c r="BG250" s="124"/>
      <c r="BH250" s="124"/>
      <c r="BI250" s="124"/>
      <c r="BJ250" s="124"/>
      <c r="BK250" s="124"/>
      <c r="BL250" s="124"/>
      <c r="BM250" s="124"/>
      <c r="BN250" s="124"/>
      <c r="BO250" s="124"/>
      <c r="BP250" s="124"/>
      <c r="BQ250" s="124"/>
      <c r="BR250" s="124"/>
      <c r="BS250" s="124"/>
      <c r="BT250" s="124"/>
      <c r="BU250" s="124"/>
      <c r="BV250" s="124"/>
      <c r="BW250" s="124"/>
      <c r="BX250" s="124"/>
      <c r="BY250" s="141"/>
    </row>
    <row r="251" spans="1:77" s="8" customFormat="1" x14ac:dyDescent="0.15">
      <c r="A251" s="124">
        <v>232200011</v>
      </c>
      <c r="B251" s="125" t="s">
        <v>341</v>
      </c>
      <c r="C251" s="126" t="s">
        <v>100</v>
      </c>
      <c r="D251" s="124"/>
      <c r="E251" s="126" t="s">
        <v>83</v>
      </c>
      <c r="F251" s="124">
        <v>100000</v>
      </c>
      <c r="G251" s="124"/>
      <c r="H251" s="124"/>
      <c r="I251" s="124"/>
      <c r="J251" s="134"/>
      <c r="K251" s="134"/>
      <c r="L251" s="134"/>
      <c r="M251" s="134" t="s">
        <v>101</v>
      </c>
      <c r="N251" s="134"/>
      <c r="O251" s="126" t="s">
        <v>79</v>
      </c>
      <c r="P251" s="126" t="s">
        <v>102</v>
      </c>
      <c r="Q251" s="126">
        <v>500</v>
      </c>
      <c r="R251" s="124"/>
      <c r="S251" s="124">
        <v>2000</v>
      </c>
      <c r="T251" s="124"/>
      <c r="U251" s="124">
        <v>5000</v>
      </c>
      <c r="V251" s="124" t="s">
        <v>81</v>
      </c>
      <c r="W251" s="124" t="s">
        <v>307</v>
      </c>
      <c r="X251" s="124" t="s">
        <v>308</v>
      </c>
      <c r="Y251" s="124">
        <v>-1500</v>
      </c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  <c r="AK251" s="124"/>
      <c r="AL251" s="124"/>
      <c r="AM251" s="124"/>
      <c r="AN251" s="124"/>
      <c r="AO251" s="124"/>
      <c r="AP251" s="124"/>
      <c r="AQ251" s="124"/>
      <c r="AR251" s="124"/>
      <c r="AS251" s="124"/>
      <c r="AT251" s="124"/>
      <c r="AU251" s="124"/>
      <c r="AV251" s="124"/>
      <c r="AW251" s="124"/>
      <c r="AX251" s="124"/>
      <c r="AY251" s="124"/>
      <c r="AZ251" s="124"/>
      <c r="BA251" s="124"/>
      <c r="BB251" s="124"/>
      <c r="BC251" s="124"/>
      <c r="BD251" s="124"/>
      <c r="BE251" s="124"/>
      <c r="BF251" s="124"/>
      <c r="BG251" s="124"/>
      <c r="BH251" s="124"/>
      <c r="BI251" s="124"/>
      <c r="BJ251" s="124"/>
      <c r="BK251" s="124"/>
      <c r="BL251" s="124"/>
      <c r="BM251" s="124"/>
      <c r="BN251" s="124"/>
      <c r="BO251" s="124"/>
      <c r="BP251" s="124"/>
      <c r="BQ251" s="124"/>
      <c r="BR251" s="124"/>
      <c r="BS251" s="124"/>
      <c r="BT251" s="124"/>
      <c r="BU251" s="124"/>
      <c r="BV251" s="124"/>
      <c r="BW251" s="124"/>
      <c r="BX251" s="124"/>
      <c r="BY251" s="141"/>
    </row>
    <row r="252" spans="1:77" s="8" customFormat="1" x14ac:dyDescent="0.15">
      <c r="A252" s="124">
        <v>230200011</v>
      </c>
      <c r="B252" s="125" t="s">
        <v>342</v>
      </c>
      <c r="C252" s="126" t="s">
        <v>89</v>
      </c>
      <c r="D252" s="124"/>
      <c r="E252" s="126" t="s">
        <v>83</v>
      </c>
      <c r="F252" s="124">
        <v>180000</v>
      </c>
      <c r="G252" s="124"/>
      <c r="H252" s="124"/>
      <c r="I252" s="124"/>
      <c r="J252" s="134"/>
      <c r="K252" s="134"/>
      <c r="L252" s="134"/>
      <c r="M252" s="134"/>
      <c r="N252" s="134"/>
      <c r="O252" s="126" t="s">
        <v>98</v>
      </c>
      <c r="P252" s="126"/>
      <c r="Q252" s="126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>
        <v>23020001</v>
      </c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124"/>
      <c r="AQ252" s="124"/>
      <c r="AR252" s="124"/>
      <c r="AS252" s="124"/>
      <c r="AT252" s="124"/>
      <c r="AU252" s="124"/>
      <c r="AV252" s="124"/>
      <c r="AW252" s="124"/>
      <c r="AX252" s="124"/>
      <c r="AY252" s="124"/>
      <c r="AZ252" s="124"/>
      <c r="BA252" s="124"/>
      <c r="BB252" s="124"/>
      <c r="BC252" s="124"/>
      <c r="BD252" s="124"/>
      <c r="BE252" s="124"/>
      <c r="BF252" s="124"/>
      <c r="BG252" s="124"/>
      <c r="BH252" s="124"/>
      <c r="BI252" s="124"/>
      <c r="BJ252" s="124"/>
      <c r="BK252" s="124"/>
      <c r="BL252" s="124"/>
      <c r="BM252" s="124"/>
      <c r="BN252" s="124"/>
      <c r="BO252" s="124"/>
      <c r="BP252" s="124"/>
      <c r="BQ252" s="124"/>
      <c r="BR252" s="124"/>
      <c r="BS252" s="124"/>
      <c r="BT252" s="124"/>
      <c r="BU252" s="124"/>
      <c r="BV252" s="124"/>
      <c r="BW252" s="124"/>
      <c r="BX252" s="124"/>
      <c r="BY252" s="141"/>
    </row>
    <row r="253" spans="1:77" s="8" customFormat="1" x14ac:dyDescent="0.15">
      <c r="A253" s="117">
        <v>301001011</v>
      </c>
      <c r="B253" s="118" t="s">
        <v>343</v>
      </c>
      <c r="C253" s="119" t="s">
        <v>77</v>
      </c>
      <c r="D253" s="119"/>
      <c r="E253" s="119" t="s">
        <v>78</v>
      </c>
      <c r="F253" s="119"/>
      <c r="G253" s="119"/>
      <c r="H253" s="119"/>
      <c r="I253" s="119"/>
      <c r="J253" s="129"/>
      <c r="K253" s="129"/>
      <c r="L253" s="129"/>
      <c r="M253" s="129"/>
      <c r="N253" s="129"/>
      <c r="O253" s="119" t="s">
        <v>79</v>
      </c>
      <c r="P253" s="130" t="s">
        <v>80</v>
      </c>
      <c r="Q253" s="130"/>
      <c r="R253" s="130">
        <v>10000</v>
      </c>
      <c r="S253" s="117"/>
      <c r="T253" s="130">
        <v>10000</v>
      </c>
      <c r="U253" s="117"/>
      <c r="V253" s="130" t="s">
        <v>81</v>
      </c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  <c r="AI253" s="117"/>
      <c r="AJ253" s="117"/>
      <c r="AK253" s="117"/>
      <c r="AL253" s="117"/>
      <c r="AM253" s="117"/>
      <c r="AN253" s="117"/>
      <c r="AO253" s="117"/>
      <c r="AP253" s="117"/>
      <c r="AQ253" s="117"/>
      <c r="AR253" s="117"/>
      <c r="AS253" s="117"/>
      <c r="AT253" s="117"/>
      <c r="AU253" s="117"/>
      <c r="AV253" s="117"/>
      <c r="AW253" s="117"/>
      <c r="AX253" s="117"/>
      <c r="AY253" s="117"/>
      <c r="AZ253" s="117"/>
      <c r="BA253" s="117"/>
      <c r="BB253" s="117"/>
      <c r="BC253" s="117"/>
      <c r="BD253" s="117"/>
      <c r="BE253" s="117"/>
      <c r="BF253" s="117"/>
      <c r="BG253" s="117"/>
      <c r="BH253" s="117"/>
      <c r="BI253" s="117"/>
      <c r="BJ253" s="117"/>
      <c r="BK253" s="117"/>
      <c r="BL253" s="117"/>
      <c r="BM253" s="117"/>
      <c r="BN253" s="117"/>
      <c r="BO253" s="117"/>
      <c r="BP253" s="117"/>
      <c r="BQ253" s="117"/>
      <c r="BR253" s="117"/>
      <c r="BS253" s="117"/>
      <c r="BT253" s="117"/>
      <c r="BU253" s="117"/>
      <c r="BV253" s="117"/>
      <c r="BW253" s="117"/>
      <c r="BX253" s="117"/>
      <c r="BY253" s="138"/>
    </row>
    <row r="254" spans="1:77" s="8" customFormat="1" x14ac:dyDescent="0.15">
      <c r="A254" s="124">
        <v>301020011</v>
      </c>
      <c r="B254" s="125" t="s">
        <v>344</v>
      </c>
      <c r="C254" s="124" t="s">
        <v>89</v>
      </c>
      <c r="D254" s="124"/>
      <c r="E254" s="124" t="s">
        <v>78</v>
      </c>
      <c r="F254" s="124"/>
      <c r="G254" s="124"/>
      <c r="H254" s="124"/>
      <c r="I254" s="124"/>
      <c r="J254" s="134"/>
      <c r="K254" s="134"/>
      <c r="L254" s="134"/>
      <c r="M254" s="134"/>
      <c r="N254" s="134"/>
      <c r="O254" s="124" t="s">
        <v>90</v>
      </c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>
        <v>301020101</v>
      </c>
      <c r="AD254" s="124"/>
      <c r="AE254" s="124"/>
      <c r="AF254" s="124"/>
      <c r="AG254" s="124"/>
      <c r="AH254" s="124"/>
      <c r="AI254" s="124"/>
      <c r="AJ254" s="124"/>
      <c r="AK254" s="124"/>
      <c r="AL254" s="124"/>
      <c r="AM254" s="124"/>
      <c r="AN254" s="124"/>
      <c r="AO254" s="124"/>
      <c r="AP254" s="124"/>
      <c r="AQ254" s="124"/>
      <c r="AR254" s="124"/>
      <c r="AS254" s="124"/>
      <c r="AT254" s="124"/>
      <c r="AU254" s="124"/>
      <c r="AV254" s="124"/>
      <c r="AW254" s="124"/>
      <c r="AX254" s="124"/>
      <c r="AY254" s="124"/>
      <c r="AZ254" s="124"/>
      <c r="BA254" s="124"/>
      <c r="BB254" s="124"/>
      <c r="BC254" s="124"/>
      <c r="BD254" s="124"/>
      <c r="BE254" s="124"/>
      <c r="BF254" s="124"/>
      <c r="BG254" s="124"/>
      <c r="BH254" s="124"/>
      <c r="BI254" s="124"/>
      <c r="BJ254" s="124"/>
      <c r="BK254" s="124"/>
      <c r="BL254" s="124"/>
      <c r="BM254" s="124"/>
      <c r="BN254" s="124"/>
      <c r="BO254" s="124"/>
      <c r="BP254" s="124"/>
      <c r="BQ254" s="124"/>
      <c r="BR254" s="124"/>
      <c r="BS254" s="124"/>
      <c r="BT254" s="124"/>
      <c r="BU254" s="124"/>
      <c r="BV254" s="124"/>
      <c r="BW254" s="124"/>
      <c r="BX254" s="124"/>
      <c r="BY254" s="141"/>
    </row>
    <row r="255" spans="1:77" s="8" customFormat="1" x14ac:dyDescent="0.15">
      <c r="A255" s="104">
        <v>302001011</v>
      </c>
      <c r="B255" s="127" t="s">
        <v>345</v>
      </c>
      <c r="C255" s="106" t="s">
        <v>77</v>
      </c>
      <c r="D255" s="106"/>
      <c r="E255" s="106" t="s">
        <v>78</v>
      </c>
      <c r="F255" s="106"/>
      <c r="G255" s="106"/>
      <c r="H255" s="106"/>
      <c r="I255" s="106"/>
      <c r="J255" s="108"/>
      <c r="K255" s="108"/>
      <c r="L255" s="108"/>
      <c r="M255" s="108"/>
      <c r="N255" s="108"/>
      <c r="O255" s="106" t="s">
        <v>79</v>
      </c>
      <c r="P255" s="109" t="s">
        <v>80</v>
      </c>
      <c r="Q255" s="109"/>
      <c r="R255" s="109">
        <v>10000</v>
      </c>
      <c r="S255" s="111"/>
      <c r="T255" s="109">
        <v>10000</v>
      </c>
      <c r="U255" s="111"/>
      <c r="V255" s="109" t="s">
        <v>81</v>
      </c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/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3"/>
    </row>
    <row r="256" spans="1:77" s="8" customFormat="1" x14ac:dyDescent="0.15">
      <c r="A256" s="104">
        <v>302010011</v>
      </c>
      <c r="B256" s="105" t="s">
        <v>346</v>
      </c>
      <c r="C256" s="106" t="s">
        <v>100</v>
      </c>
      <c r="D256" s="106"/>
      <c r="E256" s="106" t="s">
        <v>78</v>
      </c>
      <c r="F256" s="106"/>
      <c r="G256" s="106"/>
      <c r="H256" s="106"/>
      <c r="I256" s="106"/>
      <c r="J256" s="108"/>
      <c r="K256" s="108"/>
      <c r="L256" s="108"/>
      <c r="M256" s="108"/>
      <c r="N256" s="108"/>
      <c r="O256" s="106" t="s">
        <v>90</v>
      </c>
      <c r="P256" s="109"/>
      <c r="Q256" s="109"/>
      <c r="R256" s="109"/>
      <c r="S256" s="111"/>
      <c r="T256" s="111"/>
      <c r="U256" s="111"/>
      <c r="V256" s="109"/>
      <c r="W256" s="111"/>
      <c r="X256" s="111"/>
      <c r="Y256" s="111"/>
      <c r="Z256" s="111"/>
      <c r="AA256" s="111"/>
      <c r="AB256" s="111"/>
      <c r="AC256" s="111">
        <v>302010101</v>
      </c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1"/>
      <c r="BC256" s="111"/>
      <c r="BD256" s="111"/>
      <c r="BE256" s="111"/>
      <c r="BF256" s="111"/>
      <c r="BG256" s="111"/>
      <c r="BH256" s="111"/>
      <c r="BI256" s="111"/>
      <c r="BJ256" s="111"/>
      <c r="BK256" s="111"/>
      <c r="BL256" s="111"/>
      <c r="BM256" s="111"/>
      <c r="BN256" s="111"/>
      <c r="BO256" s="111"/>
      <c r="BP256" s="111"/>
      <c r="BQ256" s="111"/>
      <c r="BR256" s="111"/>
      <c r="BS256" s="111"/>
      <c r="BT256" s="111"/>
      <c r="BU256" s="111"/>
      <c r="BV256" s="111"/>
      <c r="BW256" s="111"/>
      <c r="BX256" s="111"/>
      <c r="BY256" s="113"/>
    </row>
    <row r="257" spans="1:77" s="8" customFormat="1" x14ac:dyDescent="0.15">
      <c r="A257" s="104">
        <v>303001011</v>
      </c>
      <c r="B257" s="127" t="s">
        <v>347</v>
      </c>
      <c r="C257" s="106" t="s">
        <v>77</v>
      </c>
      <c r="D257" s="106"/>
      <c r="E257" s="106" t="s">
        <v>78</v>
      </c>
      <c r="F257" s="106"/>
      <c r="G257" s="106"/>
      <c r="H257" s="106"/>
      <c r="I257" s="106"/>
      <c r="J257" s="108"/>
      <c r="K257" s="108"/>
      <c r="L257" s="108"/>
      <c r="M257" s="108"/>
      <c r="N257" s="108"/>
      <c r="O257" s="106" t="s">
        <v>79</v>
      </c>
      <c r="P257" s="109" t="s">
        <v>80</v>
      </c>
      <c r="Q257" s="109"/>
      <c r="R257" s="109">
        <v>10000</v>
      </c>
      <c r="S257" s="111"/>
      <c r="T257" s="109">
        <v>10000</v>
      </c>
      <c r="U257" s="111"/>
      <c r="V257" s="109" t="s">
        <v>81</v>
      </c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1"/>
      <c r="BC257" s="111"/>
      <c r="BD257" s="111"/>
      <c r="BE257" s="111"/>
      <c r="BF257" s="111"/>
      <c r="BG257" s="111"/>
      <c r="BH257" s="111"/>
      <c r="BI257" s="111"/>
      <c r="BJ257" s="111"/>
      <c r="BK257" s="111"/>
      <c r="BL257" s="111"/>
      <c r="BM257" s="111"/>
      <c r="BN257" s="111"/>
      <c r="BO257" s="111"/>
      <c r="BP257" s="111"/>
      <c r="BQ257" s="111"/>
      <c r="BR257" s="111"/>
      <c r="BS257" s="111"/>
      <c r="BT257" s="111"/>
      <c r="BU257" s="111"/>
      <c r="BV257" s="111"/>
      <c r="BW257" s="111"/>
      <c r="BX257" s="111"/>
      <c r="BY257" s="113"/>
    </row>
    <row r="258" spans="1:77" s="8" customFormat="1" x14ac:dyDescent="0.15">
      <c r="A258" s="104">
        <v>303010011</v>
      </c>
      <c r="B258" s="127" t="s">
        <v>348</v>
      </c>
      <c r="C258" s="106" t="s">
        <v>100</v>
      </c>
      <c r="D258" s="106"/>
      <c r="E258" s="106" t="s">
        <v>78</v>
      </c>
      <c r="F258" s="106"/>
      <c r="G258" s="106"/>
      <c r="H258" s="106"/>
      <c r="I258" s="106"/>
      <c r="J258" s="108"/>
      <c r="K258" s="108"/>
      <c r="L258" s="108"/>
      <c r="M258" s="108"/>
      <c r="N258" s="108"/>
      <c r="O258" s="106" t="s">
        <v>90</v>
      </c>
      <c r="P258" s="109"/>
      <c r="Q258" s="109"/>
      <c r="R258" s="109"/>
      <c r="S258" s="111"/>
      <c r="T258" s="111"/>
      <c r="U258" s="111"/>
      <c r="V258" s="109"/>
      <c r="W258" s="111"/>
      <c r="X258" s="111"/>
      <c r="Y258" s="111"/>
      <c r="Z258" s="111"/>
      <c r="AA258" s="111"/>
      <c r="AB258" s="111"/>
      <c r="AC258" s="111">
        <v>303010101</v>
      </c>
      <c r="AD258" s="111">
        <v>303010201</v>
      </c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1"/>
      <c r="BC258" s="111"/>
      <c r="BD258" s="111"/>
      <c r="BE258" s="111"/>
      <c r="BF258" s="111"/>
      <c r="BG258" s="111"/>
      <c r="BH258" s="111"/>
      <c r="BI258" s="111"/>
      <c r="BJ258" s="111"/>
      <c r="BK258" s="111"/>
      <c r="BL258" s="111"/>
      <c r="BM258" s="111"/>
      <c r="BN258" s="111"/>
      <c r="BO258" s="111"/>
      <c r="BP258" s="111"/>
      <c r="BQ258" s="111"/>
      <c r="BR258" s="111"/>
      <c r="BS258" s="111"/>
      <c r="BT258" s="111"/>
      <c r="BU258" s="111"/>
      <c r="BV258" s="111"/>
      <c r="BW258" s="111"/>
      <c r="BX258" s="111"/>
      <c r="BY258" s="113"/>
    </row>
    <row r="259" spans="1:77" s="8" customFormat="1" x14ac:dyDescent="0.15">
      <c r="A259" s="104">
        <v>303020011</v>
      </c>
      <c r="B259" s="127" t="s">
        <v>349</v>
      </c>
      <c r="C259" s="106" t="s">
        <v>112</v>
      </c>
      <c r="D259" s="106"/>
      <c r="E259" s="106" t="s">
        <v>78</v>
      </c>
      <c r="F259" s="106"/>
      <c r="G259" s="106"/>
      <c r="H259" s="106"/>
      <c r="I259" s="106"/>
      <c r="J259" s="108"/>
      <c r="K259" s="108"/>
      <c r="L259" s="108"/>
      <c r="M259" s="108"/>
      <c r="N259" s="108"/>
      <c r="O259" s="106" t="s">
        <v>90</v>
      </c>
      <c r="P259" s="109"/>
      <c r="Q259" s="109"/>
      <c r="R259" s="109"/>
      <c r="S259" s="111"/>
      <c r="T259" s="111"/>
      <c r="U259" s="111"/>
      <c r="V259" s="109"/>
      <c r="W259" s="111"/>
      <c r="X259" s="111"/>
      <c r="Y259" s="111"/>
      <c r="Z259" s="111"/>
      <c r="AA259" s="111"/>
      <c r="AB259" s="111"/>
      <c r="AC259" s="111">
        <v>303020101</v>
      </c>
      <c r="AD259" s="111">
        <v>303020101</v>
      </c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B259" s="111"/>
      <c r="BC259" s="111"/>
      <c r="BD259" s="111"/>
      <c r="BE259" s="111"/>
      <c r="BF259" s="111"/>
      <c r="BG259" s="111"/>
      <c r="BH259" s="111"/>
      <c r="BI259" s="111"/>
      <c r="BJ259" s="111"/>
      <c r="BK259" s="111"/>
      <c r="BL259" s="111"/>
      <c r="BM259" s="111"/>
      <c r="BN259" s="111"/>
      <c r="BO259" s="111"/>
      <c r="BP259" s="111"/>
      <c r="BQ259" s="111"/>
      <c r="BR259" s="111"/>
      <c r="BS259" s="111"/>
      <c r="BT259" s="111"/>
      <c r="BU259" s="111"/>
      <c r="BV259" s="111"/>
      <c r="BW259" s="111"/>
      <c r="BX259" s="111"/>
      <c r="BY259" s="113"/>
    </row>
    <row r="260" spans="1:77" s="8" customFormat="1" x14ac:dyDescent="0.15">
      <c r="A260" s="104">
        <v>304001011</v>
      </c>
      <c r="B260" s="127" t="s">
        <v>350</v>
      </c>
      <c r="C260" s="106" t="s">
        <v>77</v>
      </c>
      <c r="D260" s="106"/>
      <c r="E260" s="106" t="s">
        <v>78</v>
      </c>
      <c r="F260" s="106"/>
      <c r="G260" s="106"/>
      <c r="H260" s="106"/>
      <c r="I260" s="106"/>
      <c r="J260" s="108"/>
      <c r="K260" s="108"/>
      <c r="L260" s="108"/>
      <c r="M260" s="108"/>
      <c r="N260" s="108"/>
      <c r="O260" s="106" t="s">
        <v>79</v>
      </c>
      <c r="P260" s="109" t="s">
        <v>80</v>
      </c>
      <c r="Q260" s="109"/>
      <c r="R260" s="109">
        <v>10000</v>
      </c>
      <c r="S260" s="111"/>
      <c r="T260" s="109">
        <v>10000</v>
      </c>
      <c r="U260" s="111"/>
      <c r="V260" s="109" t="s">
        <v>81</v>
      </c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B260" s="111"/>
      <c r="BC260" s="111"/>
      <c r="BD260" s="111"/>
      <c r="BE260" s="111"/>
      <c r="BF260" s="111"/>
      <c r="BG260" s="111"/>
      <c r="BH260" s="111"/>
      <c r="BI260" s="111"/>
      <c r="BJ260" s="111"/>
      <c r="BK260" s="111"/>
      <c r="BL260" s="111"/>
      <c r="BM260" s="111"/>
      <c r="BN260" s="111"/>
      <c r="BO260" s="111"/>
      <c r="BP260" s="111"/>
      <c r="BQ260" s="111"/>
      <c r="BR260" s="111"/>
      <c r="BS260" s="111"/>
      <c r="BT260" s="111"/>
      <c r="BU260" s="111"/>
      <c r="BV260" s="111"/>
      <c r="BW260" s="111"/>
      <c r="BX260" s="111"/>
      <c r="BY260" s="113"/>
    </row>
    <row r="261" spans="1:77" s="8" customFormat="1" x14ac:dyDescent="0.15">
      <c r="A261" s="104">
        <v>304010011</v>
      </c>
      <c r="B261" s="127" t="s">
        <v>351</v>
      </c>
      <c r="C261" s="106" t="s">
        <v>77</v>
      </c>
      <c r="D261" s="106"/>
      <c r="E261" s="106" t="s">
        <v>78</v>
      </c>
      <c r="F261" s="106"/>
      <c r="G261" s="106"/>
      <c r="H261" s="106"/>
      <c r="I261" s="106"/>
      <c r="J261" s="108"/>
      <c r="K261" s="108"/>
      <c r="L261" s="108"/>
      <c r="M261" s="108"/>
      <c r="N261" s="108"/>
      <c r="O261" s="106" t="s">
        <v>139</v>
      </c>
      <c r="P261" s="109"/>
      <c r="Q261" s="109"/>
      <c r="R261" s="109"/>
      <c r="S261" s="111"/>
      <c r="T261" s="109"/>
      <c r="U261" s="111"/>
      <c r="V261" s="109"/>
      <c r="W261" s="111"/>
      <c r="X261" s="111"/>
      <c r="Y261" s="111"/>
      <c r="Z261" s="111"/>
      <c r="AA261" s="111"/>
      <c r="AB261" s="111"/>
      <c r="AC261" s="111"/>
      <c r="AD261" s="111"/>
      <c r="AE261" s="111" t="s">
        <v>140</v>
      </c>
      <c r="AF261" s="111">
        <v>20000326</v>
      </c>
      <c r="AG261" s="111">
        <v>1</v>
      </c>
      <c r="AH261" s="111">
        <v>20000327</v>
      </c>
      <c r="AI261" s="111">
        <v>1</v>
      </c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B261" s="111"/>
      <c r="BC261" s="111"/>
      <c r="BD261" s="111"/>
      <c r="BE261" s="111"/>
      <c r="BF261" s="111"/>
      <c r="BG261" s="111"/>
      <c r="BH261" s="111"/>
      <c r="BI261" s="111"/>
      <c r="BJ261" s="111"/>
      <c r="BK261" s="111"/>
      <c r="BL261" s="111"/>
      <c r="BM261" s="111"/>
      <c r="BN261" s="111"/>
      <c r="BO261" s="111"/>
      <c r="BP261" s="111"/>
      <c r="BQ261" s="111"/>
      <c r="BR261" s="111"/>
      <c r="BS261" s="111"/>
      <c r="BT261" s="111"/>
      <c r="BU261" s="111"/>
      <c r="BV261" s="111"/>
      <c r="BW261" s="111"/>
      <c r="BX261" s="111"/>
      <c r="BY261" s="113"/>
    </row>
    <row r="262" spans="1:77" s="8" customFormat="1" x14ac:dyDescent="0.15">
      <c r="A262" s="104">
        <v>304020011</v>
      </c>
      <c r="B262" s="127" t="s">
        <v>352</v>
      </c>
      <c r="C262" s="106" t="s">
        <v>112</v>
      </c>
      <c r="D262" s="106"/>
      <c r="E262" s="106" t="s">
        <v>78</v>
      </c>
      <c r="F262" s="106"/>
      <c r="G262" s="106"/>
      <c r="H262" s="106"/>
      <c r="I262" s="106"/>
      <c r="J262" s="108"/>
      <c r="K262" s="108"/>
      <c r="L262" s="108"/>
      <c r="M262" s="108"/>
      <c r="N262" s="108"/>
      <c r="O262" s="106" t="s">
        <v>95</v>
      </c>
      <c r="P262" s="109"/>
      <c r="Q262" s="109"/>
      <c r="R262" s="109"/>
      <c r="S262" s="111"/>
      <c r="T262" s="109"/>
      <c r="U262" s="111"/>
      <c r="V262" s="109"/>
      <c r="W262" s="111"/>
      <c r="X262" s="111"/>
      <c r="Y262" s="111"/>
      <c r="Z262" s="111"/>
      <c r="AA262" s="111"/>
      <c r="AB262" s="111"/>
      <c r="AC262" s="111"/>
      <c r="AD262" s="111"/>
      <c r="AE262" s="111">
        <v>20000328</v>
      </c>
      <c r="AF262" s="111" t="s">
        <v>142</v>
      </c>
      <c r="AG262" s="111">
        <v>60000</v>
      </c>
      <c r="AH262" s="111">
        <v>1</v>
      </c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11"/>
      <c r="BM262" s="111"/>
      <c r="BN262" s="111"/>
      <c r="BO262" s="111"/>
      <c r="BP262" s="111"/>
      <c r="BQ262" s="111"/>
      <c r="BR262" s="111"/>
      <c r="BS262" s="111"/>
      <c r="BT262" s="111"/>
      <c r="BU262" s="111"/>
      <c r="BV262" s="111"/>
      <c r="BW262" s="111"/>
      <c r="BX262" s="111"/>
      <c r="BY262" s="113"/>
    </row>
    <row r="263" spans="1:77" s="8" customFormat="1" x14ac:dyDescent="0.15">
      <c r="A263" s="104">
        <v>305001011</v>
      </c>
      <c r="B263" s="127" t="s">
        <v>353</v>
      </c>
      <c r="C263" s="106" t="s">
        <v>77</v>
      </c>
      <c r="D263" s="106"/>
      <c r="E263" s="106" t="s">
        <v>78</v>
      </c>
      <c r="F263" s="106"/>
      <c r="G263" s="106"/>
      <c r="H263" s="106"/>
      <c r="I263" s="106"/>
      <c r="J263" s="108"/>
      <c r="K263" s="108"/>
      <c r="L263" s="108"/>
      <c r="M263" s="108"/>
      <c r="N263" s="108"/>
      <c r="O263" s="106" t="s">
        <v>79</v>
      </c>
      <c r="P263" s="109" t="s">
        <v>80</v>
      </c>
      <c r="Q263" s="109"/>
      <c r="R263" s="109">
        <v>10000</v>
      </c>
      <c r="S263" s="111"/>
      <c r="T263" s="109">
        <v>10000</v>
      </c>
      <c r="U263" s="111"/>
      <c r="V263" s="109" t="s">
        <v>81</v>
      </c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11"/>
      <c r="BM263" s="111"/>
      <c r="BN263" s="111"/>
      <c r="BO263" s="111"/>
      <c r="BP263" s="111"/>
      <c r="BQ263" s="111"/>
      <c r="BR263" s="111"/>
      <c r="BS263" s="111"/>
      <c r="BT263" s="111"/>
      <c r="BU263" s="111"/>
      <c r="BV263" s="111"/>
      <c r="BW263" s="111"/>
      <c r="BX263" s="111"/>
      <c r="BY263" s="113"/>
    </row>
    <row r="264" spans="1:77" s="8" customFormat="1" x14ac:dyDescent="0.15">
      <c r="A264" s="104">
        <v>305010011</v>
      </c>
      <c r="B264" s="127" t="s">
        <v>354</v>
      </c>
      <c r="C264" s="106" t="s">
        <v>263</v>
      </c>
      <c r="D264" s="106"/>
      <c r="E264" s="106" t="s">
        <v>83</v>
      </c>
      <c r="F264" s="106">
        <v>70000</v>
      </c>
      <c r="G264" s="106"/>
      <c r="H264" s="106"/>
      <c r="I264" s="106"/>
      <c r="J264" s="108"/>
      <c r="K264" s="108"/>
      <c r="L264" s="108"/>
      <c r="M264" s="108" t="s">
        <v>101</v>
      </c>
      <c r="N264" s="108"/>
      <c r="O264" s="106" t="s">
        <v>355</v>
      </c>
      <c r="P264" s="109"/>
      <c r="Q264" s="109"/>
      <c r="R264" s="109"/>
      <c r="S264" s="111"/>
      <c r="T264" s="109"/>
      <c r="U264" s="111"/>
      <c r="V264" s="109"/>
      <c r="W264" s="111"/>
      <c r="X264" s="111"/>
      <c r="Y264" s="111"/>
      <c r="Z264" s="111"/>
      <c r="AA264" s="111"/>
      <c r="AB264" s="111"/>
      <c r="AC264" s="111"/>
      <c r="AD264" s="111"/>
      <c r="AE264" s="111">
        <v>200</v>
      </c>
      <c r="AF264" s="111">
        <v>0</v>
      </c>
      <c r="AG264" s="111" t="s">
        <v>171</v>
      </c>
      <c r="AH264" s="111">
        <v>1080</v>
      </c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  <c r="BJ264" s="111"/>
      <c r="BK264" s="111"/>
      <c r="BL264" s="111"/>
      <c r="BM264" s="111"/>
      <c r="BN264" s="111"/>
      <c r="BO264" s="111"/>
      <c r="BP264" s="111"/>
      <c r="BQ264" s="111"/>
      <c r="BR264" s="111"/>
      <c r="BS264" s="111"/>
      <c r="BT264" s="111"/>
      <c r="BU264" s="111"/>
      <c r="BV264" s="111"/>
      <c r="BW264" s="111"/>
      <c r="BX264" s="111"/>
      <c r="BY264" s="113"/>
    </row>
    <row r="265" spans="1:77" s="8" customFormat="1" x14ac:dyDescent="0.15">
      <c r="A265" s="104">
        <v>306001011</v>
      </c>
      <c r="B265" s="127" t="s">
        <v>356</v>
      </c>
      <c r="C265" s="106" t="s">
        <v>100</v>
      </c>
      <c r="D265" s="106"/>
      <c r="E265" s="106" t="s">
        <v>83</v>
      </c>
      <c r="F265" s="106">
        <v>40000</v>
      </c>
      <c r="G265" s="106"/>
      <c r="H265" s="106"/>
      <c r="I265" s="106"/>
      <c r="J265" s="108"/>
      <c r="K265" s="108"/>
      <c r="L265" s="108"/>
      <c r="M265" s="108"/>
      <c r="N265" s="108"/>
      <c r="O265" s="106" t="s">
        <v>79</v>
      </c>
      <c r="P265" s="109" t="s">
        <v>80</v>
      </c>
      <c r="Q265" s="109">
        <v>100</v>
      </c>
      <c r="R265" s="109">
        <v>10000</v>
      </c>
      <c r="S265" s="111"/>
      <c r="T265" s="109">
        <v>10000</v>
      </c>
      <c r="U265" s="111"/>
      <c r="V265" s="109" t="s">
        <v>81</v>
      </c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06"/>
      <c r="AK265" s="109"/>
      <c r="AL265" s="109"/>
      <c r="AM265" s="109"/>
      <c r="AN265" s="111"/>
      <c r="AO265" s="111"/>
      <c r="AP265" s="111"/>
      <c r="AQ265" s="109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11"/>
      <c r="BM265" s="111"/>
      <c r="BN265" s="111"/>
      <c r="BO265" s="111"/>
      <c r="BP265" s="111"/>
      <c r="BQ265" s="111"/>
      <c r="BR265" s="111"/>
      <c r="BS265" s="111"/>
      <c r="BT265" s="111"/>
      <c r="BU265" s="111"/>
      <c r="BV265" s="111"/>
      <c r="BW265" s="111"/>
      <c r="BX265" s="111"/>
      <c r="BY265" s="113"/>
    </row>
    <row r="266" spans="1:77" s="8" customFormat="1" x14ac:dyDescent="0.15">
      <c r="A266" s="104">
        <v>306002011</v>
      </c>
      <c r="B266" s="127" t="s">
        <v>357</v>
      </c>
      <c r="C266" s="106" t="s">
        <v>77</v>
      </c>
      <c r="D266" s="106"/>
      <c r="E266" s="106" t="s">
        <v>78</v>
      </c>
      <c r="F266" s="106"/>
      <c r="G266" s="106"/>
      <c r="H266" s="106"/>
      <c r="I266" s="106"/>
      <c r="J266" s="108"/>
      <c r="K266" s="108"/>
      <c r="L266" s="108"/>
      <c r="M266" s="108"/>
      <c r="N266" s="108"/>
      <c r="O266" s="106" t="s">
        <v>79</v>
      </c>
      <c r="P266" s="109" t="s">
        <v>80</v>
      </c>
      <c r="Q266" s="109"/>
      <c r="R266" s="109">
        <v>10000</v>
      </c>
      <c r="S266" s="111"/>
      <c r="T266" s="109">
        <v>10000</v>
      </c>
      <c r="U266" s="111"/>
      <c r="V266" s="109" t="s">
        <v>81</v>
      </c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06"/>
      <c r="AK266" s="109"/>
      <c r="AL266" s="109"/>
      <c r="AM266" s="109"/>
      <c r="AN266" s="111"/>
      <c r="AO266" s="111"/>
      <c r="AP266" s="111"/>
      <c r="AQ266" s="109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  <c r="BG266" s="111"/>
      <c r="BH266" s="111"/>
      <c r="BI266" s="111"/>
      <c r="BJ266" s="111"/>
      <c r="BK266" s="111"/>
      <c r="BL266" s="111"/>
      <c r="BM266" s="111"/>
      <c r="BN266" s="111"/>
      <c r="BO266" s="111"/>
      <c r="BP266" s="111"/>
      <c r="BQ266" s="111"/>
      <c r="BR266" s="111"/>
      <c r="BS266" s="111"/>
      <c r="BT266" s="111"/>
      <c r="BU266" s="111"/>
      <c r="BV266" s="111"/>
      <c r="BW266" s="111"/>
      <c r="BX266" s="111"/>
      <c r="BY266" s="113"/>
    </row>
    <row r="267" spans="1:77" s="8" customFormat="1" x14ac:dyDescent="0.15">
      <c r="A267" s="104">
        <v>307001011</v>
      </c>
      <c r="B267" s="127" t="s">
        <v>358</v>
      </c>
      <c r="C267" s="106" t="s">
        <v>77</v>
      </c>
      <c r="D267" s="106"/>
      <c r="E267" s="106" t="s">
        <v>78</v>
      </c>
      <c r="F267" s="106"/>
      <c r="G267" s="106"/>
      <c r="H267" s="106"/>
      <c r="I267" s="106"/>
      <c r="J267" s="108"/>
      <c r="K267" s="108"/>
      <c r="L267" s="108"/>
      <c r="M267" s="108"/>
      <c r="N267" s="108"/>
      <c r="O267" s="106" t="s">
        <v>79</v>
      </c>
      <c r="P267" s="109" t="s">
        <v>80</v>
      </c>
      <c r="Q267" s="109"/>
      <c r="R267" s="109">
        <v>10000</v>
      </c>
      <c r="S267" s="111"/>
      <c r="T267" s="109">
        <v>10000</v>
      </c>
      <c r="U267" s="111"/>
      <c r="V267" s="109" t="s">
        <v>81</v>
      </c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  <c r="BJ267" s="111"/>
      <c r="BK267" s="111"/>
      <c r="BL267" s="111"/>
      <c r="BM267" s="111"/>
      <c r="BN267" s="111"/>
      <c r="BO267" s="111"/>
      <c r="BP267" s="111"/>
      <c r="BQ267" s="111"/>
      <c r="BR267" s="111"/>
      <c r="BS267" s="111"/>
      <c r="BT267" s="111"/>
      <c r="BU267" s="111"/>
      <c r="BV267" s="111"/>
      <c r="BW267" s="111"/>
      <c r="BX267" s="111"/>
      <c r="BY267" s="113"/>
    </row>
    <row r="268" spans="1:77" s="8" customFormat="1" x14ac:dyDescent="0.15">
      <c r="A268" s="104">
        <v>307001012</v>
      </c>
      <c r="B268" s="127" t="s">
        <v>359</v>
      </c>
      <c r="C268" s="106" t="s">
        <v>77</v>
      </c>
      <c r="D268" s="106"/>
      <c r="E268" s="106" t="s">
        <v>83</v>
      </c>
      <c r="F268" s="106">
        <v>20000</v>
      </c>
      <c r="G268" s="106"/>
      <c r="H268" s="106"/>
      <c r="I268" s="106"/>
      <c r="J268" s="108"/>
      <c r="K268" s="108"/>
      <c r="L268" s="108"/>
      <c r="M268" s="108" t="s">
        <v>101</v>
      </c>
      <c r="N268" s="108"/>
      <c r="O268" s="106" t="s">
        <v>79</v>
      </c>
      <c r="P268" s="109" t="s">
        <v>80</v>
      </c>
      <c r="Q268" s="109"/>
      <c r="R268" s="109">
        <v>2500</v>
      </c>
      <c r="S268" s="111"/>
      <c r="T268" s="109">
        <v>10000</v>
      </c>
      <c r="U268" s="111"/>
      <c r="V268" s="109" t="s">
        <v>81</v>
      </c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  <c r="BJ268" s="111"/>
      <c r="BK268" s="111"/>
      <c r="BL268" s="111"/>
      <c r="BM268" s="111"/>
      <c r="BN268" s="111"/>
      <c r="BO268" s="111"/>
      <c r="BP268" s="111"/>
      <c r="BQ268" s="111"/>
      <c r="BR268" s="111"/>
      <c r="BS268" s="111"/>
      <c r="BT268" s="111"/>
      <c r="BU268" s="111"/>
      <c r="BV268" s="111"/>
      <c r="BW268" s="111"/>
      <c r="BX268" s="111"/>
      <c r="BY268" s="113"/>
    </row>
    <row r="269" spans="1:77" s="8" customFormat="1" x14ac:dyDescent="0.15">
      <c r="A269" s="104">
        <v>307010011</v>
      </c>
      <c r="B269" s="127" t="s">
        <v>360</v>
      </c>
      <c r="C269" s="106" t="s">
        <v>89</v>
      </c>
      <c r="D269" s="106"/>
      <c r="E269" s="106" t="s">
        <v>78</v>
      </c>
      <c r="F269" s="106"/>
      <c r="G269" s="106"/>
      <c r="H269" s="106"/>
      <c r="I269" s="106"/>
      <c r="J269" s="108"/>
      <c r="K269" s="108"/>
      <c r="L269" s="108"/>
      <c r="M269" s="108"/>
      <c r="N269" s="108"/>
      <c r="O269" s="106" t="s">
        <v>361</v>
      </c>
      <c r="P269" s="109"/>
      <c r="Q269" s="109"/>
      <c r="R269" s="109"/>
      <c r="S269" s="111"/>
      <c r="T269" s="109"/>
      <c r="U269" s="111"/>
      <c r="V269" s="109"/>
      <c r="W269" s="111"/>
      <c r="X269" s="111"/>
      <c r="Y269" s="111"/>
      <c r="Z269" s="111"/>
      <c r="AA269" s="111"/>
      <c r="AB269" s="111"/>
      <c r="AC269" s="111"/>
      <c r="AD269" s="111"/>
      <c r="AE269" s="111">
        <v>1</v>
      </c>
      <c r="AF269" s="111">
        <v>4</v>
      </c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  <c r="BG269" s="111"/>
      <c r="BH269" s="111"/>
      <c r="BI269" s="111"/>
      <c r="BJ269" s="111"/>
      <c r="BK269" s="111"/>
      <c r="BL269" s="111"/>
      <c r="BM269" s="111"/>
      <c r="BN269" s="111"/>
      <c r="BO269" s="111"/>
      <c r="BP269" s="111"/>
      <c r="BQ269" s="111"/>
      <c r="BR269" s="111"/>
      <c r="BS269" s="111"/>
      <c r="BT269" s="111"/>
      <c r="BU269" s="111"/>
      <c r="BV269" s="111"/>
      <c r="BW269" s="111"/>
      <c r="BX269" s="111"/>
      <c r="BY269" s="113"/>
    </row>
    <row r="270" spans="1:77" s="8" customFormat="1" x14ac:dyDescent="0.15">
      <c r="A270" s="104">
        <v>307020012</v>
      </c>
      <c r="B270" s="105" t="s">
        <v>362</v>
      </c>
      <c r="C270" s="106" t="s">
        <v>77</v>
      </c>
      <c r="D270" s="106"/>
      <c r="E270" s="106" t="s">
        <v>83</v>
      </c>
      <c r="F270" s="106">
        <v>45000</v>
      </c>
      <c r="G270" s="106"/>
      <c r="H270" s="106"/>
      <c r="I270" s="106"/>
      <c r="J270" s="108"/>
      <c r="K270" s="108"/>
      <c r="L270" s="108"/>
      <c r="M270" s="108" t="s">
        <v>101</v>
      </c>
      <c r="N270" s="108"/>
      <c r="O270" s="106" t="s">
        <v>98</v>
      </c>
      <c r="P270" s="109"/>
      <c r="Q270" s="109"/>
      <c r="R270" s="109"/>
      <c r="S270" s="111"/>
      <c r="T270" s="111"/>
      <c r="U270" s="111"/>
      <c r="V270" s="109"/>
      <c r="W270" s="111"/>
      <c r="X270" s="111"/>
      <c r="Y270" s="111"/>
      <c r="Z270" s="111"/>
      <c r="AA270" s="111"/>
      <c r="AB270" s="111"/>
      <c r="AC270" s="111"/>
      <c r="AD270" s="111"/>
      <c r="AE270" s="111">
        <v>30702001</v>
      </c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B270" s="111"/>
      <c r="BC270" s="111"/>
      <c r="BD270" s="111"/>
      <c r="BE270" s="111"/>
      <c r="BF270" s="111"/>
      <c r="BG270" s="111"/>
      <c r="BH270" s="111"/>
      <c r="BI270" s="111"/>
      <c r="BJ270" s="111"/>
      <c r="BK270" s="111"/>
      <c r="BL270" s="111"/>
      <c r="BM270" s="111"/>
      <c r="BN270" s="111"/>
      <c r="BO270" s="111"/>
      <c r="BP270" s="111"/>
      <c r="BQ270" s="111"/>
      <c r="BR270" s="111"/>
      <c r="BS270" s="111"/>
      <c r="BT270" s="111"/>
      <c r="BU270" s="111"/>
      <c r="BV270" s="111"/>
      <c r="BW270" s="111"/>
      <c r="BX270" s="111"/>
      <c r="BY270" s="113"/>
    </row>
    <row r="271" spans="1:77" s="8" customFormat="1" x14ac:dyDescent="0.15">
      <c r="A271" s="104">
        <v>307020013</v>
      </c>
      <c r="B271" s="123" t="s">
        <v>363</v>
      </c>
      <c r="C271" s="104" t="s">
        <v>100</v>
      </c>
      <c r="D271" s="104"/>
      <c r="E271" s="104" t="s">
        <v>78</v>
      </c>
      <c r="F271" s="104"/>
      <c r="G271" s="104"/>
      <c r="H271" s="104"/>
      <c r="I271" s="104"/>
      <c r="J271" s="133"/>
      <c r="K271" s="133"/>
      <c r="L271" s="133"/>
      <c r="M271" s="133" t="s">
        <v>101</v>
      </c>
      <c r="N271" s="133"/>
      <c r="O271" s="104" t="s">
        <v>79</v>
      </c>
      <c r="P271" s="104" t="s">
        <v>102</v>
      </c>
      <c r="Q271" s="104">
        <v>50</v>
      </c>
      <c r="R271" s="104"/>
      <c r="S271" s="104"/>
      <c r="T271" s="104"/>
      <c r="U271" s="104">
        <v>5000</v>
      </c>
      <c r="V271" s="104" t="s">
        <v>81</v>
      </c>
      <c r="W271" s="104"/>
      <c r="X271" s="104"/>
      <c r="Y271" s="104"/>
      <c r="Z271" s="104"/>
      <c r="AA271" s="104"/>
      <c r="AB271" s="104"/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104"/>
      <c r="AM271" s="104"/>
      <c r="AN271" s="104"/>
      <c r="AO271" s="104"/>
      <c r="AP271" s="104"/>
      <c r="AQ271" s="104"/>
      <c r="AR271" s="104"/>
      <c r="AS271" s="104"/>
      <c r="AT271" s="104"/>
      <c r="AU271" s="104"/>
      <c r="AV271" s="104"/>
      <c r="AW271" s="104"/>
      <c r="AX271" s="104"/>
      <c r="AY271" s="104"/>
      <c r="AZ271" s="104"/>
      <c r="BA271" s="104"/>
      <c r="BB271" s="104"/>
      <c r="BC271" s="104"/>
      <c r="BD271" s="104"/>
      <c r="BE271" s="104"/>
      <c r="BF271" s="104"/>
      <c r="BG271" s="104"/>
      <c r="BH271" s="104"/>
      <c r="BI271" s="104"/>
      <c r="BJ271" s="104"/>
      <c r="BK271" s="104"/>
      <c r="BL271" s="104"/>
      <c r="BM271" s="104"/>
      <c r="BN271" s="104"/>
      <c r="BO271" s="104"/>
      <c r="BP271" s="104"/>
      <c r="BQ271" s="104"/>
      <c r="BR271" s="104"/>
      <c r="BS271" s="104"/>
      <c r="BT271" s="104"/>
      <c r="BU271" s="104"/>
      <c r="BV271" s="104"/>
      <c r="BW271" s="104"/>
      <c r="BX271" s="104"/>
      <c r="BY271" s="140"/>
    </row>
    <row r="272" spans="1:77" s="8" customFormat="1" x14ac:dyDescent="0.15">
      <c r="A272" s="104">
        <v>308001011</v>
      </c>
      <c r="B272" s="127" t="s">
        <v>364</v>
      </c>
      <c r="C272" s="106" t="s">
        <v>77</v>
      </c>
      <c r="D272" s="106"/>
      <c r="E272" s="106" t="s">
        <v>78</v>
      </c>
      <c r="F272" s="106"/>
      <c r="G272" s="106"/>
      <c r="H272" s="106"/>
      <c r="I272" s="106"/>
      <c r="J272" s="108"/>
      <c r="K272" s="108"/>
      <c r="L272" s="108"/>
      <c r="M272" s="108"/>
      <c r="N272" s="108"/>
      <c r="O272" s="106" t="s">
        <v>79</v>
      </c>
      <c r="P272" s="109" t="s">
        <v>80</v>
      </c>
      <c r="Q272" s="109"/>
      <c r="R272" s="109">
        <v>10000</v>
      </c>
      <c r="S272" s="111"/>
      <c r="T272" s="116">
        <v>10000</v>
      </c>
      <c r="U272" s="111"/>
      <c r="V272" s="109" t="s">
        <v>81</v>
      </c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1"/>
      <c r="BC272" s="111"/>
      <c r="BD272" s="111"/>
      <c r="BE272" s="111"/>
      <c r="BF272" s="111"/>
      <c r="BG272" s="111"/>
      <c r="BH272" s="111"/>
      <c r="BI272" s="111"/>
      <c r="BJ272" s="111"/>
      <c r="BK272" s="111"/>
      <c r="BL272" s="111"/>
      <c r="BM272" s="111"/>
      <c r="BN272" s="111"/>
      <c r="BO272" s="111"/>
      <c r="BP272" s="111"/>
      <c r="BQ272" s="111"/>
      <c r="BR272" s="111"/>
      <c r="BS272" s="111"/>
      <c r="BT272" s="111"/>
      <c r="BU272" s="111"/>
      <c r="BV272" s="111"/>
      <c r="BW272" s="111"/>
      <c r="BX272" s="111"/>
      <c r="BY272" s="113"/>
    </row>
    <row r="273" spans="1:77" s="8" customFormat="1" x14ac:dyDescent="0.15">
      <c r="A273" s="104">
        <v>308010011</v>
      </c>
      <c r="B273" s="127" t="s">
        <v>365</v>
      </c>
      <c r="C273" s="106" t="s">
        <v>89</v>
      </c>
      <c r="D273" s="106"/>
      <c r="E273" s="106" t="s">
        <v>83</v>
      </c>
      <c r="F273" s="106">
        <v>30000</v>
      </c>
      <c r="G273" s="106"/>
      <c r="H273" s="106"/>
      <c r="I273" s="106"/>
      <c r="J273" s="108"/>
      <c r="K273" s="108"/>
      <c r="L273" s="108"/>
      <c r="M273" s="108" t="s">
        <v>101</v>
      </c>
      <c r="N273" s="108"/>
      <c r="O273" s="106" t="s">
        <v>98</v>
      </c>
      <c r="P273" s="109"/>
      <c r="Q273" s="109"/>
      <c r="R273" s="109"/>
      <c r="S273" s="111"/>
      <c r="T273" s="116"/>
      <c r="U273" s="111"/>
      <c r="V273" s="109"/>
      <c r="W273" s="111"/>
      <c r="X273" s="111"/>
      <c r="Y273" s="111"/>
      <c r="Z273" s="111"/>
      <c r="AA273" s="111"/>
      <c r="AB273" s="111"/>
      <c r="AC273" s="111"/>
      <c r="AD273" s="111"/>
      <c r="AE273" s="111">
        <v>30801001</v>
      </c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  <c r="BJ273" s="111"/>
      <c r="BK273" s="111"/>
      <c r="BL273" s="111"/>
      <c r="BM273" s="111"/>
      <c r="BN273" s="111"/>
      <c r="BO273" s="111"/>
      <c r="BP273" s="111"/>
      <c r="BQ273" s="111"/>
      <c r="BR273" s="111"/>
      <c r="BS273" s="111"/>
      <c r="BT273" s="111"/>
      <c r="BU273" s="111"/>
      <c r="BV273" s="111"/>
      <c r="BW273" s="111"/>
      <c r="BX273" s="111"/>
      <c r="BY273" s="113"/>
    </row>
    <row r="274" spans="1:77" s="8" customFormat="1" x14ac:dyDescent="0.15">
      <c r="A274" s="104">
        <v>309001011</v>
      </c>
      <c r="B274" s="123" t="s">
        <v>366</v>
      </c>
      <c r="C274" s="106" t="s">
        <v>129</v>
      </c>
      <c r="D274" s="106"/>
      <c r="E274" s="106" t="s">
        <v>78</v>
      </c>
      <c r="F274" s="106"/>
      <c r="G274" s="106"/>
      <c r="H274" s="106"/>
      <c r="I274" s="106"/>
      <c r="J274" s="108"/>
      <c r="K274" s="108"/>
      <c r="L274" s="108"/>
      <c r="M274" s="108"/>
      <c r="N274" s="108"/>
      <c r="O274" s="106" t="s">
        <v>79</v>
      </c>
      <c r="P274" s="109" t="s">
        <v>80</v>
      </c>
      <c r="Q274" s="109"/>
      <c r="R274" s="109">
        <v>10000</v>
      </c>
      <c r="S274" s="111"/>
      <c r="T274" s="116">
        <v>10000</v>
      </c>
      <c r="U274" s="111"/>
      <c r="V274" s="109" t="s">
        <v>81</v>
      </c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  <c r="BG274" s="111"/>
      <c r="BH274" s="111"/>
      <c r="BI274" s="111"/>
      <c r="BJ274" s="111"/>
      <c r="BK274" s="111"/>
      <c r="BL274" s="111"/>
      <c r="BM274" s="111"/>
      <c r="BN274" s="111"/>
      <c r="BO274" s="111"/>
      <c r="BP274" s="111"/>
      <c r="BQ274" s="111"/>
      <c r="BR274" s="111"/>
      <c r="BS274" s="111"/>
      <c r="BT274" s="111"/>
      <c r="BU274" s="111"/>
      <c r="BV274" s="111"/>
      <c r="BW274" s="111"/>
      <c r="BX274" s="111"/>
      <c r="BY274" s="113"/>
    </row>
    <row r="275" spans="1:77" s="8" customFormat="1" x14ac:dyDescent="0.15">
      <c r="A275" s="104">
        <v>309010011</v>
      </c>
      <c r="B275" s="105" t="s">
        <v>367</v>
      </c>
      <c r="C275" s="106" t="s">
        <v>77</v>
      </c>
      <c r="D275" s="106"/>
      <c r="E275" s="109" t="s">
        <v>78</v>
      </c>
      <c r="F275" s="109"/>
      <c r="G275" s="109"/>
      <c r="H275" s="109"/>
      <c r="I275" s="109"/>
      <c r="J275" s="128"/>
      <c r="K275" s="128"/>
      <c r="L275" s="128"/>
      <c r="M275" s="128"/>
      <c r="N275" s="128"/>
      <c r="O275" s="106" t="s">
        <v>79</v>
      </c>
      <c r="P275" s="109" t="s">
        <v>80</v>
      </c>
      <c r="Q275" s="109"/>
      <c r="R275" s="109">
        <v>10000</v>
      </c>
      <c r="S275" s="111"/>
      <c r="T275" s="116">
        <v>10000</v>
      </c>
      <c r="U275" s="109"/>
      <c r="V275" s="109" t="s">
        <v>81</v>
      </c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 t="s">
        <v>90</v>
      </c>
      <c r="AK275" s="109"/>
      <c r="AL275" s="109"/>
      <c r="AM275" s="109"/>
      <c r="AN275" s="109"/>
      <c r="AO275" s="109"/>
      <c r="AP275" s="109"/>
      <c r="AQ275" s="109"/>
      <c r="AR275" s="109"/>
      <c r="AS275" s="109"/>
      <c r="AT275" s="109"/>
      <c r="AU275" s="109"/>
      <c r="AV275" s="109"/>
      <c r="AW275" s="109"/>
      <c r="AX275" s="109">
        <v>309010101</v>
      </c>
      <c r="AY275" s="109">
        <v>309010201</v>
      </c>
      <c r="AZ275" s="109"/>
      <c r="BA275" s="109"/>
      <c r="BB275" s="109"/>
      <c r="BC275" s="109"/>
      <c r="BD275" s="109"/>
      <c r="BE275" s="109"/>
      <c r="BF275" s="109"/>
      <c r="BG275" s="109"/>
      <c r="BH275" s="109"/>
      <c r="BI275" s="109"/>
      <c r="BJ275" s="109"/>
      <c r="BK275" s="109"/>
      <c r="BL275" s="109"/>
      <c r="BM275" s="109"/>
      <c r="BN275" s="109"/>
      <c r="BO275" s="109"/>
      <c r="BP275" s="109"/>
      <c r="BQ275" s="109"/>
      <c r="BR275" s="109"/>
      <c r="BS275" s="109"/>
      <c r="BT275" s="109"/>
      <c r="BU275" s="109"/>
      <c r="BV275" s="109"/>
      <c r="BW275" s="109"/>
      <c r="BX275" s="109"/>
      <c r="BY275" s="136"/>
    </row>
    <row r="276" spans="1:77" s="8" customFormat="1" x14ac:dyDescent="0.15">
      <c r="A276" s="104">
        <v>309010012</v>
      </c>
      <c r="B276" s="105" t="s">
        <v>368</v>
      </c>
      <c r="C276" s="106" t="s">
        <v>100</v>
      </c>
      <c r="D276" s="106"/>
      <c r="E276" s="109" t="s">
        <v>83</v>
      </c>
      <c r="F276" s="109">
        <v>20000</v>
      </c>
      <c r="G276" s="109"/>
      <c r="H276" s="109"/>
      <c r="I276" s="109"/>
      <c r="J276" s="128"/>
      <c r="K276" s="128"/>
      <c r="L276" s="128"/>
      <c r="M276" s="128" t="s">
        <v>101</v>
      </c>
      <c r="N276" s="128"/>
      <c r="O276" s="106" t="s">
        <v>79</v>
      </c>
      <c r="P276" s="109" t="s">
        <v>80</v>
      </c>
      <c r="Q276" s="109"/>
      <c r="R276" s="109">
        <v>2500</v>
      </c>
      <c r="S276" s="111"/>
      <c r="T276" s="116">
        <v>3000</v>
      </c>
      <c r="U276" s="109"/>
      <c r="V276" s="109" t="s">
        <v>81</v>
      </c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 t="s">
        <v>90</v>
      </c>
      <c r="AK276" s="109"/>
      <c r="AL276" s="109"/>
      <c r="AM276" s="109"/>
      <c r="AN276" s="109"/>
      <c r="AO276" s="109"/>
      <c r="AP276" s="109"/>
      <c r="AQ276" s="109"/>
      <c r="AR276" s="109"/>
      <c r="AS276" s="109"/>
      <c r="AT276" s="109"/>
      <c r="AU276" s="109"/>
      <c r="AV276" s="109"/>
      <c r="AW276" s="109"/>
      <c r="AX276" s="109">
        <v>309010101</v>
      </c>
      <c r="AY276" s="109">
        <v>309010201</v>
      </c>
      <c r="AZ276" s="109"/>
      <c r="BA276" s="109"/>
      <c r="BB276" s="109"/>
      <c r="BC276" s="109"/>
      <c r="BD276" s="109"/>
      <c r="BE276" s="109"/>
      <c r="BF276" s="109"/>
      <c r="BG276" s="109"/>
      <c r="BH276" s="109"/>
      <c r="BI276" s="109"/>
      <c r="BJ276" s="109"/>
      <c r="BK276" s="109"/>
      <c r="BL276" s="109"/>
      <c r="BM276" s="109"/>
      <c r="BN276" s="109"/>
      <c r="BO276" s="109"/>
      <c r="BP276" s="109"/>
      <c r="BQ276" s="109"/>
      <c r="BR276" s="109"/>
      <c r="BS276" s="109"/>
      <c r="BT276" s="109"/>
      <c r="BU276" s="109"/>
      <c r="BV276" s="109"/>
      <c r="BW276" s="109"/>
      <c r="BX276" s="109"/>
      <c r="BY276" s="136"/>
    </row>
    <row r="277" spans="1:77" s="8" customFormat="1" x14ac:dyDescent="0.15">
      <c r="A277" s="104">
        <v>309010013</v>
      </c>
      <c r="B277" s="105" t="s">
        <v>369</v>
      </c>
      <c r="C277" s="106" t="s">
        <v>129</v>
      </c>
      <c r="D277" s="106"/>
      <c r="E277" s="109" t="s">
        <v>78</v>
      </c>
      <c r="F277" s="109"/>
      <c r="G277" s="109"/>
      <c r="H277" s="109"/>
      <c r="I277" s="109"/>
      <c r="J277" s="128"/>
      <c r="K277" s="128"/>
      <c r="L277" s="128"/>
      <c r="M277" s="128"/>
      <c r="N277" s="128"/>
      <c r="O277" s="106" t="s">
        <v>90</v>
      </c>
      <c r="P277" s="109"/>
      <c r="Q277" s="109"/>
      <c r="R277" s="109"/>
      <c r="S277" s="111"/>
      <c r="T277" s="116"/>
      <c r="U277" s="109"/>
      <c r="V277" s="109"/>
      <c r="W277" s="109"/>
      <c r="X277" s="109"/>
      <c r="Y277" s="109"/>
      <c r="Z277" s="109"/>
      <c r="AA277" s="109"/>
      <c r="AB277" s="109"/>
      <c r="AC277" s="109">
        <v>309010301</v>
      </c>
      <c r="AD277" s="109"/>
      <c r="AE277" s="109"/>
      <c r="AF277" s="109"/>
      <c r="AG277" s="109"/>
      <c r="AH277" s="109"/>
      <c r="AI277" s="109"/>
      <c r="AJ277" s="109"/>
      <c r="AK277" s="109"/>
      <c r="AL277" s="109"/>
      <c r="AM277" s="109"/>
      <c r="AN277" s="109"/>
      <c r="AO277" s="109"/>
      <c r="AP277" s="109"/>
      <c r="AQ277" s="109"/>
      <c r="AR277" s="109"/>
      <c r="AS277" s="109"/>
      <c r="AT277" s="109"/>
      <c r="AU277" s="109"/>
      <c r="AV277" s="109"/>
      <c r="AW277" s="109"/>
      <c r="AX277" s="109"/>
      <c r="AY277" s="109"/>
      <c r="AZ277" s="109"/>
      <c r="BA277" s="109"/>
      <c r="BB277" s="109"/>
      <c r="BC277" s="109"/>
      <c r="BD277" s="109"/>
      <c r="BE277" s="109"/>
      <c r="BF277" s="109"/>
      <c r="BG277" s="109"/>
      <c r="BH277" s="109"/>
      <c r="BI277" s="109"/>
      <c r="BJ277" s="109"/>
      <c r="BK277" s="109"/>
      <c r="BL277" s="109"/>
      <c r="BM277" s="109"/>
      <c r="BN277" s="109"/>
      <c r="BO277" s="109"/>
      <c r="BP277" s="109"/>
      <c r="BQ277" s="109"/>
      <c r="BR277" s="109"/>
      <c r="BS277" s="109"/>
      <c r="BT277" s="109"/>
      <c r="BU277" s="109"/>
      <c r="BV277" s="109"/>
      <c r="BW277" s="109"/>
      <c r="BX277" s="109"/>
      <c r="BY277" s="136"/>
    </row>
    <row r="278" spans="1:77" s="8" customFormat="1" x14ac:dyDescent="0.15">
      <c r="A278" s="104">
        <v>310001011</v>
      </c>
      <c r="B278" s="123" t="s">
        <v>370</v>
      </c>
      <c r="C278" s="106" t="s">
        <v>77</v>
      </c>
      <c r="D278" s="106"/>
      <c r="E278" s="109" t="s">
        <v>78</v>
      </c>
      <c r="F278" s="109"/>
      <c r="G278" s="109"/>
      <c r="H278" s="109"/>
      <c r="I278" s="109"/>
      <c r="J278" s="128"/>
      <c r="K278" s="128"/>
      <c r="L278" s="128"/>
      <c r="M278" s="128"/>
      <c r="N278" s="128"/>
      <c r="O278" s="106" t="s">
        <v>79</v>
      </c>
      <c r="P278" s="109" t="s">
        <v>80</v>
      </c>
      <c r="Q278" s="109"/>
      <c r="R278" s="109">
        <v>10000</v>
      </c>
      <c r="S278" s="111"/>
      <c r="T278" s="116">
        <v>10000</v>
      </c>
      <c r="U278" s="109"/>
      <c r="V278" s="109" t="s">
        <v>81</v>
      </c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  <c r="AN278" s="109"/>
      <c r="AO278" s="109"/>
      <c r="AP278" s="109"/>
      <c r="AQ278" s="109"/>
      <c r="AR278" s="109"/>
      <c r="AS278" s="109"/>
      <c r="AT278" s="109"/>
      <c r="AU278" s="109"/>
      <c r="AV278" s="109"/>
      <c r="AW278" s="109"/>
      <c r="AX278" s="109"/>
      <c r="AY278" s="109"/>
      <c r="AZ278" s="109"/>
      <c r="BA278" s="109"/>
      <c r="BB278" s="109"/>
      <c r="BC278" s="109"/>
      <c r="BD278" s="109"/>
      <c r="BE278" s="109"/>
      <c r="BF278" s="109"/>
      <c r="BG278" s="109"/>
      <c r="BH278" s="109"/>
      <c r="BI278" s="109"/>
      <c r="BJ278" s="109"/>
      <c r="BK278" s="109"/>
      <c r="BL278" s="109"/>
      <c r="BM278" s="109"/>
      <c r="BN278" s="109"/>
      <c r="BO278" s="109"/>
      <c r="BP278" s="109"/>
      <c r="BQ278" s="109"/>
      <c r="BR278" s="109"/>
      <c r="BS278" s="109"/>
      <c r="BT278" s="109"/>
      <c r="BU278" s="109"/>
      <c r="BV278" s="109"/>
      <c r="BW278" s="109"/>
      <c r="BX278" s="109"/>
      <c r="BY278" s="136"/>
    </row>
    <row r="279" spans="1:77" s="8" customFormat="1" x14ac:dyDescent="0.15">
      <c r="A279" s="104">
        <v>310001012</v>
      </c>
      <c r="B279" s="123" t="s">
        <v>371</v>
      </c>
      <c r="C279" s="106" t="s">
        <v>77</v>
      </c>
      <c r="D279" s="106"/>
      <c r="E279" s="109" t="s">
        <v>83</v>
      </c>
      <c r="F279" s="109">
        <v>20000</v>
      </c>
      <c r="G279" s="109"/>
      <c r="H279" s="109"/>
      <c r="I279" s="109"/>
      <c r="J279" s="128"/>
      <c r="K279" s="128"/>
      <c r="L279" s="128"/>
      <c r="M279" s="128" t="s">
        <v>101</v>
      </c>
      <c r="N279" s="128"/>
      <c r="O279" s="106" t="s">
        <v>79</v>
      </c>
      <c r="P279" s="104" t="s">
        <v>102</v>
      </c>
      <c r="Q279" s="109">
        <v>175</v>
      </c>
      <c r="R279" s="109"/>
      <c r="S279" s="111"/>
      <c r="T279" s="116"/>
      <c r="U279" s="109">
        <v>5000</v>
      </c>
      <c r="V279" s="109" t="s">
        <v>81</v>
      </c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09"/>
      <c r="AK279" s="109"/>
      <c r="AL279" s="109"/>
      <c r="AM279" s="109"/>
      <c r="AN279" s="109"/>
      <c r="AO279" s="109"/>
      <c r="AP279" s="109"/>
      <c r="AQ279" s="109"/>
      <c r="AR279" s="109"/>
      <c r="AS279" s="109"/>
      <c r="AT279" s="109"/>
      <c r="AU279" s="109"/>
      <c r="AV279" s="109"/>
      <c r="AW279" s="109"/>
      <c r="AX279" s="109"/>
      <c r="AY279" s="109"/>
      <c r="AZ279" s="109"/>
      <c r="BA279" s="109"/>
      <c r="BB279" s="109"/>
      <c r="BC279" s="109"/>
      <c r="BD279" s="109"/>
      <c r="BE279" s="109"/>
      <c r="BF279" s="109"/>
      <c r="BG279" s="109"/>
      <c r="BH279" s="109"/>
      <c r="BI279" s="109"/>
      <c r="BJ279" s="109"/>
      <c r="BK279" s="109"/>
      <c r="BL279" s="109"/>
      <c r="BM279" s="109"/>
      <c r="BN279" s="109"/>
      <c r="BO279" s="109"/>
      <c r="BP279" s="109"/>
      <c r="BQ279" s="109"/>
      <c r="BR279" s="109"/>
      <c r="BS279" s="109"/>
      <c r="BT279" s="109"/>
      <c r="BU279" s="109"/>
      <c r="BV279" s="109"/>
      <c r="BW279" s="109"/>
      <c r="BX279" s="109"/>
      <c r="BY279" s="136"/>
    </row>
    <row r="280" spans="1:77" s="8" customFormat="1" x14ac:dyDescent="0.15">
      <c r="A280" s="104">
        <v>310001013</v>
      </c>
      <c r="B280" s="123" t="s">
        <v>372</v>
      </c>
      <c r="C280" s="106" t="s">
        <v>89</v>
      </c>
      <c r="D280" s="106"/>
      <c r="E280" s="106" t="s">
        <v>78</v>
      </c>
      <c r="F280" s="109"/>
      <c r="G280" s="109"/>
      <c r="H280" s="109"/>
      <c r="I280" s="109"/>
      <c r="J280" s="128"/>
      <c r="K280" s="128"/>
      <c r="L280" s="128"/>
      <c r="M280" s="128"/>
      <c r="N280" s="128"/>
      <c r="O280" s="106" t="s">
        <v>90</v>
      </c>
      <c r="P280" s="104"/>
      <c r="Q280" s="109"/>
      <c r="R280" s="109"/>
      <c r="S280" s="111"/>
      <c r="T280" s="116"/>
      <c r="U280" s="109"/>
      <c r="V280" s="109"/>
      <c r="W280" s="109"/>
      <c r="X280" s="109"/>
      <c r="Y280" s="109"/>
      <c r="Z280" s="109"/>
      <c r="AA280" s="109"/>
      <c r="AB280" s="109"/>
      <c r="AC280" s="109">
        <v>310001101</v>
      </c>
      <c r="AD280" s="109"/>
      <c r="AE280" s="109"/>
      <c r="AF280" s="109"/>
      <c r="AG280" s="109"/>
      <c r="AH280" s="109"/>
      <c r="AI280" s="109"/>
      <c r="AJ280" s="109"/>
      <c r="AK280" s="109"/>
      <c r="AL280" s="109"/>
      <c r="AM280" s="109"/>
      <c r="AN280" s="109"/>
      <c r="AO280" s="109"/>
      <c r="AP280" s="109"/>
      <c r="AQ280" s="109"/>
      <c r="AR280" s="109"/>
      <c r="AS280" s="109"/>
      <c r="AT280" s="109"/>
      <c r="AU280" s="109"/>
      <c r="AV280" s="109"/>
      <c r="AW280" s="109"/>
      <c r="AX280" s="109"/>
      <c r="AY280" s="109"/>
      <c r="AZ280" s="109"/>
      <c r="BA280" s="109"/>
      <c r="BB280" s="109"/>
      <c r="BC280" s="109"/>
      <c r="BD280" s="109"/>
      <c r="BE280" s="109"/>
      <c r="BF280" s="109"/>
      <c r="BG280" s="109"/>
      <c r="BH280" s="109"/>
      <c r="BI280" s="109"/>
      <c r="BJ280" s="109"/>
      <c r="BK280" s="109"/>
      <c r="BL280" s="109"/>
      <c r="BM280" s="109"/>
      <c r="BN280" s="109"/>
      <c r="BO280" s="109"/>
      <c r="BP280" s="109"/>
      <c r="BQ280" s="109"/>
      <c r="BR280" s="109"/>
      <c r="BS280" s="109"/>
      <c r="BT280" s="109"/>
      <c r="BU280" s="109"/>
      <c r="BV280" s="109"/>
      <c r="BW280" s="109"/>
      <c r="BX280" s="109"/>
      <c r="BY280" s="136"/>
    </row>
    <row r="281" spans="1:77" s="8" customFormat="1" x14ac:dyDescent="0.15">
      <c r="A281" s="104">
        <v>310020011</v>
      </c>
      <c r="B281" s="127" t="s">
        <v>373</v>
      </c>
      <c r="C281" s="106" t="s">
        <v>100</v>
      </c>
      <c r="D281" s="106"/>
      <c r="E281" s="106" t="s">
        <v>78</v>
      </c>
      <c r="F281" s="106"/>
      <c r="G281" s="106"/>
      <c r="H281" s="106"/>
      <c r="I281" s="106"/>
      <c r="J281" s="108"/>
      <c r="K281" s="108"/>
      <c r="L281" s="108"/>
      <c r="M281" s="108"/>
      <c r="N281" s="108"/>
      <c r="O281" s="106" t="s">
        <v>79</v>
      </c>
      <c r="P281" s="109" t="s">
        <v>80</v>
      </c>
      <c r="Q281" s="109"/>
      <c r="R281" s="109"/>
      <c r="S281" s="111"/>
      <c r="T281" s="109"/>
      <c r="U281" s="111"/>
      <c r="V281" s="109"/>
      <c r="W281" s="111" t="s">
        <v>374</v>
      </c>
      <c r="X281" s="111" t="s">
        <v>325</v>
      </c>
      <c r="Y281" s="111" t="s">
        <v>170</v>
      </c>
      <c r="Z281" s="111" t="s">
        <v>308</v>
      </c>
      <c r="AA281" s="111">
        <v>400</v>
      </c>
      <c r="AB281" s="111">
        <v>100</v>
      </c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11"/>
      <c r="BN281" s="111"/>
      <c r="BO281" s="111"/>
      <c r="BP281" s="111"/>
      <c r="BQ281" s="111"/>
      <c r="BR281" s="111"/>
      <c r="BS281" s="111"/>
      <c r="BT281" s="111"/>
      <c r="BU281" s="111"/>
      <c r="BV281" s="111"/>
      <c r="BW281" s="111"/>
      <c r="BX281" s="111"/>
      <c r="BY281" s="113"/>
    </row>
    <row r="282" spans="1:77" s="8" customFormat="1" x14ac:dyDescent="0.15">
      <c r="A282" s="104">
        <v>310040011</v>
      </c>
      <c r="B282" s="127" t="s">
        <v>375</v>
      </c>
      <c r="C282" s="106" t="s">
        <v>263</v>
      </c>
      <c r="D282" s="106"/>
      <c r="E282" s="106" t="s">
        <v>83</v>
      </c>
      <c r="F282" s="106">
        <v>70000</v>
      </c>
      <c r="G282" s="106"/>
      <c r="H282" s="106"/>
      <c r="I282" s="106"/>
      <c r="J282" s="108"/>
      <c r="K282" s="108"/>
      <c r="L282" s="108"/>
      <c r="M282" s="108" t="s">
        <v>101</v>
      </c>
      <c r="N282" s="108"/>
      <c r="O282" s="106" t="s">
        <v>355</v>
      </c>
      <c r="P282" s="109"/>
      <c r="Q282" s="109"/>
      <c r="R282" s="109"/>
      <c r="S282" s="111"/>
      <c r="T282" s="109"/>
      <c r="U282" s="111"/>
      <c r="V282" s="109"/>
      <c r="W282" s="111"/>
      <c r="X282" s="111"/>
      <c r="Y282" s="111"/>
      <c r="Z282" s="111"/>
      <c r="AA282" s="111"/>
      <c r="AB282" s="111"/>
      <c r="AC282" s="111"/>
      <c r="AD282" s="111"/>
      <c r="AE282" s="111">
        <v>150</v>
      </c>
      <c r="AF282" s="111">
        <v>150</v>
      </c>
      <c r="AG282" s="111" t="s">
        <v>171</v>
      </c>
      <c r="AH282" s="111">
        <v>1080</v>
      </c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11"/>
      <c r="BN282" s="111"/>
      <c r="BO282" s="111"/>
      <c r="BP282" s="111"/>
      <c r="BQ282" s="111"/>
      <c r="BR282" s="111"/>
      <c r="BS282" s="111"/>
      <c r="BT282" s="111"/>
      <c r="BU282" s="111"/>
      <c r="BV282" s="111"/>
      <c r="BW282" s="111"/>
      <c r="BX282" s="111"/>
      <c r="BY282" s="113"/>
    </row>
    <row r="283" spans="1:77" s="8" customFormat="1" x14ac:dyDescent="0.15">
      <c r="A283" s="104">
        <v>310040012</v>
      </c>
      <c r="B283" s="127" t="s">
        <v>376</v>
      </c>
      <c r="C283" s="106" t="s">
        <v>89</v>
      </c>
      <c r="D283" s="106"/>
      <c r="E283" s="106" t="s">
        <v>78</v>
      </c>
      <c r="F283" s="106"/>
      <c r="G283" s="106"/>
      <c r="H283" s="106"/>
      <c r="I283" s="106"/>
      <c r="J283" s="108"/>
      <c r="K283" s="108"/>
      <c r="L283" s="108"/>
      <c r="M283" s="108"/>
      <c r="N283" s="108"/>
      <c r="O283" s="106" t="s">
        <v>306</v>
      </c>
      <c r="P283" s="109"/>
      <c r="Q283" s="109"/>
      <c r="R283" s="109"/>
      <c r="S283" s="111"/>
      <c r="T283" s="109"/>
      <c r="U283" s="111"/>
      <c r="V283" s="109"/>
      <c r="W283" s="111" t="s">
        <v>377</v>
      </c>
      <c r="X283" s="111" t="s">
        <v>171</v>
      </c>
      <c r="Y283" s="111">
        <v>200</v>
      </c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11"/>
      <c r="BN283" s="111"/>
      <c r="BO283" s="111"/>
      <c r="BP283" s="111"/>
      <c r="BQ283" s="111"/>
      <c r="BR283" s="111"/>
      <c r="BS283" s="111"/>
      <c r="BT283" s="111"/>
      <c r="BU283" s="111"/>
      <c r="BV283" s="111"/>
      <c r="BW283" s="111"/>
      <c r="BX283" s="111"/>
      <c r="BY283" s="113"/>
    </row>
    <row r="284" spans="1:77" s="8" customFormat="1" x14ac:dyDescent="0.15">
      <c r="A284" s="104">
        <v>312001011</v>
      </c>
      <c r="B284" s="107" t="s">
        <v>378</v>
      </c>
      <c r="C284" s="106" t="s">
        <v>77</v>
      </c>
      <c r="D284" s="106"/>
      <c r="E284" s="106" t="s">
        <v>78</v>
      </c>
      <c r="F284" s="106"/>
      <c r="G284" s="106"/>
      <c r="H284" s="106"/>
      <c r="I284" s="106"/>
      <c r="J284" s="108"/>
      <c r="K284" s="108"/>
      <c r="L284" s="108"/>
      <c r="M284" s="108"/>
      <c r="N284" s="108"/>
      <c r="O284" s="106" t="s">
        <v>79</v>
      </c>
      <c r="P284" s="109" t="s">
        <v>80</v>
      </c>
      <c r="Q284" s="109"/>
      <c r="R284" s="109">
        <v>10000</v>
      </c>
      <c r="S284" s="111"/>
      <c r="T284" s="116"/>
      <c r="U284" s="111"/>
      <c r="V284" s="109" t="s">
        <v>81</v>
      </c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 t="s">
        <v>90</v>
      </c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>
        <v>112001201</v>
      </c>
      <c r="AY284" s="111">
        <v>112001101</v>
      </c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11"/>
      <c r="BN284" s="111"/>
      <c r="BO284" s="111"/>
      <c r="BP284" s="111"/>
      <c r="BQ284" s="111"/>
      <c r="BR284" s="111"/>
      <c r="BS284" s="111"/>
      <c r="BT284" s="111"/>
      <c r="BU284" s="111"/>
      <c r="BV284" s="111"/>
      <c r="BW284" s="111"/>
      <c r="BX284" s="111"/>
      <c r="BY284" s="113"/>
    </row>
    <row r="285" spans="1:77" s="8" customFormat="1" x14ac:dyDescent="0.15">
      <c r="A285" s="104">
        <v>312001012</v>
      </c>
      <c r="B285" s="107" t="s">
        <v>379</v>
      </c>
      <c r="C285" s="106" t="s">
        <v>77</v>
      </c>
      <c r="D285" s="106"/>
      <c r="E285" s="106" t="s">
        <v>83</v>
      </c>
      <c r="F285" s="106">
        <v>30000</v>
      </c>
      <c r="G285" s="106"/>
      <c r="H285" s="106"/>
      <c r="I285" s="106"/>
      <c r="J285" s="108"/>
      <c r="K285" s="108"/>
      <c r="L285" s="108"/>
      <c r="M285" s="108" t="s">
        <v>101</v>
      </c>
      <c r="N285" s="108"/>
      <c r="O285" s="106" t="s">
        <v>79</v>
      </c>
      <c r="P285" s="109" t="s">
        <v>80</v>
      </c>
      <c r="Q285" s="109"/>
      <c r="R285" s="109">
        <v>3000</v>
      </c>
      <c r="S285" s="111"/>
      <c r="T285" s="116"/>
      <c r="U285" s="111"/>
      <c r="V285" s="109" t="s">
        <v>81</v>
      </c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 t="s">
        <v>90</v>
      </c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>
        <v>112001201</v>
      </c>
      <c r="AY285" s="111">
        <v>112001101</v>
      </c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  <c r="BN285" s="111"/>
      <c r="BO285" s="111"/>
      <c r="BP285" s="111"/>
      <c r="BQ285" s="111"/>
      <c r="BR285" s="111"/>
      <c r="BS285" s="111"/>
      <c r="BT285" s="111"/>
      <c r="BU285" s="111"/>
      <c r="BV285" s="111"/>
      <c r="BW285" s="111"/>
      <c r="BX285" s="111"/>
      <c r="BY285" s="113"/>
    </row>
    <row r="286" spans="1:77" s="8" customFormat="1" x14ac:dyDescent="0.15">
      <c r="A286" s="114">
        <v>315001011</v>
      </c>
      <c r="B286" s="107" t="s">
        <v>380</v>
      </c>
      <c r="C286" s="106" t="s">
        <v>77</v>
      </c>
      <c r="D286" s="106"/>
      <c r="E286" s="106" t="s">
        <v>78</v>
      </c>
      <c r="F286" s="106"/>
      <c r="G286" s="106"/>
      <c r="H286" s="106"/>
      <c r="I286" s="106"/>
      <c r="J286" s="108"/>
      <c r="K286" s="108"/>
      <c r="L286" s="108"/>
      <c r="M286" s="108"/>
      <c r="N286" s="108"/>
      <c r="O286" s="106" t="s">
        <v>79</v>
      </c>
      <c r="P286" s="109" t="s">
        <v>80</v>
      </c>
      <c r="Q286" s="109"/>
      <c r="R286" s="109">
        <v>10000</v>
      </c>
      <c r="S286" s="111"/>
      <c r="T286" s="116"/>
      <c r="U286" s="111"/>
      <c r="V286" s="109" t="s">
        <v>81</v>
      </c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11"/>
      <c r="BN286" s="111"/>
      <c r="BO286" s="111"/>
      <c r="BP286" s="111"/>
      <c r="BQ286" s="111"/>
      <c r="BR286" s="111"/>
      <c r="BS286" s="111"/>
      <c r="BT286" s="111"/>
      <c r="BU286" s="111"/>
      <c r="BV286" s="111"/>
      <c r="BW286" s="111"/>
      <c r="BX286" s="111"/>
      <c r="BY286" s="113"/>
    </row>
    <row r="287" spans="1:77" s="8" customFormat="1" x14ac:dyDescent="0.15">
      <c r="A287" s="104">
        <v>319300011</v>
      </c>
      <c r="B287" s="115" t="s">
        <v>381</v>
      </c>
      <c r="C287" s="106" t="s">
        <v>89</v>
      </c>
      <c r="D287" s="106"/>
      <c r="E287" s="109" t="s">
        <v>83</v>
      </c>
      <c r="F287" s="109">
        <v>20000</v>
      </c>
      <c r="G287" s="109"/>
      <c r="H287" s="109"/>
      <c r="I287" s="109"/>
      <c r="J287" s="128"/>
      <c r="K287" s="128"/>
      <c r="L287" s="128"/>
      <c r="M287" s="128"/>
      <c r="N287" s="128"/>
      <c r="O287" s="106" t="s">
        <v>98</v>
      </c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>
        <v>12030001</v>
      </c>
      <c r="AF287" s="109"/>
      <c r="AG287" s="109"/>
      <c r="AH287" s="109"/>
      <c r="AI287" s="109"/>
      <c r="AJ287" s="109"/>
      <c r="AK287" s="109"/>
      <c r="AL287" s="109"/>
      <c r="AM287" s="109"/>
      <c r="AN287" s="109"/>
      <c r="AO287" s="109"/>
      <c r="AP287" s="109"/>
      <c r="AQ287" s="109"/>
      <c r="AR287" s="109"/>
      <c r="AS287" s="109"/>
      <c r="AT287" s="109"/>
      <c r="AU287" s="109"/>
      <c r="AV287" s="109"/>
      <c r="AW287" s="109"/>
      <c r="AX287" s="109"/>
      <c r="AY287" s="109"/>
      <c r="AZ287" s="109"/>
      <c r="BA287" s="109"/>
      <c r="BB287" s="109"/>
      <c r="BC287" s="109"/>
      <c r="BD287" s="109"/>
      <c r="BE287" s="109"/>
      <c r="BF287" s="109"/>
      <c r="BG287" s="109"/>
      <c r="BH287" s="109"/>
      <c r="BI287" s="109"/>
      <c r="BJ287" s="109"/>
      <c r="BK287" s="109"/>
      <c r="BL287" s="109"/>
      <c r="BM287" s="109"/>
      <c r="BN287" s="109"/>
      <c r="BO287" s="109"/>
      <c r="BP287" s="109"/>
      <c r="BQ287" s="109"/>
      <c r="BR287" s="109"/>
      <c r="BS287" s="109"/>
      <c r="BT287" s="109"/>
      <c r="BU287" s="109"/>
      <c r="BV287" s="109"/>
      <c r="BW287" s="109"/>
      <c r="BX287" s="109"/>
      <c r="BY287" s="136"/>
    </row>
    <row r="288" spans="1:77" s="8" customFormat="1" x14ac:dyDescent="0.15">
      <c r="A288" s="104">
        <v>319300012</v>
      </c>
      <c r="B288" s="115" t="s">
        <v>290</v>
      </c>
      <c r="C288" s="106" t="s">
        <v>89</v>
      </c>
      <c r="D288" s="106"/>
      <c r="E288" s="109" t="s">
        <v>78</v>
      </c>
      <c r="F288" s="109"/>
      <c r="G288" s="109"/>
      <c r="H288" s="109"/>
      <c r="I288" s="109"/>
      <c r="J288" s="128"/>
      <c r="K288" s="128"/>
      <c r="L288" s="128"/>
      <c r="M288" s="128"/>
      <c r="N288" s="128"/>
      <c r="O288" s="106" t="s">
        <v>90</v>
      </c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>
        <v>120300101</v>
      </c>
      <c r="AD288" s="109">
        <v>120300101</v>
      </c>
      <c r="AE288" s="109"/>
      <c r="AF288" s="109"/>
      <c r="AG288" s="109"/>
      <c r="AH288" s="109"/>
      <c r="AI288" s="109"/>
      <c r="AJ288" s="109"/>
      <c r="AK288" s="109"/>
      <c r="AL288" s="109"/>
      <c r="AM288" s="109"/>
      <c r="AN288" s="109"/>
      <c r="AO288" s="109"/>
      <c r="AP288" s="109"/>
      <c r="AQ288" s="109"/>
      <c r="AR288" s="109"/>
      <c r="AS288" s="109"/>
      <c r="AT288" s="109"/>
      <c r="AU288" s="109"/>
      <c r="AV288" s="109"/>
      <c r="AW288" s="109"/>
      <c r="AX288" s="109"/>
      <c r="AY288" s="109"/>
      <c r="AZ288" s="109"/>
      <c r="BA288" s="109"/>
      <c r="BB288" s="109"/>
      <c r="BC288" s="109"/>
      <c r="BD288" s="109"/>
      <c r="BE288" s="109"/>
      <c r="BF288" s="109"/>
      <c r="BG288" s="109"/>
      <c r="BH288" s="109"/>
      <c r="BI288" s="109"/>
      <c r="BJ288" s="109"/>
      <c r="BK288" s="109"/>
      <c r="BL288" s="109"/>
      <c r="BM288" s="109"/>
      <c r="BN288" s="109"/>
      <c r="BO288" s="109"/>
      <c r="BP288" s="109"/>
      <c r="BQ288" s="109"/>
      <c r="BR288" s="109"/>
      <c r="BS288" s="109"/>
      <c r="BT288" s="109"/>
      <c r="BU288" s="109"/>
      <c r="BV288" s="109"/>
      <c r="BW288" s="109"/>
      <c r="BX288" s="109"/>
      <c r="BY288" s="136"/>
    </row>
    <row r="289" spans="1:77" s="8" customFormat="1" x14ac:dyDescent="0.15">
      <c r="A289" s="104">
        <v>326001011</v>
      </c>
      <c r="B289" s="127" t="s">
        <v>210</v>
      </c>
      <c r="C289" s="106" t="s">
        <v>77</v>
      </c>
      <c r="D289" s="106"/>
      <c r="E289" s="106" t="s">
        <v>78</v>
      </c>
      <c r="F289" s="106"/>
      <c r="G289" s="106"/>
      <c r="H289" s="106"/>
      <c r="I289" s="106"/>
      <c r="J289" s="108"/>
      <c r="K289" s="108"/>
      <c r="L289" s="108"/>
      <c r="M289" s="108"/>
      <c r="N289" s="108"/>
      <c r="O289" s="106" t="s">
        <v>79</v>
      </c>
      <c r="P289" s="109" t="s">
        <v>80</v>
      </c>
      <c r="Q289" s="109"/>
      <c r="R289" s="109">
        <v>10000</v>
      </c>
      <c r="S289" s="111"/>
      <c r="T289" s="109">
        <v>10000</v>
      </c>
      <c r="U289" s="111"/>
      <c r="V289" s="109" t="s">
        <v>81</v>
      </c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  <c r="BG289" s="111"/>
      <c r="BH289" s="111"/>
      <c r="BI289" s="111"/>
      <c r="BJ289" s="111"/>
      <c r="BK289" s="111"/>
      <c r="BL289" s="111"/>
      <c r="BM289" s="111"/>
      <c r="BN289" s="111"/>
      <c r="BO289" s="111"/>
      <c r="BP289" s="111"/>
      <c r="BQ289" s="111"/>
      <c r="BR289" s="111"/>
      <c r="BS289" s="111"/>
      <c r="BT289" s="111"/>
      <c r="BU289" s="111"/>
      <c r="BV289" s="111"/>
      <c r="BW289" s="111"/>
      <c r="BX289" s="111"/>
      <c r="BY289" s="113"/>
    </row>
    <row r="290" spans="1:77" s="8" customFormat="1" x14ac:dyDescent="0.15">
      <c r="A290" s="104">
        <v>327001011</v>
      </c>
      <c r="B290" s="127" t="s">
        <v>216</v>
      </c>
      <c r="C290" s="106" t="s">
        <v>77</v>
      </c>
      <c r="D290" s="106"/>
      <c r="E290" s="106" t="s">
        <v>78</v>
      </c>
      <c r="F290" s="106"/>
      <c r="G290" s="106"/>
      <c r="H290" s="106"/>
      <c r="I290" s="106"/>
      <c r="J290" s="108"/>
      <c r="K290" s="108"/>
      <c r="L290" s="108"/>
      <c r="M290" s="108"/>
      <c r="N290" s="108"/>
      <c r="O290" s="106" t="s">
        <v>79</v>
      </c>
      <c r="P290" s="109" t="s">
        <v>80</v>
      </c>
      <c r="Q290" s="109"/>
      <c r="R290" s="109">
        <v>10000</v>
      </c>
      <c r="S290" s="111"/>
      <c r="T290" s="109">
        <v>10000</v>
      </c>
      <c r="U290" s="111"/>
      <c r="V290" s="109" t="s">
        <v>81</v>
      </c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/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3"/>
    </row>
    <row r="291" spans="1:77" s="8" customFormat="1" x14ac:dyDescent="0.15">
      <c r="A291" s="104">
        <v>328200011</v>
      </c>
      <c r="B291" s="127" t="s">
        <v>382</v>
      </c>
      <c r="C291" s="106" t="s">
        <v>112</v>
      </c>
      <c r="D291" s="106"/>
      <c r="E291" s="106" t="s">
        <v>78</v>
      </c>
      <c r="F291" s="106"/>
      <c r="G291" s="106"/>
      <c r="H291" s="106"/>
      <c r="I291" s="106"/>
      <c r="J291" s="108"/>
      <c r="K291" s="108"/>
      <c r="L291" s="108"/>
      <c r="M291" s="108"/>
      <c r="N291" s="108"/>
      <c r="O291" s="106" t="s">
        <v>98</v>
      </c>
      <c r="P291" s="109"/>
      <c r="Q291" s="109"/>
      <c r="R291" s="109"/>
      <c r="S291" s="111"/>
      <c r="T291" s="109"/>
      <c r="U291" s="111"/>
      <c r="V291" s="109"/>
      <c r="W291" s="111"/>
      <c r="X291" s="111"/>
      <c r="Y291" s="111"/>
      <c r="Z291" s="111"/>
      <c r="AA291" s="111"/>
      <c r="AB291" s="111"/>
      <c r="AC291" s="111"/>
      <c r="AD291" s="111"/>
      <c r="AE291" s="111">
        <v>30402001</v>
      </c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/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3"/>
    </row>
    <row r="292" spans="1:77" s="13" customFormat="1" x14ac:dyDescent="0.15">
      <c r="A292" s="117">
        <v>401001011</v>
      </c>
      <c r="B292" s="142" t="s">
        <v>383</v>
      </c>
      <c r="C292" s="119" t="s">
        <v>77</v>
      </c>
      <c r="D292" s="119"/>
      <c r="E292" s="119" t="s">
        <v>78</v>
      </c>
      <c r="F292" s="119"/>
      <c r="G292" s="119"/>
      <c r="H292" s="119"/>
      <c r="I292" s="119"/>
      <c r="J292" s="129"/>
      <c r="K292" s="129"/>
      <c r="L292" s="129"/>
      <c r="M292" s="129"/>
      <c r="N292" s="129"/>
      <c r="O292" s="119" t="s">
        <v>79</v>
      </c>
      <c r="P292" s="130" t="s">
        <v>80</v>
      </c>
      <c r="Q292" s="130"/>
      <c r="R292" s="130">
        <v>10000</v>
      </c>
      <c r="S292" s="117"/>
      <c r="T292" s="130">
        <v>10000</v>
      </c>
      <c r="U292" s="117"/>
      <c r="V292" s="130" t="s">
        <v>81</v>
      </c>
      <c r="W292" s="117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7"/>
      <c r="AH292" s="117"/>
      <c r="AI292" s="117"/>
      <c r="AJ292" s="117"/>
      <c r="AK292" s="117"/>
      <c r="AL292" s="117"/>
      <c r="AM292" s="117"/>
      <c r="AN292" s="117"/>
      <c r="AO292" s="117"/>
      <c r="AP292" s="117"/>
      <c r="AQ292" s="117"/>
      <c r="AR292" s="117"/>
      <c r="AS292" s="117"/>
      <c r="AT292" s="117"/>
      <c r="AU292" s="117"/>
      <c r="AV292" s="117"/>
      <c r="AW292" s="117"/>
      <c r="AX292" s="117"/>
      <c r="AY292" s="117"/>
      <c r="AZ292" s="117"/>
      <c r="BA292" s="117"/>
      <c r="BB292" s="117"/>
      <c r="BC292" s="117"/>
      <c r="BD292" s="117"/>
      <c r="BE292" s="117"/>
      <c r="BF292" s="117"/>
      <c r="BG292" s="117"/>
      <c r="BH292" s="117"/>
      <c r="BI292" s="117"/>
      <c r="BJ292" s="117"/>
      <c r="BK292" s="117"/>
      <c r="BL292" s="117"/>
      <c r="BM292" s="117"/>
      <c r="BN292" s="117"/>
      <c r="BO292" s="117"/>
      <c r="BP292" s="117"/>
      <c r="BQ292" s="117"/>
      <c r="BR292" s="117"/>
      <c r="BS292" s="117"/>
      <c r="BT292" s="117"/>
      <c r="BU292" s="117"/>
      <c r="BV292" s="117"/>
      <c r="BW292" s="117"/>
      <c r="BX292" s="117"/>
      <c r="BY292" s="138"/>
    </row>
    <row r="293" spans="1:77" s="8" customFormat="1" x14ac:dyDescent="0.15">
      <c r="A293" s="104">
        <v>401010011</v>
      </c>
      <c r="B293" s="127" t="s">
        <v>384</v>
      </c>
      <c r="C293" s="106" t="s">
        <v>89</v>
      </c>
      <c r="D293" s="106"/>
      <c r="E293" s="106" t="s">
        <v>78</v>
      </c>
      <c r="F293" s="106"/>
      <c r="G293" s="106"/>
      <c r="H293" s="106"/>
      <c r="I293" s="106"/>
      <c r="J293" s="108"/>
      <c r="K293" s="108"/>
      <c r="L293" s="108"/>
      <c r="M293" s="108"/>
      <c r="N293" s="108"/>
      <c r="O293" s="106" t="s">
        <v>90</v>
      </c>
      <c r="P293" s="109"/>
      <c r="Q293" s="109"/>
      <c r="R293" s="109"/>
      <c r="S293" s="111"/>
      <c r="T293" s="109"/>
      <c r="U293" s="111"/>
      <c r="V293" s="109"/>
      <c r="W293" s="111"/>
      <c r="X293" s="111"/>
      <c r="Y293" s="111"/>
      <c r="Z293" s="111"/>
      <c r="AA293" s="111"/>
      <c r="AB293" s="111"/>
      <c r="AC293" s="111">
        <v>401010101</v>
      </c>
      <c r="AD293" s="111">
        <v>401010101</v>
      </c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/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3"/>
    </row>
    <row r="294" spans="1:77" s="8" customFormat="1" x14ac:dyDescent="0.15">
      <c r="A294" s="104">
        <v>401020011</v>
      </c>
      <c r="B294" s="127" t="s">
        <v>385</v>
      </c>
      <c r="C294" s="106" t="s">
        <v>89</v>
      </c>
      <c r="D294" s="106"/>
      <c r="E294" s="106" t="s">
        <v>78</v>
      </c>
      <c r="F294" s="106"/>
      <c r="G294" s="106"/>
      <c r="H294" s="106"/>
      <c r="I294" s="106"/>
      <c r="J294" s="108"/>
      <c r="K294" s="108"/>
      <c r="L294" s="108"/>
      <c r="M294" s="108"/>
      <c r="N294" s="108"/>
      <c r="O294" s="106" t="s">
        <v>90</v>
      </c>
      <c r="P294" s="109"/>
      <c r="Q294" s="109"/>
      <c r="R294" s="109"/>
      <c r="S294" s="111"/>
      <c r="T294" s="109"/>
      <c r="U294" s="111"/>
      <c r="V294" s="109"/>
      <c r="W294" s="111"/>
      <c r="X294" s="111"/>
      <c r="Y294" s="111"/>
      <c r="Z294" s="111"/>
      <c r="AA294" s="111"/>
      <c r="AB294" s="111"/>
      <c r="AC294" s="104">
        <v>401020101</v>
      </c>
      <c r="AD294" s="104">
        <v>401020101</v>
      </c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B294" s="111"/>
      <c r="BC294" s="111"/>
      <c r="BD294" s="111"/>
      <c r="BE294" s="111"/>
      <c r="BF294" s="111"/>
      <c r="BG294" s="111"/>
      <c r="BH294" s="111"/>
      <c r="BI294" s="111"/>
      <c r="BJ294" s="111"/>
      <c r="BK294" s="111"/>
      <c r="BL294" s="111"/>
      <c r="BM294" s="111"/>
      <c r="BN294" s="111"/>
      <c r="BO294" s="111"/>
      <c r="BP294" s="111"/>
      <c r="BQ294" s="111"/>
      <c r="BR294" s="111"/>
      <c r="BS294" s="111"/>
      <c r="BT294" s="111"/>
      <c r="BU294" s="111"/>
      <c r="BV294" s="111"/>
      <c r="BW294" s="111"/>
      <c r="BX294" s="111"/>
      <c r="BY294" s="113"/>
    </row>
    <row r="295" spans="1:77" s="8" customFormat="1" x14ac:dyDescent="0.15">
      <c r="A295" s="104">
        <v>401200011</v>
      </c>
      <c r="B295" s="127" t="s">
        <v>386</v>
      </c>
      <c r="C295" s="106" t="s">
        <v>89</v>
      </c>
      <c r="D295" s="106"/>
      <c r="E295" s="106" t="s">
        <v>78</v>
      </c>
      <c r="F295" s="106"/>
      <c r="G295" s="106"/>
      <c r="H295" s="106"/>
      <c r="I295" s="106"/>
      <c r="J295" s="108"/>
      <c r="K295" s="108"/>
      <c r="L295" s="108"/>
      <c r="M295" s="108"/>
      <c r="N295" s="108"/>
      <c r="O295" s="106" t="s">
        <v>90</v>
      </c>
      <c r="P295" s="109"/>
      <c r="Q295" s="109"/>
      <c r="R295" s="109"/>
      <c r="S295" s="111"/>
      <c r="T295" s="109"/>
      <c r="U295" s="111"/>
      <c r="V295" s="109"/>
      <c r="W295" s="111"/>
      <c r="X295" s="111"/>
      <c r="Y295" s="111"/>
      <c r="Z295" s="111"/>
      <c r="AA295" s="111"/>
      <c r="AB295" s="111"/>
      <c r="AC295" s="104">
        <v>401200201</v>
      </c>
      <c r="AD295" s="104">
        <v>401200101</v>
      </c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  <c r="BJ295" s="111"/>
      <c r="BK295" s="111"/>
      <c r="BL295" s="111"/>
      <c r="BM295" s="111"/>
      <c r="BN295" s="111"/>
      <c r="BO295" s="111"/>
      <c r="BP295" s="111"/>
      <c r="BQ295" s="111"/>
      <c r="BR295" s="111"/>
      <c r="BS295" s="111"/>
      <c r="BT295" s="111"/>
      <c r="BU295" s="111"/>
      <c r="BV295" s="111"/>
      <c r="BW295" s="111"/>
      <c r="BX295" s="111"/>
      <c r="BY295" s="113"/>
    </row>
    <row r="296" spans="1:77" s="8" customFormat="1" x14ac:dyDescent="0.15">
      <c r="A296" s="104">
        <v>402001011</v>
      </c>
      <c r="B296" s="127" t="s">
        <v>387</v>
      </c>
      <c r="C296" s="106" t="s">
        <v>77</v>
      </c>
      <c r="D296" s="106"/>
      <c r="E296" s="106" t="s">
        <v>78</v>
      </c>
      <c r="F296" s="106"/>
      <c r="G296" s="106"/>
      <c r="H296" s="106"/>
      <c r="I296" s="106"/>
      <c r="J296" s="108"/>
      <c r="K296" s="108"/>
      <c r="L296" s="108"/>
      <c r="M296" s="108"/>
      <c r="N296" s="108"/>
      <c r="O296" s="106" t="s">
        <v>79</v>
      </c>
      <c r="P296" s="109" t="s">
        <v>80</v>
      </c>
      <c r="Q296" s="109"/>
      <c r="R296" s="109">
        <v>10000</v>
      </c>
      <c r="S296" s="111"/>
      <c r="T296" s="109">
        <v>10000</v>
      </c>
      <c r="U296" s="111"/>
      <c r="V296" s="109" t="s">
        <v>81</v>
      </c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B296" s="111"/>
      <c r="BC296" s="111"/>
      <c r="BD296" s="111"/>
      <c r="BE296" s="111"/>
      <c r="BF296" s="111"/>
      <c r="BG296" s="111"/>
      <c r="BH296" s="111"/>
      <c r="BI296" s="111"/>
      <c r="BJ296" s="111"/>
      <c r="BK296" s="111"/>
      <c r="BL296" s="111"/>
      <c r="BM296" s="111"/>
      <c r="BN296" s="111"/>
      <c r="BO296" s="111"/>
      <c r="BP296" s="111"/>
      <c r="BQ296" s="111"/>
      <c r="BR296" s="111"/>
      <c r="BS296" s="111"/>
      <c r="BT296" s="111"/>
      <c r="BU296" s="111"/>
      <c r="BV296" s="111"/>
      <c r="BW296" s="111"/>
      <c r="BX296" s="111"/>
      <c r="BY296" s="113"/>
    </row>
    <row r="297" spans="1:77" s="8" customFormat="1" x14ac:dyDescent="0.15">
      <c r="A297" s="104">
        <v>402002011</v>
      </c>
      <c r="B297" s="127" t="s">
        <v>388</v>
      </c>
      <c r="C297" s="106" t="s">
        <v>77</v>
      </c>
      <c r="D297" s="106"/>
      <c r="E297" s="109" t="s">
        <v>83</v>
      </c>
      <c r="F297" s="106">
        <v>150000</v>
      </c>
      <c r="G297" s="106"/>
      <c r="H297" s="106"/>
      <c r="I297" s="106"/>
      <c r="J297" s="108" t="s">
        <v>101</v>
      </c>
      <c r="K297" s="108" t="s">
        <v>389</v>
      </c>
      <c r="L297" s="108">
        <v>1</v>
      </c>
      <c r="M297" s="108"/>
      <c r="N297" s="108"/>
      <c r="O297" s="106" t="s">
        <v>79</v>
      </c>
      <c r="P297" s="109" t="s">
        <v>80</v>
      </c>
      <c r="Q297" s="109"/>
      <c r="R297" s="109">
        <v>3000</v>
      </c>
      <c r="S297" s="111"/>
      <c r="T297" s="109"/>
      <c r="U297" s="111"/>
      <c r="V297" s="109" t="s">
        <v>81</v>
      </c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  <c r="BJ297" s="111"/>
      <c r="BK297" s="111"/>
      <c r="BL297" s="111"/>
      <c r="BM297" s="111"/>
      <c r="BN297" s="111"/>
      <c r="BO297" s="111"/>
      <c r="BP297" s="111"/>
      <c r="BQ297" s="111"/>
      <c r="BR297" s="111"/>
      <c r="BS297" s="111"/>
      <c r="BT297" s="111"/>
      <c r="BU297" s="111"/>
      <c r="BV297" s="111"/>
      <c r="BW297" s="111"/>
      <c r="BX297" s="111"/>
      <c r="BY297" s="113"/>
    </row>
    <row r="298" spans="1:77" s="8" customFormat="1" x14ac:dyDescent="0.15">
      <c r="A298" s="104">
        <v>403001011</v>
      </c>
      <c r="B298" s="127" t="s">
        <v>390</v>
      </c>
      <c r="C298" s="106" t="s">
        <v>77</v>
      </c>
      <c r="D298" s="106"/>
      <c r="E298" s="106" t="s">
        <v>78</v>
      </c>
      <c r="F298" s="106"/>
      <c r="G298" s="106"/>
      <c r="H298" s="106"/>
      <c r="I298" s="106"/>
      <c r="J298" s="108"/>
      <c r="K298" s="108"/>
      <c r="L298" s="108"/>
      <c r="M298" s="108"/>
      <c r="N298" s="108"/>
      <c r="O298" s="106" t="s">
        <v>79</v>
      </c>
      <c r="P298" s="109" t="s">
        <v>80</v>
      </c>
      <c r="Q298" s="109"/>
      <c r="R298" s="109">
        <v>10000</v>
      </c>
      <c r="S298" s="111"/>
      <c r="T298" s="109">
        <v>10000</v>
      </c>
      <c r="U298" s="111"/>
      <c r="V298" s="109" t="s">
        <v>81</v>
      </c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  <c r="BJ298" s="111"/>
      <c r="BK298" s="111"/>
      <c r="BL298" s="111"/>
      <c r="BM298" s="111"/>
      <c r="BN298" s="111"/>
      <c r="BO298" s="111"/>
      <c r="BP298" s="111"/>
      <c r="BQ298" s="111"/>
      <c r="BR298" s="111"/>
      <c r="BS298" s="111"/>
      <c r="BT298" s="111"/>
      <c r="BU298" s="111"/>
      <c r="BV298" s="111"/>
      <c r="BW298" s="111"/>
      <c r="BX298" s="111"/>
      <c r="BY298" s="113"/>
    </row>
    <row r="299" spans="1:77" s="8" customFormat="1" x14ac:dyDescent="0.15">
      <c r="A299" s="104">
        <v>403010011</v>
      </c>
      <c r="B299" s="127" t="s">
        <v>391</v>
      </c>
      <c r="C299" s="106" t="s">
        <v>100</v>
      </c>
      <c r="D299" s="106"/>
      <c r="E299" s="106" t="s">
        <v>78</v>
      </c>
      <c r="F299" s="106"/>
      <c r="G299" s="106"/>
      <c r="H299" s="106"/>
      <c r="I299" s="106"/>
      <c r="J299" s="108"/>
      <c r="K299" s="108"/>
      <c r="L299" s="108"/>
      <c r="M299" s="108"/>
      <c r="N299" s="108"/>
      <c r="O299" s="106" t="s">
        <v>90</v>
      </c>
      <c r="P299" s="109"/>
      <c r="Q299" s="109"/>
      <c r="R299" s="109"/>
      <c r="S299" s="111"/>
      <c r="T299" s="109"/>
      <c r="U299" s="111"/>
      <c r="V299" s="109"/>
      <c r="W299" s="111"/>
      <c r="X299" s="111"/>
      <c r="Y299" s="111"/>
      <c r="Z299" s="111"/>
      <c r="AA299" s="111"/>
      <c r="AB299" s="111"/>
      <c r="AC299" s="111">
        <v>403010101</v>
      </c>
      <c r="AD299" s="111">
        <v>403010201</v>
      </c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  <c r="BJ299" s="111"/>
      <c r="BK299" s="111"/>
      <c r="BL299" s="111"/>
      <c r="BM299" s="111"/>
      <c r="BN299" s="111"/>
      <c r="BO299" s="111"/>
      <c r="BP299" s="111"/>
      <c r="BQ299" s="111"/>
      <c r="BR299" s="111"/>
      <c r="BS299" s="111"/>
      <c r="BT299" s="111"/>
      <c r="BU299" s="111"/>
      <c r="BV299" s="111"/>
      <c r="BW299" s="111"/>
      <c r="BX299" s="111"/>
      <c r="BY299" s="113"/>
    </row>
    <row r="300" spans="1:77" s="8" customFormat="1" x14ac:dyDescent="0.15">
      <c r="A300" s="104">
        <v>403020011</v>
      </c>
      <c r="B300" s="127" t="s">
        <v>392</v>
      </c>
      <c r="C300" s="106" t="s">
        <v>304</v>
      </c>
      <c r="D300" s="106"/>
      <c r="E300" s="106" t="s">
        <v>78</v>
      </c>
      <c r="F300" s="106"/>
      <c r="G300" s="106"/>
      <c r="H300" s="106"/>
      <c r="I300" s="106"/>
      <c r="J300" s="108"/>
      <c r="K300" s="108"/>
      <c r="L300" s="108"/>
      <c r="M300" s="108"/>
      <c r="N300" s="108"/>
      <c r="O300" s="106" t="s">
        <v>90</v>
      </c>
      <c r="P300" s="109"/>
      <c r="Q300" s="109"/>
      <c r="R300" s="109"/>
      <c r="S300" s="111"/>
      <c r="T300" s="109"/>
      <c r="U300" s="111"/>
      <c r="V300" s="109"/>
      <c r="W300" s="111"/>
      <c r="X300" s="111"/>
      <c r="Y300" s="111"/>
      <c r="Z300" s="111"/>
      <c r="AA300" s="111"/>
      <c r="AB300" s="111"/>
      <c r="AC300" s="111">
        <v>403020101</v>
      </c>
      <c r="AD300" s="111"/>
      <c r="AE300" s="111"/>
      <c r="AF300" s="111"/>
      <c r="AG300" s="111"/>
      <c r="AH300" s="111"/>
      <c r="AI300" s="111"/>
      <c r="AJ300" s="106" t="s">
        <v>90</v>
      </c>
      <c r="AK300" s="109"/>
      <c r="AL300" s="109"/>
      <c r="AM300" s="109"/>
      <c r="AN300" s="111"/>
      <c r="AO300" s="109"/>
      <c r="AP300" s="111"/>
      <c r="AQ300" s="109"/>
      <c r="AR300" s="111"/>
      <c r="AS300" s="111"/>
      <c r="AT300" s="111"/>
      <c r="AU300" s="111"/>
      <c r="AV300" s="111"/>
      <c r="AW300" s="111"/>
      <c r="AX300" s="111">
        <v>403020201</v>
      </c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  <c r="BJ300" s="111"/>
      <c r="BK300" s="111"/>
      <c r="BL300" s="111"/>
      <c r="BM300" s="111"/>
      <c r="BN300" s="111"/>
      <c r="BO300" s="111"/>
      <c r="BP300" s="111"/>
      <c r="BQ300" s="111"/>
      <c r="BR300" s="111"/>
      <c r="BS300" s="111"/>
      <c r="BT300" s="111"/>
      <c r="BU300" s="111"/>
      <c r="BV300" s="111"/>
      <c r="BW300" s="111"/>
      <c r="BX300" s="111"/>
      <c r="BY300" s="113"/>
    </row>
    <row r="301" spans="1:77" s="8" customFormat="1" x14ac:dyDescent="0.15">
      <c r="A301" s="104">
        <v>404001011</v>
      </c>
      <c r="B301" s="127" t="s">
        <v>393</v>
      </c>
      <c r="C301" s="106" t="s">
        <v>77</v>
      </c>
      <c r="D301" s="106"/>
      <c r="E301" s="106" t="s">
        <v>78</v>
      </c>
      <c r="F301" s="106"/>
      <c r="G301" s="106"/>
      <c r="H301" s="106"/>
      <c r="I301" s="106"/>
      <c r="J301" s="108"/>
      <c r="K301" s="108"/>
      <c r="L301" s="108"/>
      <c r="M301" s="108"/>
      <c r="N301" s="108"/>
      <c r="O301" s="106" t="s">
        <v>79</v>
      </c>
      <c r="P301" s="109" t="s">
        <v>80</v>
      </c>
      <c r="Q301" s="109"/>
      <c r="R301" s="109">
        <v>10000</v>
      </c>
      <c r="S301" s="111"/>
      <c r="T301" s="109">
        <v>10000</v>
      </c>
      <c r="U301" s="111"/>
      <c r="V301" s="109" t="s">
        <v>81</v>
      </c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1"/>
      <c r="BC301" s="111"/>
      <c r="BD301" s="111"/>
      <c r="BE301" s="111"/>
      <c r="BF301" s="111"/>
      <c r="BG301" s="111"/>
      <c r="BH301" s="111"/>
      <c r="BI301" s="111"/>
      <c r="BJ301" s="111"/>
      <c r="BK301" s="111"/>
      <c r="BL301" s="111"/>
      <c r="BM301" s="111"/>
      <c r="BN301" s="111"/>
      <c r="BO301" s="111"/>
      <c r="BP301" s="111"/>
      <c r="BQ301" s="111"/>
      <c r="BR301" s="111"/>
      <c r="BS301" s="111"/>
      <c r="BT301" s="111"/>
      <c r="BU301" s="111"/>
      <c r="BV301" s="111"/>
      <c r="BW301" s="111"/>
      <c r="BX301" s="111"/>
      <c r="BY301" s="113"/>
    </row>
    <row r="302" spans="1:77" s="8" customFormat="1" x14ac:dyDescent="0.15">
      <c r="A302" s="104">
        <v>404010011</v>
      </c>
      <c r="B302" s="127" t="s">
        <v>394</v>
      </c>
      <c r="C302" s="106" t="s">
        <v>89</v>
      </c>
      <c r="D302" s="106"/>
      <c r="E302" s="106" t="s">
        <v>78</v>
      </c>
      <c r="F302" s="106"/>
      <c r="G302" s="106"/>
      <c r="H302" s="106"/>
      <c r="I302" s="106"/>
      <c r="J302" s="108"/>
      <c r="K302" s="108"/>
      <c r="L302" s="108"/>
      <c r="M302" s="108"/>
      <c r="N302" s="108"/>
      <c r="O302" s="106" t="s">
        <v>90</v>
      </c>
      <c r="P302" s="109"/>
      <c r="Q302" s="109"/>
      <c r="R302" s="109"/>
      <c r="S302" s="111"/>
      <c r="T302" s="109"/>
      <c r="U302" s="111"/>
      <c r="V302" s="109"/>
      <c r="W302" s="111"/>
      <c r="X302" s="111"/>
      <c r="Y302" s="111"/>
      <c r="Z302" s="111"/>
      <c r="AA302" s="111"/>
      <c r="AB302" s="111"/>
      <c r="AC302" s="111">
        <v>404010101</v>
      </c>
      <c r="AD302" s="111">
        <v>404010101</v>
      </c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  <c r="BG302" s="111"/>
      <c r="BH302" s="111"/>
      <c r="BI302" s="111"/>
      <c r="BJ302" s="111"/>
      <c r="BK302" s="111"/>
      <c r="BL302" s="111"/>
      <c r="BM302" s="111"/>
      <c r="BN302" s="111"/>
      <c r="BO302" s="111"/>
      <c r="BP302" s="111"/>
      <c r="BQ302" s="111"/>
      <c r="BR302" s="111"/>
      <c r="BS302" s="111"/>
      <c r="BT302" s="111"/>
      <c r="BU302" s="111"/>
      <c r="BV302" s="111"/>
      <c r="BW302" s="111"/>
      <c r="BX302" s="111"/>
      <c r="BY302" s="113"/>
    </row>
    <row r="303" spans="1:77" s="8" customFormat="1" x14ac:dyDescent="0.15">
      <c r="A303" s="104">
        <v>404020011</v>
      </c>
      <c r="B303" s="127" t="s">
        <v>395</v>
      </c>
      <c r="C303" s="106" t="s">
        <v>89</v>
      </c>
      <c r="D303" s="106"/>
      <c r="E303" s="106" t="s">
        <v>78</v>
      </c>
      <c r="F303" s="106"/>
      <c r="G303" s="106"/>
      <c r="H303" s="106"/>
      <c r="I303" s="106"/>
      <c r="J303" s="108"/>
      <c r="K303" s="108"/>
      <c r="L303" s="108"/>
      <c r="M303" s="108" t="s">
        <v>101</v>
      </c>
      <c r="N303" s="108"/>
      <c r="O303" s="106" t="s">
        <v>98</v>
      </c>
      <c r="P303" s="109"/>
      <c r="Q303" s="109"/>
      <c r="R303" s="109"/>
      <c r="S303" s="111"/>
      <c r="T303" s="109"/>
      <c r="U303" s="111"/>
      <c r="V303" s="109"/>
      <c r="W303" s="111"/>
      <c r="X303" s="111"/>
      <c r="Y303" s="111"/>
      <c r="Z303" s="111"/>
      <c r="AA303" s="111"/>
      <c r="AB303" s="111"/>
      <c r="AC303" s="111"/>
      <c r="AD303" s="111"/>
      <c r="AE303" s="111">
        <v>40402001</v>
      </c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  <c r="BG303" s="111"/>
      <c r="BH303" s="111"/>
      <c r="BI303" s="111"/>
      <c r="BJ303" s="111"/>
      <c r="BK303" s="111"/>
      <c r="BL303" s="111"/>
      <c r="BM303" s="111"/>
      <c r="BN303" s="111"/>
      <c r="BO303" s="111"/>
      <c r="BP303" s="111"/>
      <c r="BQ303" s="111"/>
      <c r="BR303" s="111"/>
      <c r="BS303" s="111"/>
      <c r="BT303" s="111"/>
      <c r="BU303" s="111"/>
      <c r="BV303" s="111"/>
      <c r="BW303" s="111"/>
      <c r="BX303" s="111"/>
      <c r="BY303" s="113"/>
    </row>
    <row r="304" spans="1:77" s="8" customFormat="1" x14ac:dyDescent="0.15">
      <c r="A304" s="111">
        <v>404020012</v>
      </c>
      <c r="B304" s="127" t="s">
        <v>396</v>
      </c>
      <c r="C304" s="143" t="s">
        <v>304</v>
      </c>
      <c r="D304" s="143"/>
      <c r="E304" s="143" t="s">
        <v>78</v>
      </c>
      <c r="F304" s="143"/>
      <c r="G304" s="143"/>
      <c r="H304" s="143"/>
      <c r="I304" s="143"/>
      <c r="J304" s="144"/>
      <c r="K304" s="144"/>
      <c r="L304" s="144"/>
      <c r="M304" s="144" t="s">
        <v>101</v>
      </c>
      <c r="N304" s="144"/>
      <c r="O304" s="143" t="s">
        <v>79</v>
      </c>
      <c r="P304" s="145" t="s">
        <v>102</v>
      </c>
      <c r="Q304" s="145">
        <v>0</v>
      </c>
      <c r="R304" s="145"/>
      <c r="S304" s="146"/>
      <c r="T304" s="145"/>
      <c r="U304" s="146">
        <v>3500</v>
      </c>
      <c r="V304" s="145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6"/>
      <c r="AW304" s="146"/>
      <c r="AX304" s="146"/>
      <c r="AY304" s="146"/>
      <c r="AZ304" s="146"/>
      <c r="BA304" s="146"/>
      <c r="BB304" s="146"/>
      <c r="BC304" s="146"/>
      <c r="BD304" s="146"/>
      <c r="BE304" s="146"/>
      <c r="BF304" s="146"/>
      <c r="BG304" s="146"/>
      <c r="BH304" s="146"/>
      <c r="BI304" s="146"/>
      <c r="BJ304" s="146"/>
      <c r="BK304" s="146"/>
      <c r="BL304" s="146"/>
      <c r="BM304" s="146"/>
      <c r="BN304" s="146"/>
      <c r="BO304" s="146"/>
      <c r="BP304" s="146"/>
      <c r="BQ304" s="146"/>
      <c r="BR304" s="146"/>
      <c r="BS304" s="146"/>
      <c r="BT304" s="146"/>
      <c r="BU304" s="146"/>
      <c r="BV304" s="146"/>
      <c r="BW304" s="146"/>
      <c r="BX304" s="146"/>
      <c r="BY304" s="147"/>
    </row>
    <row r="305" spans="1:77" s="8" customFormat="1" x14ac:dyDescent="0.15">
      <c r="A305" s="104">
        <v>405001011</v>
      </c>
      <c r="B305" s="127" t="s">
        <v>397</v>
      </c>
      <c r="C305" s="106" t="s">
        <v>77</v>
      </c>
      <c r="D305" s="106"/>
      <c r="E305" s="106" t="s">
        <v>78</v>
      </c>
      <c r="F305" s="106"/>
      <c r="G305" s="106"/>
      <c r="H305" s="106"/>
      <c r="I305" s="106"/>
      <c r="J305" s="108"/>
      <c r="K305" s="108"/>
      <c r="L305" s="108"/>
      <c r="M305" s="108"/>
      <c r="N305" s="108"/>
      <c r="O305" s="106" t="s">
        <v>79</v>
      </c>
      <c r="P305" s="109" t="s">
        <v>80</v>
      </c>
      <c r="Q305" s="109"/>
      <c r="R305" s="109">
        <v>10000</v>
      </c>
      <c r="S305" s="111"/>
      <c r="T305" s="109">
        <v>10000</v>
      </c>
      <c r="U305" s="111"/>
      <c r="V305" s="109" t="s">
        <v>81</v>
      </c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  <c r="BJ305" s="111"/>
      <c r="BK305" s="111"/>
      <c r="BL305" s="111"/>
      <c r="BM305" s="111"/>
      <c r="BN305" s="111"/>
      <c r="BO305" s="111"/>
      <c r="BP305" s="111"/>
      <c r="BQ305" s="111"/>
      <c r="BR305" s="111"/>
      <c r="BS305" s="111"/>
      <c r="BT305" s="111"/>
      <c r="BU305" s="111"/>
      <c r="BV305" s="111"/>
      <c r="BW305" s="111"/>
      <c r="BX305" s="111"/>
      <c r="BY305" s="113"/>
    </row>
    <row r="306" spans="1:77" s="8" customFormat="1" x14ac:dyDescent="0.15">
      <c r="A306" s="104">
        <v>405002011</v>
      </c>
      <c r="B306" s="127" t="s">
        <v>398</v>
      </c>
      <c r="C306" s="106" t="s">
        <v>77</v>
      </c>
      <c r="D306" s="106"/>
      <c r="E306" s="106" t="s">
        <v>78</v>
      </c>
      <c r="F306" s="106"/>
      <c r="G306" s="106"/>
      <c r="H306" s="106"/>
      <c r="I306" s="106"/>
      <c r="J306" s="108"/>
      <c r="K306" s="108"/>
      <c r="L306" s="108"/>
      <c r="M306" s="108"/>
      <c r="N306" s="108"/>
      <c r="O306" s="106" t="s">
        <v>79</v>
      </c>
      <c r="P306" s="109" t="s">
        <v>80</v>
      </c>
      <c r="Q306" s="109"/>
      <c r="R306" s="109">
        <v>5000</v>
      </c>
      <c r="S306" s="111"/>
      <c r="T306" s="109">
        <v>10000</v>
      </c>
      <c r="U306" s="111"/>
      <c r="V306" s="109" t="s">
        <v>81</v>
      </c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1"/>
      <c r="BC306" s="111"/>
      <c r="BD306" s="111"/>
      <c r="BE306" s="111"/>
      <c r="BF306" s="111"/>
      <c r="BG306" s="111"/>
      <c r="BH306" s="111"/>
      <c r="BI306" s="111"/>
      <c r="BJ306" s="111"/>
      <c r="BK306" s="111"/>
      <c r="BL306" s="111"/>
      <c r="BM306" s="111"/>
      <c r="BN306" s="111"/>
      <c r="BO306" s="111"/>
      <c r="BP306" s="111"/>
      <c r="BQ306" s="111"/>
      <c r="BR306" s="111"/>
      <c r="BS306" s="111"/>
      <c r="BT306" s="111"/>
      <c r="BU306" s="111"/>
      <c r="BV306" s="111"/>
      <c r="BW306" s="111"/>
      <c r="BX306" s="111"/>
      <c r="BY306" s="113"/>
    </row>
    <row r="307" spans="1:77" s="8" customFormat="1" x14ac:dyDescent="0.15">
      <c r="A307" s="104">
        <v>405010011</v>
      </c>
      <c r="B307" s="127" t="s">
        <v>399</v>
      </c>
      <c r="C307" s="106" t="s">
        <v>112</v>
      </c>
      <c r="D307" s="106"/>
      <c r="E307" s="106" t="s">
        <v>78</v>
      </c>
      <c r="F307" s="106"/>
      <c r="G307" s="106"/>
      <c r="H307" s="106"/>
      <c r="I307" s="106"/>
      <c r="J307" s="108"/>
      <c r="K307" s="108"/>
      <c r="L307" s="108"/>
      <c r="M307" s="108"/>
      <c r="N307" s="108"/>
      <c r="O307" s="106" t="s">
        <v>90</v>
      </c>
      <c r="P307" s="109"/>
      <c r="Q307" s="109"/>
      <c r="R307" s="109"/>
      <c r="S307" s="111"/>
      <c r="T307" s="109"/>
      <c r="U307" s="111"/>
      <c r="V307" s="109"/>
      <c r="W307" s="111"/>
      <c r="X307" s="111"/>
      <c r="Y307" s="111"/>
      <c r="Z307" s="111"/>
      <c r="AA307" s="111"/>
      <c r="AB307" s="111"/>
      <c r="AC307" s="111">
        <v>405010101</v>
      </c>
      <c r="AD307" s="111">
        <v>405010101</v>
      </c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  <c r="BJ307" s="111"/>
      <c r="BK307" s="111"/>
      <c r="BL307" s="111"/>
      <c r="BM307" s="111"/>
      <c r="BN307" s="111"/>
      <c r="BO307" s="111"/>
      <c r="BP307" s="111"/>
      <c r="BQ307" s="111"/>
      <c r="BR307" s="111"/>
      <c r="BS307" s="111"/>
      <c r="BT307" s="111"/>
      <c r="BU307" s="111"/>
      <c r="BV307" s="111"/>
      <c r="BW307" s="111"/>
      <c r="BX307" s="111"/>
      <c r="BY307" s="113"/>
    </row>
    <row r="308" spans="1:77" s="8" customFormat="1" x14ac:dyDescent="0.15">
      <c r="A308" s="104">
        <v>405020011</v>
      </c>
      <c r="B308" s="127" t="s">
        <v>400</v>
      </c>
      <c r="C308" s="106" t="s">
        <v>112</v>
      </c>
      <c r="D308" s="106"/>
      <c r="E308" s="106" t="s">
        <v>83</v>
      </c>
      <c r="F308" s="106">
        <v>150000</v>
      </c>
      <c r="G308" s="106"/>
      <c r="H308" s="106"/>
      <c r="I308" s="106"/>
      <c r="J308" s="108"/>
      <c r="K308" s="108"/>
      <c r="L308" s="108"/>
      <c r="M308" s="108"/>
      <c r="N308" s="108"/>
      <c r="O308" s="106" t="s">
        <v>90</v>
      </c>
      <c r="P308" s="109"/>
      <c r="Q308" s="109"/>
      <c r="R308" s="109"/>
      <c r="S308" s="111"/>
      <c r="T308" s="109"/>
      <c r="U308" s="111"/>
      <c r="V308" s="109"/>
      <c r="W308" s="111"/>
      <c r="X308" s="111"/>
      <c r="Y308" s="111"/>
      <c r="Z308" s="111"/>
      <c r="AA308" s="111"/>
      <c r="AB308" s="111"/>
      <c r="AC308" s="111">
        <v>405020101</v>
      </c>
      <c r="AD308" s="111">
        <v>405020101</v>
      </c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  <c r="BJ308" s="111"/>
      <c r="BK308" s="111"/>
      <c r="BL308" s="111"/>
      <c r="BM308" s="111"/>
      <c r="BN308" s="111"/>
      <c r="BO308" s="111"/>
      <c r="BP308" s="111"/>
      <c r="BQ308" s="111"/>
      <c r="BR308" s="111"/>
      <c r="BS308" s="111"/>
      <c r="BT308" s="111"/>
      <c r="BU308" s="111"/>
      <c r="BV308" s="111"/>
      <c r="BW308" s="111"/>
      <c r="BX308" s="111"/>
      <c r="BY308" s="113"/>
    </row>
    <row r="309" spans="1:77" s="8" customFormat="1" x14ac:dyDescent="0.15">
      <c r="A309" s="104">
        <v>405100011</v>
      </c>
      <c r="B309" s="127" t="s">
        <v>401</v>
      </c>
      <c r="C309" s="106" t="s">
        <v>89</v>
      </c>
      <c r="D309" s="106"/>
      <c r="E309" s="106" t="s">
        <v>78</v>
      </c>
      <c r="F309" s="106"/>
      <c r="G309" s="106"/>
      <c r="H309" s="106"/>
      <c r="I309" s="106"/>
      <c r="J309" s="108"/>
      <c r="K309" s="108"/>
      <c r="L309" s="108"/>
      <c r="M309" s="108"/>
      <c r="N309" s="108"/>
      <c r="O309" s="106" t="s">
        <v>90</v>
      </c>
      <c r="P309" s="109"/>
      <c r="Q309" s="109"/>
      <c r="R309" s="109"/>
      <c r="S309" s="111"/>
      <c r="T309" s="109"/>
      <c r="U309" s="111"/>
      <c r="V309" s="109"/>
      <c r="W309" s="111"/>
      <c r="X309" s="111"/>
      <c r="Y309" s="111"/>
      <c r="Z309" s="111"/>
      <c r="AA309" s="111"/>
      <c r="AB309" s="111"/>
      <c r="AC309" s="111">
        <v>405100101</v>
      </c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  <c r="BJ309" s="111"/>
      <c r="BK309" s="111"/>
      <c r="BL309" s="111"/>
      <c r="BM309" s="111"/>
      <c r="BN309" s="111"/>
      <c r="BO309" s="111"/>
      <c r="BP309" s="111"/>
      <c r="BQ309" s="111"/>
      <c r="BR309" s="111"/>
      <c r="BS309" s="111"/>
      <c r="BT309" s="111"/>
      <c r="BU309" s="111"/>
      <c r="BV309" s="111"/>
      <c r="BW309" s="111"/>
      <c r="BX309" s="111"/>
      <c r="BY309" s="113"/>
    </row>
    <row r="310" spans="1:77" s="8" customFormat="1" x14ac:dyDescent="0.15">
      <c r="A310" s="104">
        <v>406001011</v>
      </c>
      <c r="B310" s="127" t="s">
        <v>402</v>
      </c>
      <c r="C310" s="106" t="s">
        <v>77</v>
      </c>
      <c r="D310" s="106"/>
      <c r="E310" s="106" t="s">
        <v>78</v>
      </c>
      <c r="F310" s="106"/>
      <c r="G310" s="106"/>
      <c r="H310" s="106"/>
      <c r="I310" s="106"/>
      <c r="J310" s="108"/>
      <c r="K310" s="108"/>
      <c r="L310" s="108"/>
      <c r="M310" s="108"/>
      <c r="N310" s="108"/>
      <c r="O310" s="106" t="s">
        <v>79</v>
      </c>
      <c r="P310" s="109" t="s">
        <v>80</v>
      </c>
      <c r="Q310" s="109"/>
      <c r="R310" s="109">
        <v>10000</v>
      </c>
      <c r="S310" s="111"/>
      <c r="T310" s="109">
        <v>10000</v>
      </c>
      <c r="U310" s="111"/>
      <c r="V310" s="109" t="s">
        <v>81</v>
      </c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11"/>
      <c r="BN310" s="111"/>
      <c r="BO310" s="111"/>
      <c r="BP310" s="111"/>
      <c r="BQ310" s="111"/>
      <c r="BR310" s="111"/>
      <c r="BS310" s="111"/>
      <c r="BT310" s="111"/>
      <c r="BU310" s="111"/>
      <c r="BV310" s="111"/>
      <c r="BW310" s="111"/>
      <c r="BX310" s="111"/>
      <c r="BY310" s="113"/>
    </row>
    <row r="311" spans="1:77" s="8" customFormat="1" x14ac:dyDescent="0.15">
      <c r="A311" s="104">
        <v>406002011</v>
      </c>
      <c r="B311" s="127" t="s">
        <v>403</v>
      </c>
      <c r="C311" s="106" t="s">
        <v>100</v>
      </c>
      <c r="D311" s="106"/>
      <c r="E311" s="106" t="s">
        <v>83</v>
      </c>
      <c r="F311" s="106">
        <v>100000</v>
      </c>
      <c r="G311" s="106"/>
      <c r="H311" s="106"/>
      <c r="I311" s="106"/>
      <c r="J311" s="108"/>
      <c r="K311" s="108"/>
      <c r="L311" s="108"/>
      <c r="M311" s="108"/>
      <c r="N311" s="108"/>
      <c r="O311" s="106" t="s">
        <v>79</v>
      </c>
      <c r="P311" s="109" t="s">
        <v>80</v>
      </c>
      <c r="Q311" s="109"/>
      <c r="R311" s="109">
        <v>10000</v>
      </c>
      <c r="S311" s="111"/>
      <c r="T311" s="109">
        <v>10000</v>
      </c>
      <c r="U311" s="111"/>
      <c r="V311" s="109" t="s">
        <v>81</v>
      </c>
      <c r="W311" s="111" t="s">
        <v>307</v>
      </c>
      <c r="X311" s="111" t="s">
        <v>308</v>
      </c>
      <c r="Y311" s="111">
        <v>-1500</v>
      </c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  <c r="BJ311" s="111"/>
      <c r="BK311" s="111"/>
      <c r="BL311" s="111"/>
      <c r="BM311" s="111"/>
      <c r="BN311" s="111"/>
      <c r="BO311" s="111"/>
      <c r="BP311" s="111"/>
      <c r="BQ311" s="111"/>
      <c r="BR311" s="111"/>
      <c r="BS311" s="111"/>
      <c r="BT311" s="111"/>
      <c r="BU311" s="111"/>
      <c r="BV311" s="111"/>
      <c r="BW311" s="111"/>
      <c r="BX311" s="111"/>
      <c r="BY311" s="113"/>
    </row>
    <row r="312" spans="1:77" s="8" customFormat="1" x14ac:dyDescent="0.15">
      <c r="A312" s="104">
        <v>407001011</v>
      </c>
      <c r="B312" s="127" t="s">
        <v>404</v>
      </c>
      <c r="C312" s="106" t="s">
        <v>77</v>
      </c>
      <c r="D312" s="106"/>
      <c r="E312" s="106" t="s">
        <v>78</v>
      </c>
      <c r="F312" s="106"/>
      <c r="G312" s="106"/>
      <c r="H312" s="106"/>
      <c r="I312" s="106"/>
      <c r="J312" s="108"/>
      <c r="K312" s="108"/>
      <c r="L312" s="108"/>
      <c r="M312" s="108"/>
      <c r="N312" s="108"/>
      <c r="O312" s="106" t="s">
        <v>79</v>
      </c>
      <c r="P312" s="109" t="s">
        <v>80</v>
      </c>
      <c r="Q312" s="109"/>
      <c r="R312" s="109">
        <v>10000</v>
      </c>
      <c r="S312" s="111"/>
      <c r="T312" s="109">
        <v>10000</v>
      </c>
      <c r="U312" s="111"/>
      <c r="V312" s="109" t="s">
        <v>81</v>
      </c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 t="s">
        <v>90</v>
      </c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>
        <v>407001101</v>
      </c>
      <c r="AY312" s="111">
        <v>407001201</v>
      </c>
      <c r="AZ312" s="111"/>
      <c r="BA312" s="111"/>
      <c r="BB312" s="111"/>
      <c r="BC312" s="111"/>
      <c r="BD312" s="111"/>
      <c r="BE312" s="111" t="s">
        <v>90</v>
      </c>
      <c r="BF312" s="111"/>
      <c r="BG312" s="111"/>
      <c r="BH312" s="111"/>
      <c r="BI312" s="111"/>
      <c r="BJ312" s="111"/>
      <c r="BK312" s="111"/>
      <c r="BL312" s="111"/>
      <c r="BM312" s="111"/>
      <c r="BN312" s="111"/>
      <c r="BO312" s="111"/>
      <c r="BP312" s="111"/>
      <c r="BQ312" s="111"/>
      <c r="BR312" s="111"/>
      <c r="BS312" s="111">
        <v>407001301</v>
      </c>
      <c r="BT312" s="111">
        <v>407001401</v>
      </c>
      <c r="BU312" s="111"/>
      <c r="BV312" s="111"/>
      <c r="BW312" s="111"/>
      <c r="BX312" s="111"/>
      <c r="BY312" s="113"/>
    </row>
    <row r="313" spans="1:77" s="8" customFormat="1" x14ac:dyDescent="0.15">
      <c r="A313" s="104">
        <v>407001012</v>
      </c>
      <c r="B313" s="127" t="s">
        <v>405</v>
      </c>
      <c r="C313" s="106" t="s">
        <v>100</v>
      </c>
      <c r="D313" s="106"/>
      <c r="E313" s="106" t="s">
        <v>78</v>
      </c>
      <c r="F313" s="106"/>
      <c r="G313" s="106"/>
      <c r="H313" s="106"/>
      <c r="I313" s="106"/>
      <c r="J313" s="108"/>
      <c r="K313" s="108"/>
      <c r="L313" s="108"/>
      <c r="M313" s="108"/>
      <c r="N313" s="108"/>
      <c r="O313" s="106" t="s">
        <v>79</v>
      </c>
      <c r="P313" s="109" t="s">
        <v>102</v>
      </c>
      <c r="Q313" s="109">
        <v>20</v>
      </c>
      <c r="R313" s="109"/>
      <c r="S313" s="111"/>
      <c r="T313" s="109"/>
      <c r="U313" s="111">
        <v>10000</v>
      </c>
      <c r="V313" s="109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  <c r="BJ313" s="111"/>
      <c r="BK313" s="111"/>
      <c r="BL313" s="111"/>
      <c r="BM313" s="111"/>
      <c r="BN313" s="111"/>
      <c r="BO313" s="111"/>
      <c r="BP313" s="111"/>
      <c r="BQ313" s="111"/>
      <c r="BR313" s="111"/>
      <c r="BS313" s="111"/>
      <c r="BT313" s="111"/>
      <c r="BU313" s="111"/>
      <c r="BV313" s="111"/>
      <c r="BW313" s="111"/>
      <c r="BX313" s="111"/>
      <c r="BY313" s="113"/>
    </row>
    <row r="314" spans="1:77" s="8" customFormat="1" x14ac:dyDescent="0.15">
      <c r="A314" s="104">
        <v>407020011</v>
      </c>
      <c r="B314" s="127" t="s">
        <v>406</v>
      </c>
      <c r="C314" s="106" t="s">
        <v>263</v>
      </c>
      <c r="D314" s="106"/>
      <c r="E314" s="106" t="s">
        <v>83</v>
      </c>
      <c r="F314" s="106">
        <v>30000</v>
      </c>
      <c r="G314" s="106"/>
      <c r="H314" s="106"/>
      <c r="I314" s="106"/>
      <c r="J314" s="108"/>
      <c r="K314" s="108"/>
      <c r="L314" s="108"/>
      <c r="M314" s="108"/>
      <c r="N314" s="108"/>
      <c r="O314" s="106" t="s">
        <v>264</v>
      </c>
      <c r="P314" s="109"/>
      <c r="Q314" s="109"/>
      <c r="R314" s="109"/>
      <c r="S314" s="111"/>
      <c r="T314" s="109"/>
      <c r="U314" s="111"/>
      <c r="V314" s="109"/>
      <c r="W314" s="111"/>
      <c r="X314" s="111"/>
      <c r="Y314" s="111"/>
      <c r="Z314" s="111"/>
      <c r="AA314" s="111"/>
      <c r="AB314" s="111"/>
      <c r="AC314" s="111"/>
      <c r="AD314" s="111"/>
      <c r="AE314" s="111" t="s">
        <v>171</v>
      </c>
      <c r="AF314" s="111">
        <v>1800</v>
      </c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  <c r="BJ314" s="111"/>
      <c r="BK314" s="111"/>
      <c r="BL314" s="111"/>
      <c r="BM314" s="111"/>
      <c r="BN314" s="111"/>
      <c r="BO314" s="111"/>
      <c r="BP314" s="111"/>
      <c r="BQ314" s="111"/>
      <c r="BR314" s="111"/>
      <c r="BS314" s="111"/>
      <c r="BT314" s="111"/>
      <c r="BU314" s="111"/>
      <c r="BV314" s="111"/>
      <c r="BW314" s="111"/>
      <c r="BX314" s="111"/>
      <c r="BY314" s="113"/>
    </row>
    <row r="315" spans="1:77" s="8" customFormat="1" x14ac:dyDescent="0.15">
      <c r="A315" s="104">
        <v>408010011</v>
      </c>
      <c r="B315" s="127" t="s">
        <v>407</v>
      </c>
      <c r="C315" s="106" t="s">
        <v>100</v>
      </c>
      <c r="D315" s="106"/>
      <c r="E315" s="106" t="s">
        <v>85</v>
      </c>
      <c r="F315" s="106">
        <v>50000</v>
      </c>
      <c r="G315" s="106">
        <v>210000</v>
      </c>
      <c r="H315" s="106"/>
      <c r="I315" s="106"/>
      <c r="J315" s="108"/>
      <c r="K315" s="108"/>
      <c r="L315" s="108"/>
      <c r="M315" s="108" t="s">
        <v>101</v>
      </c>
      <c r="N315" s="108"/>
      <c r="O315" s="106" t="s">
        <v>79</v>
      </c>
      <c r="P315" s="109" t="s">
        <v>80</v>
      </c>
      <c r="Q315" s="109"/>
      <c r="R315" s="109">
        <v>10000</v>
      </c>
      <c r="S315" s="111"/>
      <c r="T315" s="109">
        <v>10000</v>
      </c>
      <c r="U315" s="111"/>
      <c r="V315" s="109"/>
      <c r="W315" s="111" t="s">
        <v>307</v>
      </c>
      <c r="X315" s="111" t="s">
        <v>308</v>
      </c>
      <c r="Y315" s="111">
        <v>-1000</v>
      </c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  <c r="BJ315" s="111"/>
      <c r="BK315" s="111"/>
      <c r="BL315" s="111"/>
      <c r="BM315" s="111"/>
      <c r="BN315" s="111"/>
      <c r="BO315" s="111"/>
      <c r="BP315" s="111"/>
      <c r="BQ315" s="111"/>
      <c r="BR315" s="111"/>
      <c r="BS315" s="111"/>
      <c r="BT315" s="111"/>
      <c r="BU315" s="111"/>
      <c r="BV315" s="111"/>
      <c r="BW315" s="111"/>
      <c r="BX315" s="111"/>
      <c r="BY315" s="113"/>
    </row>
    <row r="316" spans="1:77" s="8" customFormat="1" x14ac:dyDescent="0.15">
      <c r="A316" s="104">
        <v>408010012</v>
      </c>
      <c r="B316" s="127" t="s">
        <v>408</v>
      </c>
      <c r="C316" s="106" t="s">
        <v>129</v>
      </c>
      <c r="D316" s="106"/>
      <c r="E316" s="106" t="s">
        <v>85</v>
      </c>
      <c r="F316" s="106">
        <v>50000</v>
      </c>
      <c r="G316" s="106">
        <v>210000</v>
      </c>
      <c r="H316" s="106"/>
      <c r="I316" s="106"/>
      <c r="J316" s="108"/>
      <c r="K316" s="108"/>
      <c r="L316" s="108"/>
      <c r="M316" s="108" t="s">
        <v>101</v>
      </c>
      <c r="N316" s="108"/>
      <c r="O316" s="106" t="s">
        <v>79</v>
      </c>
      <c r="P316" s="109" t="s">
        <v>80</v>
      </c>
      <c r="Q316" s="109"/>
      <c r="R316" s="109">
        <v>10000</v>
      </c>
      <c r="S316" s="111"/>
      <c r="T316" s="109">
        <v>10000</v>
      </c>
      <c r="U316" s="111"/>
      <c r="V316" s="109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  <c r="BG316" s="111"/>
      <c r="BH316" s="111"/>
      <c r="BI316" s="111"/>
      <c r="BJ316" s="111"/>
      <c r="BK316" s="111"/>
      <c r="BL316" s="111"/>
      <c r="BM316" s="111"/>
      <c r="BN316" s="111"/>
      <c r="BO316" s="111"/>
      <c r="BP316" s="111"/>
      <c r="BQ316" s="111"/>
      <c r="BR316" s="111"/>
      <c r="BS316" s="111"/>
      <c r="BT316" s="111"/>
      <c r="BU316" s="111"/>
      <c r="BV316" s="111"/>
      <c r="BW316" s="111"/>
      <c r="BX316" s="111"/>
      <c r="BY316" s="113"/>
    </row>
    <row r="317" spans="1:77" s="8" customFormat="1" x14ac:dyDescent="0.15">
      <c r="A317" s="104">
        <v>409001011</v>
      </c>
      <c r="B317" s="127" t="s">
        <v>409</v>
      </c>
      <c r="C317" s="106" t="s">
        <v>77</v>
      </c>
      <c r="D317" s="106"/>
      <c r="E317" s="106" t="s">
        <v>78</v>
      </c>
      <c r="F317" s="106"/>
      <c r="G317" s="106"/>
      <c r="H317" s="106"/>
      <c r="I317" s="106"/>
      <c r="J317" s="108"/>
      <c r="K317" s="108"/>
      <c r="L317" s="108"/>
      <c r="M317" s="108"/>
      <c r="N317" s="108"/>
      <c r="O317" s="106" t="s">
        <v>79</v>
      </c>
      <c r="P317" s="109" t="s">
        <v>80</v>
      </c>
      <c r="Q317" s="109"/>
      <c r="R317" s="109">
        <v>10000</v>
      </c>
      <c r="S317" s="111"/>
      <c r="T317" s="109">
        <v>10000</v>
      </c>
      <c r="U317" s="111"/>
      <c r="V317" s="109" t="s">
        <v>81</v>
      </c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  <c r="BJ317" s="111"/>
      <c r="BK317" s="111"/>
      <c r="BL317" s="111"/>
      <c r="BM317" s="111"/>
      <c r="BN317" s="111"/>
      <c r="BO317" s="111"/>
      <c r="BP317" s="111"/>
      <c r="BQ317" s="111"/>
      <c r="BR317" s="111"/>
      <c r="BS317" s="111"/>
      <c r="BT317" s="111"/>
      <c r="BU317" s="111"/>
      <c r="BV317" s="111"/>
      <c r="BW317" s="111"/>
      <c r="BX317" s="111"/>
      <c r="BY317" s="113"/>
    </row>
    <row r="318" spans="1:77" s="8" customFormat="1" x14ac:dyDescent="0.15">
      <c r="A318" s="104">
        <v>409010011</v>
      </c>
      <c r="B318" s="127" t="s">
        <v>410</v>
      </c>
      <c r="C318" s="106" t="s">
        <v>100</v>
      </c>
      <c r="D318" s="106"/>
      <c r="E318" s="106" t="s">
        <v>83</v>
      </c>
      <c r="F318" s="106">
        <v>70000</v>
      </c>
      <c r="G318" s="106"/>
      <c r="H318" s="106"/>
      <c r="I318" s="106"/>
      <c r="J318" s="108"/>
      <c r="K318" s="108"/>
      <c r="L318" s="108"/>
      <c r="M318" s="108" t="s">
        <v>101</v>
      </c>
      <c r="N318" s="108"/>
      <c r="O318" s="106" t="s">
        <v>90</v>
      </c>
      <c r="P318" s="109"/>
      <c r="Q318" s="109"/>
      <c r="R318" s="109"/>
      <c r="S318" s="111"/>
      <c r="T318" s="109"/>
      <c r="U318" s="111"/>
      <c r="V318" s="109"/>
      <c r="W318" s="111"/>
      <c r="X318" s="111"/>
      <c r="Y318" s="111"/>
      <c r="Z318" s="111"/>
      <c r="AA318" s="111"/>
      <c r="AB318" s="111"/>
      <c r="AC318" s="111">
        <v>409010101</v>
      </c>
      <c r="AD318" s="111">
        <v>409010201</v>
      </c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  <c r="BJ318" s="111"/>
      <c r="BK318" s="111"/>
      <c r="BL318" s="111"/>
      <c r="BM318" s="111"/>
      <c r="BN318" s="111"/>
      <c r="BO318" s="111"/>
      <c r="BP318" s="111"/>
      <c r="BQ318" s="111"/>
      <c r="BR318" s="111"/>
      <c r="BS318" s="111"/>
      <c r="BT318" s="111"/>
      <c r="BU318" s="111"/>
      <c r="BV318" s="111"/>
      <c r="BW318" s="111"/>
      <c r="BX318" s="111"/>
      <c r="BY318" s="113"/>
    </row>
    <row r="319" spans="1:77" s="8" customFormat="1" x14ac:dyDescent="0.15">
      <c r="A319" s="104">
        <v>409020011</v>
      </c>
      <c r="B319" s="127" t="s">
        <v>411</v>
      </c>
      <c r="C319" s="106" t="s">
        <v>100</v>
      </c>
      <c r="D319" s="106"/>
      <c r="E319" s="106" t="s">
        <v>83</v>
      </c>
      <c r="F319" s="106">
        <v>30000</v>
      </c>
      <c r="G319" s="106"/>
      <c r="H319" s="106"/>
      <c r="I319" s="106"/>
      <c r="J319" s="108"/>
      <c r="K319" s="108"/>
      <c r="L319" s="108"/>
      <c r="M319" s="108" t="s">
        <v>101</v>
      </c>
      <c r="N319" s="108"/>
      <c r="O319" s="106" t="s">
        <v>79</v>
      </c>
      <c r="P319" s="109" t="s">
        <v>102</v>
      </c>
      <c r="Q319" s="109">
        <v>500</v>
      </c>
      <c r="R319" s="109"/>
      <c r="S319" s="111"/>
      <c r="T319" s="109"/>
      <c r="U319" s="111"/>
      <c r="V319" s="109"/>
      <c r="W319" s="111" t="s">
        <v>168</v>
      </c>
      <c r="X319" s="111" t="s">
        <v>169</v>
      </c>
      <c r="Y319" s="111" t="s">
        <v>326</v>
      </c>
      <c r="Z319" s="111" t="s">
        <v>308</v>
      </c>
      <c r="AA319" s="111">
        <v>1000</v>
      </c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  <c r="BG319" s="111"/>
      <c r="BH319" s="111"/>
      <c r="BI319" s="111"/>
      <c r="BJ319" s="111"/>
      <c r="BK319" s="111"/>
      <c r="BL319" s="111"/>
      <c r="BM319" s="111"/>
      <c r="BN319" s="111"/>
      <c r="BO319" s="111"/>
      <c r="BP319" s="111"/>
      <c r="BQ319" s="111"/>
      <c r="BR319" s="111"/>
      <c r="BS319" s="111"/>
      <c r="BT319" s="111"/>
      <c r="BU319" s="111"/>
      <c r="BV319" s="111"/>
      <c r="BW319" s="111"/>
      <c r="BX319" s="111"/>
      <c r="BY319" s="113"/>
    </row>
    <row r="320" spans="1:77" s="8" customFormat="1" x14ac:dyDescent="0.15">
      <c r="A320" s="104">
        <v>409020012</v>
      </c>
      <c r="B320" s="127" t="s">
        <v>412</v>
      </c>
      <c r="C320" s="106" t="s">
        <v>100</v>
      </c>
      <c r="D320" s="106"/>
      <c r="E320" s="106" t="s">
        <v>83</v>
      </c>
      <c r="F320" s="106">
        <v>150000</v>
      </c>
      <c r="G320" s="106"/>
      <c r="H320" s="106"/>
      <c r="I320" s="106"/>
      <c r="J320" s="108"/>
      <c r="K320" s="108"/>
      <c r="L320" s="108"/>
      <c r="M320" s="108"/>
      <c r="N320" s="108"/>
      <c r="O320" s="106"/>
      <c r="P320" s="109"/>
      <c r="Q320" s="109"/>
      <c r="R320" s="109"/>
      <c r="S320" s="111"/>
      <c r="T320" s="109"/>
      <c r="U320" s="111"/>
      <c r="V320" s="109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11"/>
      <c r="BF320" s="111"/>
      <c r="BG320" s="111"/>
      <c r="BH320" s="111"/>
      <c r="BI320" s="111"/>
      <c r="BJ320" s="111"/>
      <c r="BK320" s="111"/>
      <c r="BL320" s="111"/>
      <c r="BM320" s="111"/>
      <c r="BN320" s="111"/>
      <c r="BO320" s="111"/>
      <c r="BP320" s="111"/>
      <c r="BQ320" s="111"/>
      <c r="BR320" s="111"/>
      <c r="BS320" s="111"/>
      <c r="BT320" s="111"/>
      <c r="BU320" s="111"/>
      <c r="BV320" s="111"/>
      <c r="BW320" s="111"/>
      <c r="BX320" s="111"/>
      <c r="BY320" s="113"/>
    </row>
    <row r="321" spans="1:77" s="8" customFormat="1" x14ac:dyDescent="0.15">
      <c r="A321" s="104">
        <v>409100011</v>
      </c>
      <c r="B321" s="127" t="s">
        <v>413</v>
      </c>
      <c r="C321" s="106" t="s">
        <v>89</v>
      </c>
      <c r="D321" s="106"/>
      <c r="E321" s="106" t="s">
        <v>78</v>
      </c>
      <c r="F321" s="106"/>
      <c r="G321" s="106"/>
      <c r="H321" s="106"/>
      <c r="I321" s="106"/>
      <c r="J321" s="108"/>
      <c r="K321" s="108"/>
      <c r="L321" s="108"/>
      <c r="M321" s="108" t="s">
        <v>101</v>
      </c>
      <c r="N321" s="108"/>
      <c r="O321" s="106" t="s">
        <v>90</v>
      </c>
      <c r="P321" s="109"/>
      <c r="Q321" s="109"/>
      <c r="R321" s="109"/>
      <c r="S321" s="111"/>
      <c r="T321" s="109"/>
      <c r="U321" s="111"/>
      <c r="V321" s="109"/>
      <c r="W321" s="111"/>
      <c r="X321" s="111"/>
      <c r="Y321" s="111"/>
      <c r="Z321" s="111"/>
      <c r="AA321" s="111"/>
      <c r="AB321" s="111"/>
      <c r="AC321" s="111">
        <v>409100101</v>
      </c>
      <c r="AD321" s="111">
        <v>409100101</v>
      </c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  <c r="BJ321" s="111"/>
      <c r="BK321" s="111"/>
      <c r="BL321" s="111"/>
      <c r="BM321" s="111"/>
      <c r="BN321" s="111"/>
      <c r="BO321" s="111"/>
      <c r="BP321" s="111"/>
      <c r="BQ321" s="111"/>
      <c r="BR321" s="111"/>
      <c r="BS321" s="111"/>
      <c r="BT321" s="111"/>
      <c r="BU321" s="111"/>
      <c r="BV321" s="111"/>
      <c r="BW321" s="111"/>
      <c r="BX321" s="111"/>
      <c r="BY321" s="113"/>
    </row>
    <row r="322" spans="1:77" s="8" customFormat="1" x14ac:dyDescent="0.15">
      <c r="A322" s="104">
        <v>410001011</v>
      </c>
      <c r="B322" s="127" t="s">
        <v>414</v>
      </c>
      <c r="C322" s="106" t="s">
        <v>100</v>
      </c>
      <c r="D322" s="106"/>
      <c r="E322" s="106" t="s">
        <v>78</v>
      </c>
      <c r="F322" s="106"/>
      <c r="G322" s="106"/>
      <c r="H322" s="106"/>
      <c r="I322" s="106"/>
      <c r="J322" s="108"/>
      <c r="K322" s="108"/>
      <c r="L322" s="108"/>
      <c r="M322" s="108"/>
      <c r="N322" s="108"/>
      <c r="O322" s="106" t="s">
        <v>79</v>
      </c>
      <c r="P322" s="109" t="s">
        <v>80</v>
      </c>
      <c r="Q322" s="109"/>
      <c r="R322" s="109">
        <v>10000</v>
      </c>
      <c r="S322" s="111"/>
      <c r="T322" s="109">
        <v>10000</v>
      </c>
      <c r="U322" s="111"/>
      <c r="V322" s="109" t="s">
        <v>81</v>
      </c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  <c r="BG322" s="111"/>
      <c r="BH322" s="111"/>
      <c r="BI322" s="111"/>
      <c r="BJ322" s="111"/>
      <c r="BK322" s="111"/>
      <c r="BL322" s="111"/>
      <c r="BM322" s="111"/>
      <c r="BN322" s="111"/>
      <c r="BO322" s="111"/>
      <c r="BP322" s="111"/>
      <c r="BQ322" s="111"/>
      <c r="BR322" s="111"/>
      <c r="BS322" s="111"/>
      <c r="BT322" s="111"/>
      <c r="BU322" s="111"/>
      <c r="BV322" s="111"/>
      <c r="BW322" s="111"/>
      <c r="BX322" s="111"/>
      <c r="BY322" s="113"/>
    </row>
    <row r="323" spans="1:77" s="8" customFormat="1" x14ac:dyDescent="0.15">
      <c r="A323" s="104">
        <v>410010011</v>
      </c>
      <c r="B323" s="127" t="s">
        <v>415</v>
      </c>
      <c r="C323" s="106" t="s">
        <v>77</v>
      </c>
      <c r="D323" s="106"/>
      <c r="E323" s="106" t="s">
        <v>78</v>
      </c>
      <c r="F323" s="106"/>
      <c r="G323" s="106"/>
      <c r="H323" s="106"/>
      <c r="I323" s="106"/>
      <c r="J323" s="108"/>
      <c r="K323" s="108"/>
      <c r="L323" s="108"/>
      <c r="M323" s="108"/>
      <c r="N323" s="108"/>
      <c r="O323" s="106" t="s">
        <v>79</v>
      </c>
      <c r="P323" s="109" t="s">
        <v>80</v>
      </c>
      <c r="Q323" s="109"/>
      <c r="R323" s="109">
        <v>10000</v>
      </c>
      <c r="S323" s="111"/>
      <c r="T323" s="109">
        <v>10000</v>
      </c>
      <c r="U323" s="111"/>
      <c r="V323" s="109" t="s">
        <v>81</v>
      </c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 t="s">
        <v>90</v>
      </c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>
        <v>410010101</v>
      </c>
      <c r="AY323" s="111"/>
      <c r="AZ323" s="111"/>
      <c r="BA323" s="111"/>
      <c r="BB323" s="111"/>
      <c r="BC323" s="111"/>
      <c r="BD323" s="111"/>
      <c r="BE323" s="111" t="s">
        <v>90</v>
      </c>
      <c r="BF323" s="111"/>
      <c r="BG323" s="111"/>
      <c r="BH323" s="111"/>
      <c r="BI323" s="111"/>
      <c r="BJ323" s="111"/>
      <c r="BK323" s="111"/>
      <c r="BL323" s="111"/>
      <c r="BM323" s="111"/>
      <c r="BN323" s="111"/>
      <c r="BO323" s="111"/>
      <c r="BP323" s="111"/>
      <c r="BQ323" s="111"/>
      <c r="BR323" s="111"/>
      <c r="BS323" s="111">
        <v>410010201</v>
      </c>
      <c r="BT323" s="111"/>
      <c r="BU323" s="111"/>
      <c r="BV323" s="111"/>
      <c r="BW323" s="111"/>
      <c r="BX323" s="111"/>
      <c r="BY323" s="113"/>
    </row>
    <row r="324" spans="1:77" s="8" customFormat="1" x14ac:dyDescent="0.15">
      <c r="A324" s="104">
        <v>410010012</v>
      </c>
      <c r="B324" s="127" t="s">
        <v>416</v>
      </c>
      <c r="C324" s="106" t="s">
        <v>129</v>
      </c>
      <c r="D324" s="106"/>
      <c r="E324" s="106" t="s">
        <v>78</v>
      </c>
      <c r="F324" s="106"/>
      <c r="G324" s="106"/>
      <c r="H324" s="106"/>
      <c r="I324" s="106"/>
      <c r="J324" s="108"/>
      <c r="K324" s="108"/>
      <c r="L324" s="108"/>
      <c r="M324" s="108"/>
      <c r="N324" s="108"/>
      <c r="O324" s="106" t="s">
        <v>79</v>
      </c>
      <c r="P324" s="109" t="s">
        <v>102</v>
      </c>
      <c r="Q324" s="109">
        <v>150</v>
      </c>
      <c r="R324" s="109"/>
      <c r="S324" s="111"/>
      <c r="T324" s="109"/>
      <c r="U324" s="111">
        <v>10000</v>
      </c>
      <c r="V324" s="109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  <c r="BJ324" s="111"/>
      <c r="BK324" s="111"/>
      <c r="BL324" s="111"/>
      <c r="BM324" s="111"/>
      <c r="BN324" s="111"/>
      <c r="BO324" s="111"/>
      <c r="BP324" s="111"/>
      <c r="BQ324" s="111"/>
      <c r="BR324" s="111"/>
      <c r="BS324" s="111"/>
      <c r="BT324" s="111"/>
      <c r="BU324" s="111"/>
      <c r="BV324" s="111"/>
      <c r="BW324" s="111"/>
      <c r="BX324" s="111"/>
      <c r="BY324" s="113"/>
    </row>
    <row r="325" spans="1:77" s="8" customFormat="1" x14ac:dyDescent="0.15">
      <c r="A325" s="104">
        <v>412001011</v>
      </c>
      <c r="B325" s="107" t="s">
        <v>417</v>
      </c>
      <c r="C325" s="106" t="s">
        <v>77</v>
      </c>
      <c r="D325" s="106"/>
      <c r="E325" s="106" t="s">
        <v>78</v>
      </c>
      <c r="F325" s="106"/>
      <c r="G325" s="106"/>
      <c r="H325" s="106"/>
      <c r="I325" s="106"/>
      <c r="J325" s="108"/>
      <c r="K325" s="108"/>
      <c r="L325" s="108"/>
      <c r="M325" s="108"/>
      <c r="N325" s="108"/>
      <c r="O325" s="106" t="s">
        <v>79</v>
      </c>
      <c r="P325" s="109" t="s">
        <v>80</v>
      </c>
      <c r="Q325" s="109"/>
      <c r="R325" s="109">
        <v>10000</v>
      </c>
      <c r="S325" s="111"/>
      <c r="T325" s="116"/>
      <c r="U325" s="111"/>
      <c r="V325" s="109" t="s">
        <v>81</v>
      </c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 t="s">
        <v>90</v>
      </c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>
        <v>112001201</v>
      </c>
      <c r="AY325" s="111">
        <v>112001101</v>
      </c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  <c r="BJ325" s="111"/>
      <c r="BK325" s="111"/>
      <c r="BL325" s="111"/>
      <c r="BM325" s="111"/>
      <c r="BN325" s="111"/>
      <c r="BO325" s="111"/>
      <c r="BP325" s="111"/>
      <c r="BQ325" s="111"/>
      <c r="BR325" s="111"/>
      <c r="BS325" s="111"/>
      <c r="BT325" s="111"/>
      <c r="BU325" s="111"/>
      <c r="BV325" s="111"/>
      <c r="BW325" s="111"/>
      <c r="BX325" s="111"/>
      <c r="BY325" s="113"/>
    </row>
    <row r="326" spans="1:77" s="8" customFormat="1" x14ac:dyDescent="0.15">
      <c r="A326" s="104">
        <v>412001012</v>
      </c>
      <c r="B326" s="107" t="s">
        <v>418</v>
      </c>
      <c r="C326" s="106" t="s">
        <v>77</v>
      </c>
      <c r="D326" s="106"/>
      <c r="E326" s="106" t="s">
        <v>83</v>
      </c>
      <c r="F326" s="106">
        <v>30000</v>
      </c>
      <c r="G326" s="106"/>
      <c r="H326" s="106"/>
      <c r="I326" s="106"/>
      <c r="J326" s="108"/>
      <c r="K326" s="108"/>
      <c r="L326" s="108"/>
      <c r="M326" s="108" t="s">
        <v>101</v>
      </c>
      <c r="N326" s="108"/>
      <c r="O326" s="106" t="s">
        <v>79</v>
      </c>
      <c r="P326" s="109" t="s">
        <v>80</v>
      </c>
      <c r="Q326" s="109"/>
      <c r="R326" s="109">
        <v>3000</v>
      </c>
      <c r="S326" s="111"/>
      <c r="T326" s="116"/>
      <c r="U326" s="111"/>
      <c r="V326" s="109" t="s">
        <v>81</v>
      </c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 t="s">
        <v>90</v>
      </c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>
        <v>112001201</v>
      </c>
      <c r="AY326" s="111">
        <v>112001101</v>
      </c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  <c r="BJ326" s="111"/>
      <c r="BK326" s="111"/>
      <c r="BL326" s="111"/>
      <c r="BM326" s="111"/>
      <c r="BN326" s="111"/>
      <c r="BO326" s="111"/>
      <c r="BP326" s="111"/>
      <c r="BQ326" s="111"/>
      <c r="BR326" s="111"/>
      <c r="BS326" s="111"/>
      <c r="BT326" s="111"/>
      <c r="BU326" s="111"/>
      <c r="BV326" s="111"/>
      <c r="BW326" s="111"/>
      <c r="BX326" s="111"/>
      <c r="BY326" s="113"/>
    </row>
    <row r="327" spans="1:77" s="8" customFormat="1" x14ac:dyDescent="0.15">
      <c r="A327" s="114">
        <v>415001011</v>
      </c>
      <c r="B327" s="107" t="s">
        <v>419</v>
      </c>
      <c r="C327" s="106" t="s">
        <v>77</v>
      </c>
      <c r="D327" s="106"/>
      <c r="E327" s="106" t="s">
        <v>78</v>
      </c>
      <c r="F327" s="106"/>
      <c r="G327" s="106"/>
      <c r="H327" s="106"/>
      <c r="I327" s="106"/>
      <c r="J327" s="108"/>
      <c r="K327" s="108"/>
      <c r="L327" s="108"/>
      <c r="M327" s="108"/>
      <c r="N327" s="108"/>
      <c r="O327" s="106" t="s">
        <v>79</v>
      </c>
      <c r="P327" s="109" t="s">
        <v>80</v>
      </c>
      <c r="Q327" s="109"/>
      <c r="R327" s="109">
        <v>10000</v>
      </c>
      <c r="S327" s="111"/>
      <c r="T327" s="116"/>
      <c r="U327" s="111"/>
      <c r="V327" s="109" t="s">
        <v>81</v>
      </c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  <c r="BJ327" s="111"/>
      <c r="BK327" s="111"/>
      <c r="BL327" s="111"/>
      <c r="BM327" s="111"/>
      <c r="BN327" s="111"/>
      <c r="BO327" s="111"/>
      <c r="BP327" s="111"/>
      <c r="BQ327" s="111"/>
      <c r="BR327" s="111"/>
      <c r="BS327" s="111"/>
      <c r="BT327" s="111"/>
      <c r="BU327" s="111"/>
      <c r="BV327" s="111"/>
      <c r="BW327" s="111"/>
      <c r="BX327" s="111"/>
      <c r="BY327" s="113"/>
    </row>
    <row r="328" spans="1:77" s="8" customFormat="1" x14ac:dyDescent="0.15">
      <c r="A328" s="104">
        <v>419300011</v>
      </c>
      <c r="B328" s="115" t="s">
        <v>420</v>
      </c>
      <c r="C328" s="106" t="s">
        <v>89</v>
      </c>
      <c r="D328" s="106"/>
      <c r="E328" s="109" t="s">
        <v>83</v>
      </c>
      <c r="F328" s="109">
        <v>20000</v>
      </c>
      <c r="G328" s="109"/>
      <c r="H328" s="109"/>
      <c r="I328" s="109"/>
      <c r="J328" s="128"/>
      <c r="K328" s="128"/>
      <c r="L328" s="128"/>
      <c r="M328" s="128"/>
      <c r="N328" s="128"/>
      <c r="O328" s="106" t="s">
        <v>98</v>
      </c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>
        <v>12030001</v>
      </c>
      <c r="AF328" s="109"/>
      <c r="AG328" s="109"/>
      <c r="AH328" s="109"/>
      <c r="AI328" s="109"/>
      <c r="AJ328" s="109"/>
      <c r="AK328" s="109"/>
      <c r="AL328" s="109"/>
      <c r="AM328" s="109"/>
      <c r="AN328" s="109"/>
      <c r="AO328" s="109"/>
      <c r="AP328" s="109"/>
      <c r="AQ328" s="109"/>
      <c r="AR328" s="109"/>
      <c r="AS328" s="109"/>
      <c r="AT328" s="109"/>
      <c r="AU328" s="109"/>
      <c r="AV328" s="109"/>
      <c r="AW328" s="109"/>
      <c r="AX328" s="109"/>
      <c r="AY328" s="109"/>
      <c r="AZ328" s="109"/>
      <c r="BA328" s="109"/>
      <c r="BB328" s="109"/>
      <c r="BC328" s="109"/>
      <c r="BD328" s="109"/>
      <c r="BE328" s="109"/>
      <c r="BF328" s="109"/>
      <c r="BG328" s="109"/>
      <c r="BH328" s="109"/>
      <c r="BI328" s="109"/>
      <c r="BJ328" s="109"/>
      <c r="BK328" s="109"/>
      <c r="BL328" s="109"/>
      <c r="BM328" s="109"/>
      <c r="BN328" s="109"/>
      <c r="BO328" s="109"/>
      <c r="BP328" s="109"/>
      <c r="BQ328" s="109"/>
      <c r="BR328" s="109"/>
      <c r="BS328" s="109"/>
      <c r="BT328" s="109"/>
      <c r="BU328" s="109"/>
      <c r="BV328" s="109"/>
      <c r="BW328" s="109"/>
      <c r="BX328" s="109"/>
      <c r="BY328" s="136"/>
    </row>
    <row r="329" spans="1:77" s="8" customFormat="1" x14ac:dyDescent="0.15">
      <c r="A329" s="104">
        <v>419300012</v>
      </c>
      <c r="B329" s="115" t="s">
        <v>290</v>
      </c>
      <c r="C329" s="106" t="s">
        <v>89</v>
      </c>
      <c r="D329" s="106"/>
      <c r="E329" s="109" t="s">
        <v>78</v>
      </c>
      <c r="F329" s="109"/>
      <c r="G329" s="109"/>
      <c r="H329" s="109"/>
      <c r="I329" s="109"/>
      <c r="J329" s="128"/>
      <c r="K329" s="128"/>
      <c r="L329" s="128"/>
      <c r="M329" s="128"/>
      <c r="N329" s="128"/>
      <c r="O329" s="106" t="s">
        <v>90</v>
      </c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>
        <v>120300101</v>
      </c>
      <c r="AD329" s="109">
        <v>120300101</v>
      </c>
      <c r="AE329" s="109"/>
      <c r="AF329" s="109"/>
      <c r="AG329" s="109"/>
      <c r="AH329" s="109"/>
      <c r="AI329" s="109"/>
      <c r="AJ329" s="109"/>
      <c r="AK329" s="109"/>
      <c r="AL329" s="109"/>
      <c r="AM329" s="109"/>
      <c r="AN329" s="109"/>
      <c r="AO329" s="109"/>
      <c r="AP329" s="109"/>
      <c r="AQ329" s="109"/>
      <c r="AR329" s="109"/>
      <c r="AS329" s="109"/>
      <c r="AT329" s="109"/>
      <c r="AU329" s="109"/>
      <c r="AV329" s="109"/>
      <c r="AW329" s="109"/>
      <c r="AX329" s="109"/>
      <c r="AY329" s="109"/>
      <c r="AZ329" s="109"/>
      <c r="BA329" s="109"/>
      <c r="BB329" s="109"/>
      <c r="BC329" s="109"/>
      <c r="BD329" s="109"/>
      <c r="BE329" s="109"/>
      <c r="BF329" s="109"/>
      <c r="BG329" s="109"/>
      <c r="BH329" s="109"/>
      <c r="BI329" s="109"/>
      <c r="BJ329" s="109"/>
      <c r="BK329" s="109"/>
      <c r="BL329" s="109"/>
      <c r="BM329" s="109"/>
      <c r="BN329" s="109"/>
      <c r="BO329" s="109"/>
      <c r="BP329" s="109"/>
      <c r="BQ329" s="109"/>
      <c r="BR329" s="109"/>
      <c r="BS329" s="109"/>
      <c r="BT329" s="109"/>
      <c r="BU329" s="109"/>
      <c r="BV329" s="109"/>
      <c r="BW329" s="109"/>
      <c r="BX329" s="109"/>
      <c r="BY329" s="136"/>
    </row>
    <row r="330" spans="1:77" s="8" customFormat="1" x14ac:dyDescent="0.15">
      <c r="A330" s="148">
        <v>1000200011</v>
      </c>
      <c r="B330" s="149" t="s">
        <v>421</v>
      </c>
      <c r="C330" s="150" t="s">
        <v>89</v>
      </c>
      <c r="D330" s="148"/>
      <c r="E330" s="150" t="s">
        <v>78</v>
      </c>
      <c r="F330" s="148"/>
      <c r="G330" s="148"/>
      <c r="H330" s="148"/>
      <c r="I330" s="148"/>
      <c r="J330" s="161"/>
      <c r="K330" s="161"/>
      <c r="L330" s="161"/>
      <c r="M330" s="161"/>
      <c r="N330" s="161"/>
      <c r="O330" s="150" t="s">
        <v>90</v>
      </c>
      <c r="P330" s="150"/>
      <c r="Q330" s="150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148">
        <v>1000200101</v>
      </c>
      <c r="AD330" s="148">
        <v>1000200101</v>
      </c>
      <c r="AE330" s="148"/>
      <c r="AF330" s="148"/>
      <c r="AG330" s="148"/>
      <c r="AH330" s="148"/>
      <c r="AI330" s="148"/>
      <c r="AJ330" s="148"/>
      <c r="AK330" s="148"/>
      <c r="AL330" s="148"/>
      <c r="AM330" s="148"/>
      <c r="AN330" s="148"/>
      <c r="AO330" s="148"/>
      <c r="AP330" s="148"/>
      <c r="AQ330" s="148"/>
      <c r="AR330" s="148"/>
      <c r="AS330" s="148"/>
      <c r="AT330" s="148"/>
      <c r="AU330" s="148"/>
      <c r="AV330" s="148"/>
      <c r="AW330" s="148"/>
      <c r="AX330" s="148"/>
      <c r="AY330" s="148"/>
      <c r="AZ330" s="148"/>
      <c r="BA330" s="148"/>
      <c r="BB330" s="148"/>
      <c r="BC330" s="148"/>
      <c r="BD330" s="148"/>
      <c r="BE330" s="148"/>
      <c r="BF330" s="148"/>
      <c r="BG330" s="148"/>
      <c r="BH330" s="148"/>
      <c r="BI330" s="148"/>
      <c r="BJ330" s="148"/>
      <c r="BK330" s="148"/>
      <c r="BL330" s="148"/>
      <c r="BM330" s="148"/>
      <c r="BN330" s="148"/>
      <c r="BO330" s="148"/>
      <c r="BP330" s="148"/>
      <c r="BQ330" s="148"/>
      <c r="BR330" s="148"/>
      <c r="BS330" s="148"/>
      <c r="BT330" s="148"/>
      <c r="BU330" s="148"/>
      <c r="BV330" s="148"/>
      <c r="BW330" s="148"/>
      <c r="BX330" s="148"/>
      <c r="BY330" s="170"/>
    </row>
    <row r="331" spans="1:77" s="8" customFormat="1" x14ac:dyDescent="0.15">
      <c r="A331" s="148">
        <v>1000300011</v>
      </c>
      <c r="B331" s="149" t="s">
        <v>422</v>
      </c>
      <c r="C331" s="150" t="s">
        <v>89</v>
      </c>
      <c r="D331" s="148"/>
      <c r="E331" s="150" t="s">
        <v>78</v>
      </c>
      <c r="F331" s="148"/>
      <c r="G331" s="148"/>
      <c r="H331" s="148"/>
      <c r="I331" s="148"/>
      <c r="J331" s="161"/>
      <c r="K331" s="161"/>
      <c r="L331" s="161"/>
      <c r="M331" s="161"/>
      <c r="N331" s="161"/>
      <c r="O331" s="150" t="s">
        <v>90</v>
      </c>
      <c r="P331" s="150"/>
      <c r="Q331" s="150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148">
        <v>1000300101</v>
      </c>
      <c r="AD331" s="148">
        <v>1000300101</v>
      </c>
      <c r="AE331" s="148"/>
      <c r="AF331" s="148"/>
      <c r="AG331" s="148"/>
      <c r="AH331" s="148"/>
      <c r="AI331" s="148"/>
      <c r="AJ331" s="148"/>
      <c r="AK331" s="148"/>
      <c r="AL331" s="148"/>
      <c r="AM331" s="148"/>
      <c r="AN331" s="148"/>
      <c r="AO331" s="148"/>
      <c r="AP331" s="148"/>
      <c r="AQ331" s="148"/>
      <c r="AR331" s="148"/>
      <c r="AS331" s="148"/>
      <c r="AT331" s="148"/>
      <c r="AU331" s="148"/>
      <c r="AV331" s="148"/>
      <c r="AW331" s="148"/>
      <c r="AX331" s="148"/>
      <c r="AY331" s="148"/>
      <c r="AZ331" s="148"/>
      <c r="BA331" s="148"/>
      <c r="BB331" s="148"/>
      <c r="BC331" s="148"/>
      <c r="BD331" s="148"/>
      <c r="BE331" s="148"/>
      <c r="BF331" s="148"/>
      <c r="BG331" s="148"/>
      <c r="BH331" s="148"/>
      <c r="BI331" s="148"/>
      <c r="BJ331" s="148"/>
      <c r="BK331" s="148"/>
      <c r="BL331" s="148"/>
      <c r="BM331" s="148"/>
      <c r="BN331" s="148"/>
      <c r="BO331" s="148"/>
      <c r="BP331" s="148"/>
      <c r="BQ331" s="148"/>
      <c r="BR331" s="148"/>
      <c r="BS331" s="148"/>
      <c r="BT331" s="148"/>
      <c r="BU331" s="148"/>
      <c r="BV331" s="148"/>
      <c r="BW331" s="148"/>
      <c r="BX331" s="148"/>
      <c r="BY331" s="170"/>
    </row>
    <row r="332" spans="1:77" s="14" customFormat="1" x14ac:dyDescent="0.15">
      <c r="A332" s="151">
        <v>1001001011</v>
      </c>
      <c r="B332" s="152" t="s">
        <v>423</v>
      </c>
      <c r="C332" s="153" t="s">
        <v>77</v>
      </c>
      <c r="D332" s="153"/>
      <c r="E332" s="153" t="s">
        <v>78</v>
      </c>
      <c r="F332" s="153"/>
      <c r="G332" s="153"/>
      <c r="H332" s="153"/>
      <c r="I332" s="153"/>
      <c r="J332" s="162"/>
      <c r="K332" s="162"/>
      <c r="L332" s="162"/>
      <c r="M332" s="162"/>
      <c r="N332" s="162"/>
      <c r="O332" s="153" t="s">
        <v>79</v>
      </c>
      <c r="P332" s="163" t="s">
        <v>80</v>
      </c>
      <c r="Q332" s="163"/>
      <c r="R332" s="163">
        <v>10000</v>
      </c>
      <c r="S332" s="163"/>
      <c r="T332" s="163">
        <v>10000</v>
      </c>
      <c r="U332" s="163"/>
      <c r="V332" s="163" t="s">
        <v>101</v>
      </c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3"/>
      <c r="AH332" s="163"/>
      <c r="AI332" s="163"/>
      <c r="AJ332" s="163"/>
      <c r="AK332" s="163"/>
      <c r="AL332" s="163"/>
      <c r="AM332" s="163"/>
      <c r="AN332" s="163"/>
      <c r="AO332" s="163"/>
      <c r="AP332" s="163"/>
      <c r="AQ332" s="163"/>
      <c r="AR332" s="163"/>
      <c r="AS332" s="163"/>
      <c r="AT332" s="163"/>
      <c r="AU332" s="163"/>
      <c r="AV332" s="163"/>
      <c r="AW332" s="163"/>
      <c r="AX332" s="163"/>
      <c r="AY332" s="163"/>
      <c r="AZ332" s="163"/>
      <c r="BA332" s="163"/>
      <c r="BB332" s="163"/>
      <c r="BC332" s="163"/>
      <c r="BD332" s="163"/>
      <c r="BE332" s="163"/>
      <c r="BF332" s="163"/>
      <c r="BG332" s="163"/>
      <c r="BH332" s="163"/>
      <c r="BI332" s="163"/>
      <c r="BJ332" s="163"/>
      <c r="BK332" s="163"/>
      <c r="BL332" s="163"/>
      <c r="BM332" s="163"/>
      <c r="BN332" s="163"/>
      <c r="BO332" s="163"/>
      <c r="BP332" s="163"/>
      <c r="BQ332" s="163"/>
      <c r="BR332" s="163"/>
      <c r="BS332" s="163"/>
      <c r="BT332" s="163"/>
      <c r="BU332" s="163"/>
      <c r="BV332" s="163"/>
      <c r="BW332" s="163"/>
      <c r="BX332" s="163"/>
      <c r="BY332" s="171"/>
    </row>
    <row r="333" spans="1:77" s="14" customFormat="1" x14ac:dyDescent="0.15">
      <c r="A333" s="151">
        <v>1001001012</v>
      </c>
      <c r="B333" s="152" t="s">
        <v>424</v>
      </c>
      <c r="C333" s="153" t="s">
        <v>77</v>
      </c>
      <c r="D333" s="153"/>
      <c r="E333" s="153" t="s">
        <v>425</v>
      </c>
      <c r="F333" s="153">
        <v>40000</v>
      </c>
      <c r="G333" s="153">
        <v>1200</v>
      </c>
      <c r="H333" s="153"/>
      <c r="I333" s="153"/>
      <c r="J333" s="162"/>
      <c r="K333" s="162"/>
      <c r="L333" s="162"/>
      <c r="M333" s="162"/>
      <c r="N333" s="162"/>
      <c r="O333" s="153" t="s">
        <v>79</v>
      </c>
      <c r="P333" s="163" t="s">
        <v>80</v>
      </c>
      <c r="Q333" s="163"/>
      <c r="R333" s="163">
        <v>5000</v>
      </c>
      <c r="S333" s="163"/>
      <c r="T333" s="163"/>
      <c r="U333" s="163"/>
      <c r="V333" s="163" t="s">
        <v>101</v>
      </c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3"/>
      <c r="AH333" s="163"/>
      <c r="AI333" s="163"/>
      <c r="AJ333" s="163"/>
      <c r="AK333" s="163"/>
      <c r="AL333" s="163"/>
      <c r="AM333" s="163"/>
      <c r="AN333" s="163"/>
      <c r="AO333" s="163"/>
      <c r="AP333" s="163"/>
      <c r="AQ333" s="163"/>
      <c r="AR333" s="163"/>
      <c r="AS333" s="163"/>
      <c r="AT333" s="163"/>
      <c r="AU333" s="163"/>
      <c r="AV333" s="163"/>
      <c r="AW333" s="163"/>
      <c r="AX333" s="163"/>
      <c r="AY333" s="163"/>
      <c r="AZ333" s="163"/>
      <c r="BA333" s="163"/>
      <c r="BB333" s="163"/>
      <c r="BC333" s="163"/>
      <c r="BD333" s="163"/>
      <c r="BE333" s="163"/>
      <c r="BF333" s="163"/>
      <c r="BG333" s="163"/>
      <c r="BH333" s="163"/>
      <c r="BI333" s="163"/>
      <c r="BJ333" s="163"/>
      <c r="BK333" s="163"/>
      <c r="BL333" s="163"/>
      <c r="BM333" s="163"/>
      <c r="BN333" s="163"/>
      <c r="BO333" s="163"/>
      <c r="BP333" s="163"/>
      <c r="BQ333" s="163"/>
      <c r="BR333" s="163"/>
      <c r="BS333" s="163"/>
      <c r="BT333" s="163"/>
      <c r="BU333" s="163"/>
      <c r="BV333" s="163"/>
      <c r="BW333" s="163"/>
      <c r="BX333" s="163"/>
      <c r="BY333" s="171"/>
    </row>
    <row r="334" spans="1:77" s="14" customFormat="1" x14ac:dyDescent="0.15">
      <c r="A334" s="151">
        <v>1001002011</v>
      </c>
      <c r="B334" s="152" t="s">
        <v>423</v>
      </c>
      <c r="C334" s="153" t="s">
        <v>77</v>
      </c>
      <c r="D334" s="153"/>
      <c r="E334" s="153" t="s">
        <v>78</v>
      </c>
      <c r="F334" s="153"/>
      <c r="G334" s="153"/>
      <c r="H334" s="153"/>
      <c r="I334" s="153"/>
      <c r="J334" s="162"/>
      <c r="K334" s="162"/>
      <c r="L334" s="162"/>
      <c r="M334" s="162"/>
      <c r="N334" s="162"/>
      <c r="O334" s="153" t="s">
        <v>79</v>
      </c>
      <c r="P334" s="163" t="s">
        <v>80</v>
      </c>
      <c r="Q334" s="163"/>
      <c r="R334" s="163">
        <v>10000</v>
      </c>
      <c r="S334" s="163"/>
      <c r="T334" s="163">
        <v>10000</v>
      </c>
      <c r="U334" s="163"/>
      <c r="V334" s="163" t="s">
        <v>101</v>
      </c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3"/>
      <c r="AH334" s="163"/>
      <c r="AI334" s="163"/>
      <c r="AJ334" s="163"/>
      <c r="AK334" s="163"/>
      <c r="AL334" s="163"/>
      <c r="AM334" s="163"/>
      <c r="AN334" s="163"/>
      <c r="AO334" s="163"/>
      <c r="AP334" s="163"/>
      <c r="AQ334" s="163"/>
      <c r="AR334" s="163"/>
      <c r="AS334" s="163"/>
      <c r="AT334" s="163"/>
      <c r="AU334" s="163"/>
      <c r="AV334" s="163"/>
      <c r="AW334" s="163"/>
      <c r="AX334" s="163"/>
      <c r="AY334" s="163"/>
      <c r="AZ334" s="163"/>
      <c r="BA334" s="163"/>
      <c r="BB334" s="163"/>
      <c r="BC334" s="163"/>
      <c r="BD334" s="163"/>
      <c r="BE334" s="163"/>
      <c r="BF334" s="163"/>
      <c r="BG334" s="163"/>
      <c r="BH334" s="163"/>
      <c r="BI334" s="163"/>
      <c r="BJ334" s="163"/>
      <c r="BK334" s="163"/>
      <c r="BL334" s="163"/>
      <c r="BM334" s="163"/>
      <c r="BN334" s="163"/>
      <c r="BO334" s="163"/>
      <c r="BP334" s="163"/>
      <c r="BQ334" s="163"/>
      <c r="BR334" s="163"/>
      <c r="BS334" s="163"/>
      <c r="BT334" s="163"/>
      <c r="BU334" s="163"/>
      <c r="BV334" s="163"/>
      <c r="BW334" s="163"/>
      <c r="BX334" s="163"/>
      <c r="BY334" s="171"/>
    </row>
    <row r="335" spans="1:77" s="14" customFormat="1" x14ac:dyDescent="0.15">
      <c r="A335" s="151">
        <v>1001002012</v>
      </c>
      <c r="B335" s="152" t="s">
        <v>426</v>
      </c>
      <c r="C335" s="153" t="s">
        <v>100</v>
      </c>
      <c r="D335" s="153"/>
      <c r="E335" s="153" t="s">
        <v>78</v>
      </c>
      <c r="F335" s="153"/>
      <c r="G335" s="153"/>
      <c r="H335" s="153"/>
      <c r="I335" s="153"/>
      <c r="J335" s="162"/>
      <c r="K335" s="162"/>
      <c r="L335" s="162"/>
      <c r="M335" s="162"/>
      <c r="N335" s="162"/>
      <c r="O335" s="163" t="s">
        <v>90</v>
      </c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>
        <v>100000201</v>
      </c>
      <c r="AD335" s="163">
        <v>100000101</v>
      </c>
      <c r="AE335" s="163"/>
      <c r="AF335" s="163"/>
      <c r="AG335" s="163"/>
      <c r="AH335" s="163"/>
      <c r="AI335" s="163"/>
      <c r="AJ335" s="153" t="s">
        <v>79</v>
      </c>
      <c r="AK335" s="163" t="s">
        <v>80</v>
      </c>
      <c r="AL335" s="163">
        <v>50</v>
      </c>
      <c r="AM335" s="163">
        <v>5000</v>
      </c>
      <c r="AN335" s="163"/>
      <c r="AO335" s="163">
        <v>10000</v>
      </c>
      <c r="AP335" s="163"/>
      <c r="AQ335" s="163" t="s">
        <v>81</v>
      </c>
      <c r="AR335" s="163"/>
      <c r="AS335" s="163"/>
      <c r="AT335" s="163"/>
      <c r="AU335" s="163"/>
      <c r="AV335" s="163"/>
      <c r="AW335" s="163"/>
      <c r="AX335" s="163"/>
      <c r="AY335" s="163"/>
      <c r="AZ335" s="163"/>
      <c r="BA335" s="163"/>
      <c r="BB335" s="163"/>
      <c r="BC335" s="163"/>
      <c r="BD335" s="163"/>
      <c r="BE335" s="163"/>
      <c r="BF335" s="163"/>
      <c r="BG335" s="163"/>
      <c r="BH335" s="163"/>
      <c r="BI335" s="163"/>
      <c r="BJ335" s="163"/>
      <c r="BK335" s="163"/>
      <c r="BL335" s="163"/>
      <c r="BM335" s="163"/>
      <c r="BN335" s="163"/>
      <c r="BO335" s="163"/>
      <c r="BP335" s="163"/>
      <c r="BQ335" s="163"/>
      <c r="BR335" s="163"/>
      <c r="BS335" s="163"/>
      <c r="BT335" s="163"/>
      <c r="BU335" s="163"/>
      <c r="BV335" s="163"/>
      <c r="BW335" s="163"/>
      <c r="BX335" s="163"/>
      <c r="BY335" s="171"/>
    </row>
    <row r="336" spans="1:77" s="14" customFormat="1" x14ac:dyDescent="0.15">
      <c r="A336" s="151">
        <v>1001003011</v>
      </c>
      <c r="B336" s="152" t="s">
        <v>427</v>
      </c>
      <c r="C336" s="153" t="s">
        <v>77</v>
      </c>
      <c r="D336" s="153"/>
      <c r="E336" s="153" t="s">
        <v>78</v>
      </c>
      <c r="F336" s="153"/>
      <c r="G336" s="153"/>
      <c r="H336" s="153"/>
      <c r="I336" s="153"/>
      <c r="J336" s="162"/>
      <c r="K336" s="162"/>
      <c r="L336" s="162"/>
      <c r="M336" s="162"/>
      <c r="N336" s="162"/>
      <c r="O336" s="153" t="s">
        <v>79</v>
      </c>
      <c r="P336" s="163" t="s">
        <v>80</v>
      </c>
      <c r="Q336" s="163"/>
      <c r="R336" s="163">
        <v>10000</v>
      </c>
      <c r="S336" s="163"/>
      <c r="T336" s="163">
        <v>10000</v>
      </c>
      <c r="U336" s="163"/>
      <c r="V336" s="163" t="s">
        <v>101</v>
      </c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3"/>
      <c r="AH336" s="163"/>
      <c r="AI336" s="163"/>
      <c r="AJ336" s="163"/>
      <c r="AK336" s="163"/>
      <c r="AL336" s="163"/>
      <c r="AM336" s="163"/>
      <c r="AN336" s="163"/>
      <c r="AO336" s="163"/>
      <c r="AP336" s="163"/>
      <c r="AQ336" s="163"/>
      <c r="AR336" s="163"/>
      <c r="AS336" s="163"/>
      <c r="AT336" s="163"/>
      <c r="AU336" s="163"/>
      <c r="AV336" s="163"/>
      <c r="AW336" s="163"/>
      <c r="AX336" s="163"/>
      <c r="AY336" s="163"/>
      <c r="AZ336" s="163"/>
      <c r="BA336" s="163"/>
      <c r="BB336" s="163"/>
      <c r="BC336" s="163"/>
      <c r="BD336" s="163"/>
      <c r="BE336" s="163"/>
      <c r="BF336" s="163"/>
      <c r="BG336" s="163"/>
      <c r="BH336" s="163"/>
      <c r="BI336" s="163"/>
      <c r="BJ336" s="163"/>
      <c r="BK336" s="163"/>
      <c r="BL336" s="163"/>
      <c r="BM336" s="163"/>
      <c r="BN336" s="163"/>
      <c r="BO336" s="163"/>
      <c r="BP336" s="163"/>
      <c r="BQ336" s="163"/>
      <c r="BR336" s="163"/>
      <c r="BS336" s="163"/>
      <c r="BT336" s="163"/>
      <c r="BU336" s="163"/>
      <c r="BV336" s="163"/>
      <c r="BW336" s="163"/>
      <c r="BX336" s="163"/>
      <c r="BY336" s="171"/>
    </row>
    <row r="337" spans="1:77" s="14" customFormat="1" x14ac:dyDescent="0.15">
      <c r="A337" s="151">
        <v>1001010011</v>
      </c>
      <c r="B337" s="152" t="s">
        <v>428</v>
      </c>
      <c r="C337" s="153" t="s">
        <v>100</v>
      </c>
      <c r="D337" s="153"/>
      <c r="E337" s="153" t="s">
        <v>83</v>
      </c>
      <c r="F337" s="153">
        <v>30000</v>
      </c>
      <c r="G337" s="153"/>
      <c r="H337" s="153"/>
      <c r="I337" s="153"/>
      <c r="J337" s="162"/>
      <c r="K337" s="162"/>
      <c r="L337" s="162"/>
      <c r="M337" s="162" t="s">
        <v>101</v>
      </c>
      <c r="N337" s="162" t="s">
        <v>842</v>
      </c>
      <c r="O337" s="153" t="s">
        <v>79</v>
      </c>
      <c r="P337" s="163" t="s">
        <v>80</v>
      </c>
      <c r="Q337" s="163">
        <v>180</v>
      </c>
      <c r="R337" s="169">
        <v>4500</v>
      </c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3"/>
      <c r="AH337" s="163"/>
      <c r="AI337" s="163"/>
      <c r="AJ337" s="153" t="s">
        <v>90</v>
      </c>
      <c r="AK337" s="163"/>
      <c r="AL337" s="163"/>
      <c r="AM337" s="163"/>
      <c r="AN337" s="151"/>
      <c r="AO337" s="151"/>
      <c r="AP337" s="151"/>
      <c r="AQ337" s="163"/>
      <c r="AR337" s="151"/>
      <c r="AS337" s="151"/>
      <c r="AT337" s="151"/>
      <c r="AU337" s="151"/>
      <c r="AV337" s="151"/>
      <c r="AW337" s="151"/>
      <c r="AX337" s="163">
        <v>100000401</v>
      </c>
      <c r="AY337" s="163">
        <v>100000201</v>
      </c>
      <c r="AZ337" s="163"/>
      <c r="BA337" s="163"/>
      <c r="BB337" s="163"/>
      <c r="BC337" s="163"/>
      <c r="BD337" s="163"/>
      <c r="BE337" s="163"/>
      <c r="BF337" s="163"/>
      <c r="BG337" s="163"/>
      <c r="BH337" s="163"/>
      <c r="BI337" s="163"/>
      <c r="BJ337" s="163"/>
      <c r="BK337" s="163"/>
      <c r="BL337" s="163"/>
      <c r="BM337" s="163"/>
      <c r="BN337" s="163"/>
      <c r="BO337" s="163"/>
      <c r="BP337" s="163"/>
      <c r="BQ337" s="163"/>
      <c r="BR337" s="163"/>
      <c r="BS337" s="163"/>
      <c r="BT337" s="163"/>
      <c r="BU337" s="163"/>
      <c r="BV337" s="163"/>
      <c r="BW337" s="163"/>
      <c r="BX337" s="163"/>
      <c r="BY337" s="171"/>
    </row>
    <row r="338" spans="1:77" s="14" customFormat="1" x14ac:dyDescent="0.15">
      <c r="A338" s="151">
        <v>1001010021</v>
      </c>
      <c r="B338" s="152" t="s">
        <v>428</v>
      </c>
      <c r="C338" s="153" t="s">
        <v>100</v>
      </c>
      <c r="D338" s="153"/>
      <c r="E338" s="153" t="s">
        <v>83</v>
      </c>
      <c r="F338" s="153">
        <v>30000</v>
      </c>
      <c r="G338" s="153"/>
      <c r="H338" s="153"/>
      <c r="I338" s="153"/>
      <c r="J338" s="162"/>
      <c r="K338" s="162"/>
      <c r="L338" s="162"/>
      <c r="M338" s="162" t="s">
        <v>101</v>
      </c>
      <c r="N338" s="162" t="s">
        <v>842</v>
      </c>
      <c r="O338" s="153" t="s">
        <v>79</v>
      </c>
      <c r="P338" s="163" t="s">
        <v>80</v>
      </c>
      <c r="Q338" s="163">
        <v>260</v>
      </c>
      <c r="R338" s="169">
        <v>4500</v>
      </c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3"/>
      <c r="AH338" s="163"/>
      <c r="AI338" s="163"/>
      <c r="AJ338" s="153" t="s">
        <v>90</v>
      </c>
      <c r="AK338" s="163"/>
      <c r="AL338" s="163"/>
      <c r="AM338" s="163"/>
      <c r="AN338" s="151"/>
      <c r="AO338" s="151"/>
      <c r="AP338" s="151"/>
      <c r="AQ338" s="163"/>
      <c r="AR338" s="151"/>
      <c r="AS338" s="151"/>
      <c r="AT338" s="151"/>
      <c r="AU338" s="151"/>
      <c r="AV338" s="151"/>
      <c r="AW338" s="151"/>
      <c r="AX338" s="163">
        <v>100000401</v>
      </c>
      <c r="AY338" s="163">
        <v>100000201</v>
      </c>
      <c r="AZ338" s="163"/>
      <c r="BA338" s="163"/>
      <c r="BB338" s="163"/>
      <c r="BC338" s="163"/>
      <c r="BD338" s="163"/>
      <c r="BE338" s="163"/>
      <c r="BF338" s="163"/>
      <c r="BG338" s="163"/>
      <c r="BH338" s="163"/>
      <c r="BI338" s="163"/>
      <c r="BJ338" s="163"/>
      <c r="BK338" s="163"/>
      <c r="BL338" s="163"/>
      <c r="BM338" s="163"/>
      <c r="BN338" s="163"/>
      <c r="BO338" s="163"/>
      <c r="BP338" s="163"/>
      <c r="BQ338" s="163"/>
      <c r="BR338" s="163"/>
      <c r="BS338" s="163"/>
      <c r="BT338" s="163"/>
      <c r="BU338" s="163"/>
      <c r="BV338" s="163"/>
      <c r="BW338" s="163"/>
      <c r="BX338" s="163"/>
      <c r="BY338" s="171"/>
    </row>
    <row r="339" spans="1:77" s="14" customFormat="1" x14ac:dyDescent="0.15">
      <c r="A339" s="151">
        <v>1001010031</v>
      </c>
      <c r="B339" s="152" t="s">
        <v>428</v>
      </c>
      <c r="C339" s="153" t="s">
        <v>100</v>
      </c>
      <c r="D339" s="153"/>
      <c r="E339" s="153" t="s">
        <v>83</v>
      </c>
      <c r="F339" s="153">
        <v>30000</v>
      </c>
      <c r="G339" s="153"/>
      <c r="H339" s="153"/>
      <c r="I339" s="153"/>
      <c r="J339" s="162"/>
      <c r="K339" s="162"/>
      <c r="L339" s="162"/>
      <c r="M339" s="162" t="s">
        <v>101</v>
      </c>
      <c r="N339" s="162" t="s">
        <v>842</v>
      </c>
      <c r="O339" s="153" t="s">
        <v>79</v>
      </c>
      <c r="P339" s="163" t="s">
        <v>80</v>
      </c>
      <c r="Q339" s="163">
        <v>340</v>
      </c>
      <c r="R339" s="169">
        <v>4500</v>
      </c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  <c r="AG339" s="163"/>
      <c r="AH339" s="163"/>
      <c r="AI339" s="163"/>
      <c r="AJ339" s="153" t="s">
        <v>90</v>
      </c>
      <c r="AK339" s="163"/>
      <c r="AL339" s="163"/>
      <c r="AM339" s="163"/>
      <c r="AN339" s="151"/>
      <c r="AO339" s="151"/>
      <c r="AP339" s="151"/>
      <c r="AQ339" s="163"/>
      <c r="AR339" s="151"/>
      <c r="AS339" s="151"/>
      <c r="AT339" s="151"/>
      <c r="AU339" s="151"/>
      <c r="AV339" s="151"/>
      <c r="AW339" s="151"/>
      <c r="AX339" s="163">
        <v>100000401</v>
      </c>
      <c r="AY339" s="163">
        <v>100000201</v>
      </c>
      <c r="AZ339" s="163"/>
      <c r="BA339" s="163"/>
      <c r="BB339" s="163"/>
      <c r="BC339" s="163"/>
      <c r="BD339" s="163"/>
      <c r="BE339" s="163"/>
      <c r="BF339" s="163"/>
      <c r="BG339" s="163"/>
      <c r="BH339" s="163"/>
      <c r="BI339" s="163"/>
      <c r="BJ339" s="163"/>
      <c r="BK339" s="163"/>
      <c r="BL339" s="163"/>
      <c r="BM339" s="163"/>
      <c r="BN339" s="163"/>
      <c r="BO339" s="163"/>
      <c r="BP339" s="163"/>
      <c r="BQ339" s="163"/>
      <c r="BR339" s="163"/>
      <c r="BS339" s="163"/>
      <c r="BT339" s="163"/>
      <c r="BU339" s="163"/>
      <c r="BV339" s="163"/>
      <c r="BW339" s="163"/>
      <c r="BX339" s="163"/>
      <c r="BY339" s="171"/>
    </row>
    <row r="340" spans="1:77" s="14" customFormat="1" x14ac:dyDescent="0.15">
      <c r="A340" s="151">
        <v>1001010041</v>
      </c>
      <c r="B340" s="152" t="s">
        <v>428</v>
      </c>
      <c r="C340" s="153" t="s">
        <v>100</v>
      </c>
      <c r="D340" s="153"/>
      <c r="E340" s="153" t="s">
        <v>83</v>
      </c>
      <c r="F340" s="153">
        <v>30000</v>
      </c>
      <c r="G340" s="153"/>
      <c r="H340" s="153"/>
      <c r="I340" s="153"/>
      <c r="J340" s="162"/>
      <c r="K340" s="162"/>
      <c r="L340" s="162"/>
      <c r="M340" s="162" t="s">
        <v>101</v>
      </c>
      <c r="N340" s="162" t="s">
        <v>842</v>
      </c>
      <c r="O340" s="153" t="s">
        <v>79</v>
      </c>
      <c r="P340" s="163" t="s">
        <v>80</v>
      </c>
      <c r="Q340" s="163">
        <v>420</v>
      </c>
      <c r="R340" s="169">
        <v>4500</v>
      </c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  <c r="AG340" s="163"/>
      <c r="AH340" s="163"/>
      <c r="AI340" s="163"/>
      <c r="AJ340" s="153" t="s">
        <v>90</v>
      </c>
      <c r="AK340" s="163"/>
      <c r="AL340" s="163"/>
      <c r="AM340" s="163"/>
      <c r="AN340" s="151"/>
      <c r="AO340" s="151"/>
      <c r="AP340" s="151"/>
      <c r="AQ340" s="163"/>
      <c r="AR340" s="151"/>
      <c r="AS340" s="151"/>
      <c r="AT340" s="151"/>
      <c r="AU340" s="151"/>
      <c r="AV340" s="151"/>
      <c r="AW340" s="151"/>
      <c r="AX340" s="163">
        <v>100000401</v>
      </c>
      <c r="AY340" s="163">
        <v>100000201</v>
      </c>
      <c r="AZ340" s="163"/>
      <c r="BA340" s="163"/>
      <c r="BB340" s="163"/>
      <c r="BC340" s="163"/>
      <c r="BD340" s="163"/>
      <c r="BE340" s="163"/>
      <c r="BF340" s="163"/>
      <c r="BG340" s="163"/>
      <c r="BH340" s="163"/>
      <c r="BI340" s="163"/>
      <c r="BJ340" s="163"/>
      <c r="BK340" s="163"/>
      <c r="BL340" s="163"/>
      <c r="BM340" s="163"/>
      <c r="BN340" s="163"/>
      <c r="BO340" s="163"/>
      <c r="BP340" s="163"/>
      <c r="BQ340" s="163"/>
      <c r="BR340" s="163"/>
      <c r="BS340" s="163"/>
      <c r="BT340" s="163"/>
      <c r="BU340" s="163"/>
      <c r="BV340" s="163"/>
      <c r="BW340" s="163"/>
      <c r="BX340" s="163"/>
      <c r="BY340" s="171"/>
    </row>
    <row r="341" spans="1:77" s="14" customFormat="1" x14ac:dyDescent="0.15">
      <c r="A341" s="151">
        <v>1001020011</v>
      </c>
      <c r="B341" s="152" t="s">
        <v>429</v>
      </c>
      <c r="C341" s="153" t="s">
        <v>100</v>
      </c>
      <c r="D341" s="153"/>
      <c r="E341" s="153" t="s">
        <v>83</v>
      </c>
      <c r="F341" s="153">
        <v>80000</v>
      </c>
      <c r="G341" s="153"/>
      <c r="H341" s="153"/>
      <c r="I341" s="153"/>
      <c r="J341" s="162"/>
      <c r="K341" s="162"/>
      <c r="L341" s="162"/>
      <c r="M341" s="162" t="s">
        <v>101</v>
      </c>
      <c r="N341" s="162" t="s">
        <v>842</v>
      </c>
      <c r="O341" s="153" t="s">
        <v>79</v>
      </c>
      <c r="P341" s="163" t="s">
        <v>80</v>
      </c>
      <c r="Q341" s="163">
        <v>130</v>
      </c>
      <c r="R341" s="169">
        <v>2500</v>
      </c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  <c r="AG341" s="163"/>
      <c r="AH341" s="163"/>
      <c r="AI341" s="163"/>
      <c r="AJ341" s="163" t="s">
        <v>90</v>
      </c>
      <c r="AK341" s="163"/>
      <c r="AL341" s="163"/>
      <c r="AM341" s="163"/>
      <c r="AN341" s="163"/>
      <c r="AO341" s="163"/>
      <c r="AP341" s="163"/>
      <c r="AQ341" s="163"/>
      <c r="AR341" s="163"/>
      <c r="AS341" s="163"/>
      <c r="AT341" s="163"/>
      <c r="AU341" s="163"/>
      <c r="AV341" s="163"/>
      <c r="AW341" s="163"/>
      <c r="AX341" s="163">
        <v>1001020101</v>
      </c>
      <c r="AY341" s="163">
        <v>1001020201</v>
      </c>
      <c r="AZ341" s="163"/>
      <c r="BA341" s="163"/>
      <c r="BB341" s="163"/>
      <c r="BC341" s="163"/>
      <c r="BD341" s="163"/>
      <c r="BE341" s="163"/>
      <c r="BF341" s="163"/>
      <c r="BG341" s="163"/>
      <c r="BH341" s="163"/>
      <c r="BI341" s="163"/>
      <c r="BJ341" s="163"/>
      <c r="BK341" s="163"/>
      <c r="BL341" s="163"/>
      <c r="BM341" s="163"/>
      <c r="BN341" s="163"/>
      <c r="BO341" s="163"/>
      <c r="BP341" s="163"/>
      <c r="BQ341" s="163"/>
      <c r="BR341" s="163"/>
      <c r="BS341" s="163"/>
      <c r="BT341" s="163"/>
      <c r="BU341" s="163"/>
      <c r="BV341" s="163"/>
      <c r="BW341" s="163"/>
      <c r="BX341" s="163"/>
      <c r="BY341" s="171"/>
    </row>
    <row r="342" spans="1:77" s="14" customFormat="1" x14ac:dyDescent="0.15">
      <c r="A342" s="151">
        <v>1001020021</v>
      </c>
      <c r="B342" s="152" t="s">
        <v>429</v>
      </c>
      <c r="C342" s="153" t="s">
        <v>100</v>
      </c>
      <c r="D342" s="153"/>
      <c r="E342" s="153" t="s">
        <v>83</v>
      </c>
      <c r="F342" s="153">
        <v>80000</v>
      </c>
      <c r="G342" s="153"/>
      <c r="H342" s="153"/>
      <c r="I342" s="153"/>
      <c r="J342" s="162"/>
      <c r="K342" s="162"/>
      <c r="L342" s="162"/>
      <c r="M342" s="162" t="s">
        <v>101</v>
      </c>
      <c r="N342" s="162" t="s">
        <v>842</v>
      </c>
      <c r="O342" s="153" t="s">
        <v>79</v>
      </c>
      <c r="P342" s="163" t="s">
        <v>80</v>
      </c>
      <c r="Q342" s="163">
        <v>180</v>
      </c>
      <c r="R342" s="169">
        <v>2500</v>
      </c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3"/>
      <c r="AH342" s="163"/>
      <c r="AI342" s="163"/>
      <c r="AJ342" s="163" t="s">
        <v>90</v>
      </c>
      <c r="AK342" s="163"/>
      <c r="AL342" s="163"/>
      <c r="AM342" s="163"/>
      <c r="AN342" s="163"/>
      <c r="AO342" s="163"/>
      <c r="AP342" s="163"/>
      <c r="AQ342" s="163"/>
      <c r="AR342" s="163"/>
      <c r="AS342" s="163"/>
      <c r="AT342" s="163"/>
      <c r="AU342" s="163"/>
      <c r="AV342" s="163"/>
      <c r="AW342" s="163"/>
      <c r="AX342" s="163">
        <v>1001020101</v>
      </c>
      <c r="AY342" s="163">
        <v>1001020201</v>
      </c>
      <c r="AZ342" s="163"/>
      <c r="BA342" s="163"/>
      <c r="BB342" s="163"/>
      <c r="BC342" s="163"/>
      <c r="BD342" s="163"/>
      <c r="BE342" s="163"/>
      <c r="BF342" s="163"/>
      <c r="BG342" s="163"/>
      <c r="BH342" s="163"/>
      <c r="BI342" s="163"/>
      <c r="BJ342" s="163"/>
      <c r="BK342" s="163"/>
      <c r="BL342" s="163"/>
      <c r="BM342" s="163"/>
      <c r="BN342" s="163"/>
      <c r="BO342" s="163"/>
      <c r="BP342" s="163"/>
      <c r="BQ342" s="163"/>
      <c r="BR342" s="163"/>
      <c r="BS342" s="163"/>
      <c r="BT342" s="163"/>
      <c r="BU342" s="163"/>
      <c r="BV342" s="163"/>
      <c r="BW342" s="163"/>
      <c r="BX342" s="163"/>
      <c r="BY342" s="171"/>
    </row>
    <row r="343" spans="1:77" s="14" customFormat="1" x14ac:dyDescent="0.15">
      <c r="A343" s="151">
        <v>1001020031</v>
      </c>
      <c r="B343" s="152" t="s">
        <v>429</v>
      </c>
      <c r="C343" s="153" t="s">
        <v>100</v>
      </c>
      <c r="D343" s="153"/>
      <c r="E343" s="153" t="s">
        <v>83</v>
      </c>
      <c r="F343" s="153">
        <v>80000</v>
      </c>
      <c r="G343" s="153"/>
      <c r="H343" s="153"/>
      <c r="I343" s="153"/>
      <c r="J343" s="162"/>
      <c r="K343" s="162"/>
      <c r="L343" s="162"/>
      <c r="M343" s="162" t="s">
        <v>101</v>
      </c>
      <c r="N343" s="162" t="s">
        <v>842</v>
      </c>
      <c r="O343" s="153" t="s">
        <v>79</v>
      </c>
      <c r="P343" s="163" t="s">
        <v>80</v>
      </c>
      <c r="Q343" s="163">
        <v>230</v>
      </c>
      <c r="R343" s="169">
        <v>2500</v>
      </c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  <c r="AG343" s="163"/>
      <c r="AH343" s="163"/>
      <c r="AI343" s="163"/>
      <c r="AJ343" s="163" t="s">
        <v>90</v>
      </c>
      <c r="AK343" s="163"/>
      <c r="AL343" s="163"/>
      <c r="AM343" s="163"/>
      <c r="AN343" s="163"/>
      <c r="AO343" s="163"/>
      <c r="AP343" s="163"/>
      <c r="AQ343" s="163"/>
      <c r="AR343" s="163"/>
      <c r="AS343" s="163"/>
      <c r="AT343" s="163"/>
      <c r="AU343" s="163"/>
      <c r="AV343" s="163"/>
      <c r="AW343" s="163"/>
      <c r="AX343" s="163">
        <v>1001020101</v>
      </c>
      <c r="AY343" s="163">
        <v>1001020201</v>
      </c>
      <c r="AZ343" s="163"/>
      <c r="BA343" s="163"/>
      <c r="BB343" s="163"/>
      <c r="BC343" s="163"/>
      <c r="BD343" s="163"/>
      <c r="BE343" s="163"/>
      <c r="BF343" s="163"/>
      <c r="BG343" s="163"/>
      <c r="BH343" s="163"/>
      <c r="BI343" s="163"/>
      <c r="BJ343" s="163"/>
      <c r="BK343" s="163"/>
      <c r="BL343" s="163"/>
      <c r="BM343" s="163"/>
      <c r="BN343" s="163"/>
      <c r="BO343" s="163"/>
      <c r="BP343" s="163"/>
      <c r="BQ343" s="163"/>
      <c r="BR343" s="163"/>
      <c r="BS343" s="163"/>
      <c r="BT343" s="163"/>
      <c r="BU343" s="163"/>
      <c r="BV343" s="163"/>
      <c r="BW343" s="163"/>
      <c r="BX343" s="163"/>
      <c r="BY343" s="171"/>
    </row>
    <row r="344" spans="1:77" s="14" customFormat="1" x14ac:dyDescent="0.15">
      <c r="A344" s="151">
        <v>1001020041</v>
      </c>
      <c r="B344" s="152" t="s">
        <v>429</v>
      </c>
      <c r="C344" s="153" t="s">
        <v>100</v>
      </c>
      <c r="D344" s="153"/>
      <c r="E344" s="153" t="s">
        <v>83</v>
      </c>
      <c r="F344" s="153">
        <v>80000</v>
      </c>
      <c r="G344" s="153"/>
      <c r="H344" s="153"/>
      <c r="I344" s="153"/>
      <c r="J344" s="162"/>
      <c r="K344" s="162"/>
      <c r="L344" s="162"/>
      <c r="M344" s="162" t="s">
        <v>101</v>
      </c>
      <c r="N344" s="162" t="s">
        <v>842</v>
      </c>
      <c r="O344" s="153" t="s">
        <v>79</v>
      </c>
      <c r="P344" s="163" t="s">
        <v>80</v>
      </c>
      <c r="Q344" s="163">
        <v>280</v>
      </c>
      <c r="R344" s="169">
        <v>2500</v>
      </c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  <c r="AG344" s="163"/>
      <c r="AH344" s="163"/>
      <c r="AI344" s="163"/>
      <c r="AJ344" s="163" t="s">
        <v>90</v>
      </c>
      <c r="AK344" s="163"/>
      <c r="AL344" s="163"/>
      <c r="AM344" s="163"/>
      <c r="AN344" s="163"/>
      <c r="AO344" s="163"/>
      <c r="AP344" s="163"/>
      <c r="AQ344" s="163"/>
      <c r="AR344" s="163"/>
      <c r="AS344" s="163"/>
      <c r="AT344" s="163"/>
      <c r="AU344" s="163"/>
      <c r="AV344" s="163"/>
      <c r="AW344" s="163"/>
      <c r="AX344" s="163">
        <v>1001020101</v>
      </c>
      <c r="AY344" s="163">
        <v>1001020201</v>
      </c>
      <c r="AZ344" s="163"/>
      <c r="BA344" s="163"/>
      <c r="BB344" s="163"/>
      <c r="BC344" s="163"/>
      <c r="BD344" s="163"/>
      <c r="BE344" s="163"/>
      <c r="BF344" s="163"/>
      <c r="BG344" s="163"/>
      <c r="BH344" s="163"/>
      <c r="BI344" s="163"/>
      <c r="BJ344" s="163"/>
      <c r="BK344" s="163"/>
      <c r="BL344" s="163"/>
      <c r="BM344" s="163"/>
      <c r="BN344" s="163"/>
      <c r="BO344" s="163"/>
      <c r="BP344" s="163"/>
      <c r="BQ344" s="163"/>
      <c r="BR344" s="163"/>
      <c r="BS344" s="163"/>
      <c r="BT344" s="163"/>
      <c r="BU344" s="163"/>
      <c r="BV344" s="163"/>
      <c r="BW344" s="163"/>
      <c r="BX344" s="163"/>
      <c r="BY344" s="171"/>
    </row>
    <row r="345" spans="1:77" s="14" customFormat="1" x14ac:dyDescent="0.15">
      <c r="A345" s="151">
        <v>1001030011</v>
      </c>
      <c r="B345" s="152" t="s">
        <v>430</v>
      </c>
      <c r="C345" s="153" t="s">
        <v>89</v>
      </c>
      <c r="D345" s="153"/>
      <c r="E345" s="153" t="s">
        <v>78</v>
      </c>
      <c r="F345" s="153"/>
      <c r="G345" s="153"/>
      <c r="H345" s="153"/>
      <c r="I345" s="153"/>
      <c r="J345" s="162"/>
      <c r="K345" s="162"/>
      <c r="L345" s="162"/>
      <c r="M345" s="162"/>
      <c r="N345" s="162"/>
      <c r="O345" s="153" t="s">
        <v>90</v>
      </c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>
        <v>1001030101</v>
      </c>
      <c r="AD345" s="163">
        <v>1001030101</v>
      </c>
      <c r="AE345" s="163"/>
      <c r="AF345" s="163"/>
      <c r="AG345" s="163"/>
      <c r="AH345" s="163"/>
      <c r="AI345" s="163"/>
      <c r="AJ345" s="163"/>
      <c r="AK345" s="163"/>
      <c r="AL345" s="163"/>
      <c r="AM345" s="163"/>
      <c r="AN345" s="163"/>
      <c r="AO345" s="163"/>
      <c r="AP345" s="163"/>
      <c r="AQ345" s="163"/>
      <c r="AR345" s="163"/>
      <c r="AS345" s="163"/>
      <c r="AT345" s="163"/>
      <c r="AU345" s="163"/>
      <c r="AV345" s="163"/>
      <c r="AW345" s="163"/>
      <c r="AX345" s="163"/>
      <c r="AY345" s="163"/>
      <c r="AZ345" s="163"/>
      <c r="BA345" s="163"/>
      <c r="BB345" s="163"/>
      <c r="BC345" s="163"/>
      <c r="BD345" s="163"/>
      <c r="BE345" s="163"/>
      <c r="BF345" s="163"/>
      <c r="BG345" s="163"/>
      <c r="BH345" s="163"/>
      <c r="BI345" s="163"/>
      <c r="BJ345" s="163"/>
      <c r="BK345" s="163"/>
      <c r="BL345" s="163"/>
      <c r="BM345" s="163"/>
      <c r="BN345" s="163"/>
      <c r="BO345" s="163"/>
      <c r="BP345" s="163"/>
      <c r="BQ345" s="163"/>
      <c r="BR345" s="163"/>
      <c r="BS345" s="163"/>
      <c r="BT345" s="163"/>
      <c r="BU345" s="163"/>
      <c r="BV345" s="163"/>
      <c r="BW345" s="163"/>
      <c r="BX345" s="163"/>
      <c r="BY345" s="171"/>
    </row>
    <row r="346" spans="1:77" s="14" customFormat="1" x14ac:dyDescent="0.15">
      <c r="A346" s="151">
        <v>1001030021</v>
      </c>
      <c r="B346" s="152" t="s">
        <v>430</v>
      </c>
      <c r="C346" s="153" t="s">
        <v>89</v>
      </c>
      <c r="D346" s="153"/>
      <c r="E346" s="153" t="s">
        <v>78</v>
      </c>
      <c r="F346" s="153"/>
      <c r="G346" s="153"/>
      <c r="H346" s="153"/>
      <c r="I346" s="153"/>
      <c r="J346" s="162"/>
      <c r="K346" s="162"/>
      <c r="L346" s="162"/>
      <c r="M346" s="162"/>
      <c r="N346" s="162"/>
      <c r="O346" s="153" t="s">
        <v>90</v>
      </c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>
        <v>1001030102</v>
      </c>
      <c r="AD346" s="163">
        <v>1001030102</v>
      </c>
      <c r="AE346" s="163"/>
      <c r="AF346" s="163"/>
      <c r="AG346" s="163"/>
      <c r="AH346" s="163"/>
      <c r="AI346" s="163"/>
      <c r="AJ346" s="163"/>
      <c r="AK346" s="163"/>
      <c r="AL346" s="163"/>
      <c r="AM346" s="163"/>
      <c r="AN346" s="163"/>
      <c r="AO346" s="163"/>
      <c r="AP346" s="163"/>
      <c r="AQ346" s="163"/>
      <c r="AR346" s="163"/>
      <c r="AS346" s="163"/>
      <c r="AT346" s="163"/>
      <c r="AU346" s="163"/>
      <c r="AV346" s="163"/>
      <c r="AW346" s="163"/>
      <c r="AX346" s="163"/>
      <c r="AY346" s="163"/>
      <c r="AZ346" s="163"/>
      <c r="BA346" s="163"/>
      <c r="BB346" s="163"/>
      <c r="BC346" s="163"/>
      <c r="BD346" s="163"/>
      <c r="BE346" s="163"/>
      <c r="BF346" s="163"/>
      <c r="BG346" s="163"/>
      <c r="BH346" s="163"/>
      <c r="BI346" s="163"/>
      <c r="BJ346" s="163"/>
      <c r="BK346" s="163"/>
      <c r="BL346" s="163"/>
      <c r="BM346" s="163"/>
      <c r="BN346" s="163"/>
      <c r="BO346" s="163"/>
      <c r="BP346" s="163"/>
      <c r="BQ346" s="163"/>
      <c r="BR346" s="163"/>
      <c r="BS346" s="163"/>
      <c r="BT346" s="163"/>
      <c r="BU346" s="163"/>
      <c r="BV346" s="163"/>
      <c r="BW346" s="163"/>
      <c r="BX346" s="163"/>
      <c r="BY346" s="171"/>
    </row>
    <row r="347" spans="1:77" s="14" customFormat="1" x14ac:dyDescent="0.15">
      <c r="A347" s="17">
        <v>1001040011</v>
      </c>
      <c r="B347" s="152" t="s">
        <v>431</v>
      </c>
      <c r="C347" s="153" t="s">
        <v>89</v>
      </c>
      <c r="D347" s="153"/>
      <c r="E347" s="153" t="s">
        <v>78</v>
      </c>
      <c r="F347" s="153"/>
      <c r="G347" s="153"/>
      <c r="H347" s="153"/>
      <c r="I347" s="153"/>
      <c r="J347" s="162"/>
      <c r="K347" s="162"/>
      <c r="L347" s="162"/>
      <c r="M347" s="162"/>
      <c r="N347" s="162"/>
      <c r="O347" s="153" t="s">
        <v>90</v>
      </c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>
        <v>1001040101</v>
      </c>
      <c r="AD347" s="163">
        <v>1001040101</v>
      </c>
      <c r="AE347" s="163"/>
      <c r="AF347" s="163"/>
      <c r="AG347" s="163"/>
      <c r="AH347" s="163"/>
      <c r="AI347" s="163"/>
      <c r="AJ347" s="163"/>
      <c r="AK347" s="163"/>
      <c r="AL347" s="163"/>
      <c r="AM347" s="163"/>
      <c r="AN347" s="163"/>
      <c r="AO347" s="163"/>
      <c r="AP347" s="163"/>
      <c r="AQ347" s="163"/>
      <c r="AR347" s="163"/>
      <c r="AS347" s="163"/>
      <c r="AT347" s="163"/>
      <c r="AU347" s="163"/>
      <c r="AV347" s="163"/>
      <c r="AW347" s="163"/>
      <c r="AX347" s="163"/>
      <c r="AY347" s="163"/>
      <c r="AZ347" s="163"/>
      <c r="BA347" s="163"/>
      <c r="BB347" s="163"/>
      <c r="BC347" s="163"/>
      <c r="BD347" s="163"/>
      <c r="BE347" s="163"/>
      <c r="BF347" s="163"/>
      <c r="BG347" s="163"/>
      <c r="BH347" s="163"/>
      <c r="BI347" s="163"/>
      <c r="BJ347" s="163"/>
      <c r="BK347" s="163"/>
      <c r="BL347" s="163"/>
      <c r="BM347" s="163"/>
      <c r="BN347" s="163"/>
      <c r="BO347" s="163"/>
      <c r="BP347" s="163"/>
      <c r="BQ347" s="163"/>
      <c r="BR347" s="163"/>
      <c r="BS347" s="163"/>
      <c r="BT347" s="163"/>
      <c r="BU347" s="163"/>
      <c r="BV347" s="163"/>
      <c r="BW347" s="163"/>
      <c r="BX347" s="163"/>
      <c r="BY347" s="171"/>
    </row>
    <row r="348" spans="1:77" s="15" customFormat="1" x14ac:dyDescent="0.15">
      <c r="A348" s="154">
        <v>1002001011</v>
      </c>
      <c r="B348" s="155" t="s">
        <v>432</v>
      </c>
      <c r="C348" s="154" t="s">
        <v>77</v>
      </c>
      <c r="D348" s="154"/>
      <c r="E348" s="154" t="s">
        <v>78</v>
      </c>
      <c r="F348" s="154"/>
      <c r="G348" s="154"/>
      <c r="H348" s="154"/>
      <c r="I348" s="154"/>
      <c r="J348" s="164"/>
      <c r="K348" s="164"/>
      <c r="L348" s="164"/>
      <c r="M348" s="164"/>
      <c r="N348" s="164"/>
      <c r="O348" s="154" t="s">
        <v>79</v>
      </c>
      <c r="P348" s="154" t="s">
        <v>80</v>
      </c>
      <c r="Q348" s="154"/>
      <c r="R348" s="154">
        <v>10000</v>
      </c>
      <c r="S348" s="154"/>
      <c r="T348" s="154">
        <v>10000</v>
      </c>
      <c r="U348" s="154"/>
      <c r="V348" s="154" t="s">
        <v>101</v>
      </c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54"/>
      <c r="AH348" s="154"/>
      <c r="AI348" s="154"/>
      <c r="AJ348" s="154"/>
      <c r="AK348" s="154"/>
      <c r="AL348" s="154"/>
      <c r="AM348" s="154"/>
      <c r="AN348" s="154"/>
      <c r="AO348" s="154"/>
      <c r="AP348" s="154"/>
      <c r="AQ348" s="154"/>
      <c r="AR348" s="154"/>
      <c r="AS348" s="154"/>
      <c r="AT348" s="154"/>
      <c r="AU348" s="154"/>
      <c r="AV348" s="154"/>
      <c r="AW348" s="154"/>
      <c r="AX348" s="154"/>
      <c r="AY348" s="154"/>
      <c r="AZ348" s="154"/>
      <c r="BA348" s="154"/>
      <c r="BB348" s="154"/>
      <c r="BC348" s="154"/>
      <c r="BD348" s="154"/>
      <c r="BE348" s="154"/>
      <c r="BF348" s="154"/>
      <c r="BG348" s="154"/>
      <c r="BH348" s="154"/>
      <c r="BI348" s="154"/>
      <c r="BJ348" s="154"/>
      <c r="BK348" s="154"/>
      <c r="BL348" s="154"/>
      <c r="BM348" s="154"/>
      <c r="BN348" s="154"/>
      <c r="BO348" s="154"/>
      <c r="BP348" s="154"/>
      <c r="BQ348" s="154"/>
      <c r="BR348" s="154"/>
      <c r="BS348" s="154"/>
      <c r="BT348" s="154"/>
      <c r="BU348" s="154"/>
      <c r="BV348" s="154"/>
      <c r="BW348" s="154"/>
      <c r="BX348" s="154"/>
      <c r="BY348" s="172"/>
    </row>
    <row r="349" spans="1:77" s="15" customFormat="1" x14ac:dyDescent="0.15">
      <c r="A349" s="154">
        <v>1002010011</v>
      </c>
      <c r="B349" s="155" t="s">
        <v>433</v>
      </c>
      <c r="C349" s="154" t="s">
        <v>77</v>
      </c>
      <c r="D349" s="154"/>
      <c r="E349" s="154" t="s">
        <v>83</v>
      </c>
      <c r="F349" s="154">
        <v>50000</v>
      </c>
      <c r="G349" s="154"/>
      <c r="H349" s="154"/>
      <c r="I349" s="154"/>
      <c r="J349" s="164"/>
      <c r="K349" s="164"/>
      <c r="L349" s="164"/>
      <c r="M349" s="164"/>
      <c r="N349" s="164"/>
      <c r="O349" s="154" t="s">
        <v>98</v>
      </c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>
        <v>100201001</v>
      </c>
      <c r="AF349" s="154"/>
      <c r="AG349" s="154"/>
      <c r="AH349" s="154"/>
      <c r="AI349" s="154"/>
      <c r="AJ349" s="154"/>
      <c r="AK349" s="154"/>
      <c r="AL349" s="154"/>
      <c r="AM349" s="154"/>
      <c r="AN349" s="154"/>
      <c r="AO349" s="154"/>
      <c r="AP349" s="154"/>
      <c r="AQ349" s="154"/>
      <c r="AR349" s="154"/>
      <c r="AS349" s="154"/>
      <c r="AT349" s="154"/>
      <c r="AU349" s="154"/>
      <c r="AV349" s="154"/>
      <c r="AW349" s="154"/>
      <c r="AX349" s="154"/>
      <c r="AY349" s="154"/>
      <c r="AZ349" s="154"/>
      <c r="BA349" s="154"/>
      <c r="BB349" s="154"/>
      <c r="BC349" s="154"/>
      <c r="BD349" s="154"/>
      <c r="BE349" s="154"/>
      <c r="BF349" s="154"/>
      <c r="BG349" s="154"/>
      <c r="BH349" s="154"/>
      <c r="BI349" s="154"/>
      <c r="BJ349" s="154"/>
      <c r="BK349" s="154"/>
      <c r="BL349" s="154"/>
      <c r="BM349" s="154"/>
      <c r="BN349" s="154"/>
      <c r="BO349" s="154"/>
      <c r="BP349" s="154"/>
      <c r="BQ349" s="154"/>
      <c r="BR349" s="154"/>
      <c r="BS349" s="154"/>
      <c r="BT349" s="154"/>
      <c r="BU349" s="154"/>
      <c r="BV349" s="154"/>
      <c r="BW349" s="154"/>
      <c r="BX349" s="154"/>
      <c r="BY349" s="172"/>
    </row>
    <row r="350" spans="1:77" s="15" customFormat="1" x14ac:dyDescent="0.15">
      <c r="A350" s="154">
        <v>1002010021</v>
      </c>
      <c r="B350" s="155" t="s">
        <v>433</v>
      </c>
      <c r="C350" s="154" t="s">
        <v>77</v>
      </c>
      <c r="D350" s="154"/>
      <c r="E350" s="154" t="s">
        <v>83</v>
      </c>
      <c r="F350" s="154">
        <v>50000</v>
      </c>
      <c r="G350" s="154"/>
      <c r="H350" s="154"/>
      <c r="I350" s="154"/>
      <c r="J350" s="164"/>
      <c r="K350" s="164"/>
      <c r="L350" s="164"/>
      <c r="M350" s="164"/>
      <c r="N350" s="164"/>
      <c r="O350" s="154" t="s">
        <v>98</v>
      </c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>
        <v>100201002</v>
      </c>
      <c r="AF350" s="154"/>
      <c r="AG350" s="154"/>
      <c r="AH350" s="154"/>
      <c r="AI350" s="154"/>
      <c r="AJ350" s="154"/>
      <c r="AK350" s="154"/>
      <c r="AL350" s="154"/>
      <c r="AM350" s="154"/>
      <c r="AN350" s="154"/>
      <c r="AO350" s="154"/>
      <c r="AP350" s="154"/>
      <c r="AQ350" s="154"/>
      <c r="AR350" s="154"/>
      <c r="AS350" s="154"/>
      <c r="AT350" s="154"/>
      <c r="AU350" s="154"/>
      <c r="AV350" s="154"/>
      <c r="AW350" s="154"/>
      <c r="AX350" s="154"/>
      <c r="AY350" s="154"/>
      <c r="AZ350" s="154"/>
      <c r="BA350" s="154"/>
      <c r="BB350" s="154"/>
      <c r="BC350" s="154"/>
      <c r="BD350" s="154"/>
      <c r="BE350" s="154"/>
      <c r="BF350" s="154"/>
      <c r="BG350" s="154"/>
      <c r="BH350" s="154"/>
      <c r="BI350" s="154"/>
      <c r="BJ350" s="154"/>
      <c r="BK350" s="154"/>
      <c r="BL350" s="154"/>
      <c r="BM350" s="154"/>
      <c r="BN350" s="154"/>
      <c r="BO350" s="154"/>
      <c r="BP350" s="154"/>
      <c r="BQ350" s="154"/>
      <c r="BR350" s="154"/>
      <c r="BS350" s="154"/>
      <c r="BT350" s="154"/>
      <c r="BU350" s="154"/>
      <c r="BV350" s="154"/>
      <c r="BW350" s="154"/>
      <c r="BX350" s="154"/>
      <c r="BY350" s="172"/>
    </row>
    <row r="351" spans="1:77" s="15" customFormat="1" x14ac:dyDescent="0.15">
      <c r="A351" s="154">
        <v>1002010031</v>
      </c>
      <c r="B351" s="155" t="s">
        <v>433</v>
      </c>
      <c r="C351" s="154" t="s">
        <v>77</v>
      </c>
      <c r="D351" s="154"/>
      <c r="E351" s="154" t="s">
        <v>83</v>
      </c>
      <c r="F351" s="154">
        <v>50000</v>
      </c>
      <c r="G351" s="154"/>
      <c r="H351" s="154"/>
      <c r="I351" s="154"/>
      <c r="J351" s="164"/>
      <c r="K351" s="164"/>
      <c r="L351" s="164"/>
      <c r="M351" s="164"/>
      <c r="N351" s="164"/>
      <c r="O351" s="154" t="s">
        <v>98</v>
      </c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>
        <v>100201003</v>
      </c>
      <c r="AF351" s="154"/>
      <c r="AG351" s="154"/>
      <c r="AH351" s="154"/>
      <c r="AI351" s="154"/>
      <c r="AJ351" s="154"/>
      <c r="AK351" s="154"/>
      <c r="AL351" s="154"/>
      <c r="AM351" s="154"/>
      <c r="AN351" s="154"/>
      <c r="AO351" s="154"/>
      <c r="AP351" s="154"/>
      <c r="AQ351" s="154"/>
      <c r="AR351" s="154"/>
      <c r="AS351" s="154"/>
      <c r="AT351" s="154"/>
      <c r="AU351" s="154"/>
      <c r="AV351" s="154"/>
      <c r="AW351" s="154"/>
      <c r="AX351" s="154"/>
      <c r="AY351" s="154"/>
      <c r="AZ351" s="154"/>
      <c r="BA351" s="154"/>
      <c r="BB351" s="154"/>
      <c r="BC351" s="154"/>
      <c r="BD351" s="154"/>
      <c r="BE351" s="154"/>
      <c r="BF351" s="154"/>
      <c r="BG351" s="154"/>
      <c r="BH351" s="154"/>
      <c r="BI351" s="154"/>
      <c r="BJ351" s="154"/>
      <c r="BK351" s="154"/>
      <c r="BL351" s="154"/>
      <c r="BM351" s="154"/>
      <c r="BN351" s="154"/>
      <c r="BO351" s="154"/>
      <c r="BP351" s="154"/>
      <c r="BQ351" s="154"/>
      <c r="BR351" s="154"/>
      <c r="BS351" s="154"/>
      <c r="BT351" s="154"/>
      <c r="BU351" s="154"/>
      <c r="BV351" s="154"/>
      <c r="BW351" s="154"/>
      <c r="BX351" s="154"/>
      <c r="BY351" s="172"/>
    </row>
    <row r="352" spans="1:77" s="15" customFormat="1" x14ac:dyDescent="0.15">
      <c r="A352" s="154">
        <v>1002010041</v>
      </c>
      <c r="B352" s="155" t="s">
        <v>433</v>
      </c>
      <c r="C352" s="154" t="s">
        <v>77</v>
      </c>
      <c r="D352" s="154"/>
      <c r="E352" s="154" t="s">
        <v>83</v>
      </c>
      <c r="F352" s="154">
        <v>50000</v>
      </c>
      <c r="G352" s="154"/>
      <c r="H352" s="154"/>
      <c r="I352" s="154"/>
      <c r="J352" s="164"/>
      <c r="K352" s="164"/>
      <c r="L352" s="164"/>
      <c r="M352" s="164"/>
      <c r="N352" s="164"/>
      <c r="O352" s="154" t="s">
        <v>98</v>
      </c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>
        <v>100201004</v>
      </c>
      <c r="AF352" s="154"/>
      <c r="AG352" s="154"/>
      <c r="AH352" s="154"/>
      <c r="AI352" s="154"/>
      <c r="AJ352" s="154"/>
      <c r="AK352" s="154"/>
      <c r="AL352" s="154"/>
      <c r="AM352" s="154"/>
      <c r="AN352" s="154"/>
      <c r="AO352" s="154"/>
      <c r="AP352" s="154"/>
      <c r="AQ352" s="154"/>
      <c r="AR352" s="154"/>
      <c r="AS352" s="154"/>
      <c r="AT352" s="154"/>
      <c r="AU352" s="154"/>
      <c r="AV352" s="154"/>
      <c r="AW352" s="154"/>
      <c r="AX352" s="154"/>
      <c r="AY352" s="154"/>
      <c r="AZ352" s="154"/>
      <c r="BA352" s="154"/>
      <c r="BB352" s="154"/>
      <c r="BC352" s="154"/>
      <c r="BD352" s="154"/>
      <c r="BE352" s="154"/>
      <c r="BF352" s="154"/>
      <c r="BG352" s="154"/>
      <c r="BH352" s="154"/>
      <c r="BI352" s="154"/>
      <c r="BJ352" s="154"/>
      <c r="BK352" s="154"/>
      <c r="BL352" s="154"/>
      <c r="BM352" s="154"/>
      <c r="BN352" s="154"/>
      <c r="BO352" s="154"/>
      <c r="BP352" s="154"/>
      <c r="BQ352" s="154"/>
      <c r="BR352" s="154"/>
      <c r="BS352" s="154"/>
      <c r="BT352" s="154"/>
      <c r="BU352" s="154"/>
      <c r="BV352" s="154"/>
      <c r="BW352" s="154"/>
      <c r="BX352" s="154"/>
      <c r="BY352" s="172"/>
    </row>
    <row r="353" spans="1:77" s="15" customFormat="1" x14ac:dyDescent="0.15">
      <c r="A353" s="154">
        <v>1002010012</v>
      </c>
      <c r="B353" s="155" t="s">
        <v>434</v>
      </c>
      <c r="C353" s="154" t="s">
        <v>100</v>
      </c>
      <c r="D353" s="154"/>
      <c r="E353" s="154" t="s">
        <v>78</v>
      </c>
      <c r="F353" s="154"/>
      <c r="G353" s="154"/>
      <c r="H353" s="154"/>
      <c r="I353" s="154"/>
      <c r="J353" s="164"/>
      <c r="K353" s="164"/>
      <c r="L353" s="164"/>
      <c r="M353" s="164" t="s">
        <v>101</v>
      </c>
      <c r="N353" s="164" t="s">
        <v>842</v>
      </c>
      <c r="O353" s="154" t="s">
        <v>79</v>
      </c>
      <c r="P353" s="154" t="s">
        <v>102</v>
      </c>
      <c r="Q353" s="154">
        <v>90</v>
      </c>
      <c r="R353" s="154"/>
      <c r="S353" s="154">
        <v>1200</v>
      </c>
      <c r="T353" s="154"/>
      <c r="U353" s="154">
        <v>5000</v>
      </c>
      <c r="V353" s="154" t="s">
        <v>81</v>
      </c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54"/>
      <c r="AH353" s="154"/>
      <c r="AI353" s="154"/>
      <c r="AJ353" s="154"/>
      <c r="AK353" s="154"/>
      <c r="AL353" s="154"/>
      <c r="AM353" s="154"/>
      <c r="AN353" s="154"/>
      <c r="AO353" s="154"/>
      <c r="AP353" s="154"/>
      <c r="AQ353" s="154"/>
      <c r="AR353" s="154"/>
      <c r="AS353" s="154"/>
      <c r="AT353" s="154"/>
      <c r="AU353" s="154"/>
      <c r="AV353" s="154"/>
      <c r="AW353" s="154"/>
      <c r="AX353" s="154"/>
      <c r="AY353" s="154"/>
      <c r="AZ353" s="154"/>
      <c r="BA353" s="154"/>
      <c r="BB353" s="154"/>
      <c r="BC353" s="154"/>
      <c r="BD353" s="154"/>
      <c r="BE353" s="154"/>
      <c r="BF353" s="154"/>
      <c r="BG353" s="154"/>
      <c r="BH353" s="154"/>
      <c r="BI353" s="154"/>
      <c r="BJ353" s="154"/>
      <c r="BK353" s="154"/>
      <c r="BL353" s="154"/>
      <c r="BM353" s="154"/>
      <c r="BN353" s="154"/>
      <c r="BO353" s="154"/>
      <c r="BP353" s="154"/>
      <c r="BQ353" s="154"/>
      <c r="BR353" s="154"/>
      <c r="BS353" s="154"/>
      <c r="BT353" s="154"/>
      <c r="BU353" s="154"/>
      <c r="BV353" s="154"/>
      <c r="BW353" s="154"/>
      <c r="BX353" s="154"/>
      <c r="BY353" s="172"/>
    </row>
    <row r="354" spans="1:77" s="15" customFormat="1" x14ac:dyDescent="0.15">
      <c r="A354" s="154">
        <v>1002010022</v>
      </c>
      <c r="B354" s="155" t="s">
        <v>434</v>
      </c>
      <c r="C354" s="154" t="s">
        <v>100</v>
      </c>
      <c r="D354" s="154"/>
      <c r="E354" s="154" t="s">
        <v>78</v>
      </c>
      <c r="F354" s="154"/>
      <c r="G354" s="154"/>
      <c r="H354" s="154"/>
      <c r="I354" s="154"/>
      <c r="J354" s="164"/>
      <c r="K354" s="164"/>
      <c r="L354" s="164"/>
      <c r="M354" s="164" t="s">
        <v>101</v>
      </c>
      <c r="N354" s="164" t="s">
        <v>842</v>
      </c>
      <c r="O354" s="154" t="s">
        <v>79</v>
      </c>
      <c r="P354" s="154" t="s">
        <v>102</v>
      </c>
      <c r="Q354" s="154">
        <v>110</v>
      </c>
      <c r="R354" s="154"/>
      <c r="S354" s="154">
        <v>1200</v>
      </c>
      <c r="T354" s="154"/>
      <c r="U354" s="154">
        <v>5000</v>
      </c>
      <c r="V354" s="154" t="s">
        <v>81</v>
      </c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/>
      <c r="AH354" s="154"/>
      <c r="AI354" s="154"/>
      <c r="AJ354" s="154"/>
      <c r="AK354" s="154"/>
      <c r="AL354" s="154"/>
      <c r="AM354" s="154"/>
      <c r="AN354" s="154"/>
      <c r="AO354" s="154"/>
      <c r="AP354" s="154"/>
      <c r="AQ354" s="154"/>
      <c r="AR354" s="154"/>
      <c r="AS354" s="154"/>
      <c r="AT354" s="154"/>
      <c r="AU354" s="154"/>
      <c r="AV354" s="154"/>
      <c r="AW354" s="154"/>
      <c r="AX354" s="154"/>
      <c r="AY354" s="154"/>
      <c r="AZ354" s="154"/>
      <c r="BA354" s="154"/>
      <c r="BB354" s="154"/>
      <c r="BC354" s="154"/>
      <c r="BD354" s="154"/>
      <c r="BE354" s="154"/>
      <c r="BF354" s="154"/>
      <c r="BG354" s="154"/>
      <c r="BH354" s="154"/>
      <c r="BI354" s="154"/>
      <c r="BJ354" s="154"/>
      <c r="BK354" s="154"/>
      <c r="BL354" s="154"/>
      <c r="BM354" s="154"/>
      <c r="BN354" s="154"/>
      <c r="BO354" s="154"/>
      <c r="BP354" s="154"/>
      <c r="BQ354" s="154"/>
      <c r="BR354" s="154"/>
      <c r="BS354" s="154"/>
      <c r="BT354" s="154"/>
      <c r="BU354" s="154"/>
      <c r="BV354" s="154"/>
      <c r="BW354" s="154"/>
      <c r="BX354" s="154"/>
      <c r="BY354" s="172"/>
    </row>
    <row r="355" spans="1:77" s="15" customFormat="1" x14ac:dyDescent="0.15">
      <c r="A355" s="154">
        <v>1002010032</v>
      </c>
      <c r="B355" s="155" t="s">
        <v>434</v>
      </c>
      <c r="C355" s="154" t="s">
        <v>100</v>
      </c>
      <c r="D355" s="154"/>
      <c r="E355" s="154" t="s">
        <v>78</v>
      </c>
      <c r="F355" s="154"/>
      <c r="G355" s="154"/>
      <c r="H355" s="154"/>
      <c r="I355" s="154"/>
      <c r="J355" s="164"/>
      <c r="K355" s="164"/>
      <c r="L355" s="164"/>
      <c r="M355" s="164" t="s">
        <v>101</v>
      </c>
      <c r="N355" s="164" t="s">
        <v>842</v>
      </c>
      <c r="O355" s="154" t="s">
        <v>79</v>
      </c>
      <c r="P355" s="154" t="s">
        <v>102</v>
      </c>
      <c r="Q355" s="154">
        <v>130</v>
      </c>
      <c r="R355" s="154"/>
      <c r="S355" s="154">
        <v>1200</v>
      </c>
      <c r="T355" s="154"/>
      <c r="U355" s="154">
        <v>5000</v>
      </c>
      <c r="V355" s="154" t="s">
        <v>81</v>
      </c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54"/>
      <c r="AH355" s="154"/>
      <c r="AI355" s="154"/>
      <c r="AJ355" s="154"/>
      <c r="AK355" s="154"/>
      <c r="AL355" s="154"/>
      <c r="AM355" s="154"/>
      <c r="AN355" s="154"/>
      <c r="AO355" s="154"/>
      <c r="AP355" s="154"/>
      <c r="AQ355" s="154"/>
      <c r="AR355" s="154"/>
      <c r="AS355" s="154"/>
      <c r="AT355" s="154"/>
      <c r="AU355" s="154"/>
      <c r="AV355" s="154"/>
      <c r="AW355" s="154"/>
      <c r="AX355" s="154"/>
      <c r="AY355" s="154"/>
      <c r="AZ355" s="154"/>
      <c r="BA355" s="154"/>
      <c r="BB355" s="154"/>
      <c r="BC355" s="154"/>
      <c r="BD355" s="154"/>
      <c r="BE355" s="154"/>
      <c r="BF355" s="154"/>
      <c r="BG355" s="154"/>
      <c r="BH355" s="154"/>
      <c r="BI355" s="154"/>
      <c r="BJ355" s="154"/>
      <c r="BK355" s="154"/>
      <c r="BL355" s="154"/>
      <c r="BM355" s="154"/>
      <c r="BN355" s="154"/>
      <c r="BO355" s="154"/>
      <c r="BP355" s="154"/>
      <c r="BQ355" s="154"/>
      <c r="BR355" s="154"/>
      <c r="BS355" s="154"/>
      <c r="BT355" s="154"/>
      <c r="BU355" s="154"/>
      <c r="BV355" s="154"/>
      <c r="BW355" s="154"/>
      <c r="BX355" s="154"/>
      <c r="BY355" s="172"/>
    </row>
    <row r="356" spans="1:77" s="15" customFormat="1" x14ac:dyDescent="0.15">
      <c r="A356" s="154">
        <v>1002010042</v>
      </c>
      <c r="B356" s="155" t="s">
        <v>434</v>
      </c>
      <c r="C356" s="154" t="s">
        <v>100</v>
      </c>
      <c r="D356" s="154"/>
      <c r="E356" s="154" t="s">
        <v>78</v>
      </c>
      <c r="F356" s="154"/>
      <c r="G356" s="154"/>
      <c r="H356" s="154"/>
      <c r="I356" s="154"/>
      <c r="J356" s="164"/>
      <c r="K356" s="164"/>
      <c r="L356" s="164"/>
      <c r="M356" s="164" t="s">
        <v>101</v>
      </c>
      <c r="N356" s="164" t="s">
        <v>842</v>
      </c>
      <c r="O356" s="154" t="s">
        <v>79</v>
      </c>
      <c r="P356" s="154" t="s">
        <v>102</v>
      </c>
      <c r="Q356" s="154">
        <v>150</v>
      </c>
      <c r="R356" s="154"/>
      <c r="S356" s="154">
        <v>1200</v>
      </c>
      <c r="T356" s="154"/>
      <c r="U356" s="154">
        <v>5000</v>
      </c>
      <c r="V356" s="154" t="s">
        <v>81</v>
      </c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54"/>
      <c r="AH356" s="154"/>
      <c r="AI356" s="154"/>
      <c r="AJ356" s="154"/>
      <c r="AK356" s="154"/>
      <c r="AL356" s="154"/>
      <c r="AM356" s="154"/>
      <c r="AN356" s="154"/>
      <c r="AO356" s="154"/>
      <c r="AP356" s="154"/>
      <c r="AQ356" s="154"/>
      <c r="AR356" s="154"/>
      <c r="AS356" s="154"/>
      <c r="AT356" s="154"/>
      <c r="AU356" s="154"/>
      <c r="AV356" s="154"/>
      <c r="AW356" s="154"/>
      <c r="AX356" s="154"/>
      <c r="AY356" s="154"/>
      <c r="AZ356" s="154"/>
      <c r="BA356" s="154"/>
      <c r="BB356" s="154"/>
      <c r="BC356" s="154"/>
      <c r="BD356" s="154"/>
      <c r="BE356" s="154"/>
      <c r="BF356" s="154"/>
      <c r="BG356" s="154"/>
      <c r="BH356" s="154"/>
      <c r="BI356" s="154"/>
      <c r="BJ356" s="154"/>
      <c r="BK356" s="154"/>
      <c r="BL356" s="154"/>
      <c r="BM356" s="154"/>
      <c r="BN356" s="154"/>
      <c r="BO356" s="154"/>
      <c r="BP356" s="154"/>
      <c r="BQ356" s="154"/>
      <c r="BR356" s="154"/>
      <c r="BS356" s="154"/>
      <c r="BT356" s="154"/>
      <c r="BU356" s="154"/>
      <c r="BV356" s="154"/>
      <c r="BW356" s="154"/>
      <c r="BX356" s="154"/>
      <c r="BY356" s="172"/>
    </row>
    <row r="357" spans="1:77" s="15" customFormat="1" x14ac:dyDescent="0.15">
      <c r="A357" s="154">
        <v>1002020011</v>
      </c>
      <c r="B357" s="155" t="s">
        <v>435</v>
      </c>
      <c r="C357" s="154" t="s">
        <v>89</v>
      </c>
      <c r="D357" s="154"/>
      <c r="E357" s="154" t="s">
        <v>78</v>
      </c>
      <c r="F357" s="154"/>
      <c r="G357" s="154"/>
      <c r="H357" s="154"/>
      <c r="I357" s="154"/>
      <c r="J357" s="164"/>
      <c r="K357" s="164"/>
      <c r="L357" s="164"/>
      <c r="M357" s="164"/>
      <c r="N357" s="164"/>
      <c r="O357" s="154" t="s">
        <v>95</v>
      </c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>
        <v>20000121</v>
      </c>
      <c r="AF357" s="154" t="s">
        <v>142</v>
      </c>
      <c r="AG357" s="154">
        <v>40000</v>
      </c>
      <c r="AH357" s="154">
        <v>1</v>
      </c>
      <c r="AI357" s="154"/>
      <c r="AJ357" s="154"/>
      <c r="AK357" s="154"/>
      <c r="AL357" s="154"/>
      <c r="AM357" s="154"/>
      <c r="AN357" s="154"/>
      <c r="AO357" s="154"/>
      <c r="AP357" s="154"/>
      <c r="AQ357" s="154"/>
      <c r="AR357" s="154"/>
      <c r="AS357" s="154"/>
      <c r="AT357" s="154"/>
      <c r="AU357" s="154"/>
      <c r="AV357" s="154"/>
      <c r="AW357" s="154"/>
      <c r="AX357" s="154"/>
      <c r="AY357" s="154"/>
      <c r="AZ357" s="154"/>
      <c r="BA357" s="154"/>
      <c r="BB357" s="154"/>
      <c r="BC357" s="154"/>
      <c r="BD357" s="154"/>
      <c r="BE357" s="154"/>
      <c r="BF357" s="154"/>
      <c r="BG357" s="154"/>
      <c r="BH357" s="154"/>
      <c r="BI357" s="154"/>
      <c r="BJ357" s="154"/>
      <c r="BK357" s="154"/>
      <c r="BL357" s="154"/>
      <c r="BM357" s="154"/>
      <c r="BN357" s="154"/>
      <c r="BO357" s="154"/>
      <c r="BP357" s="154"/>
      <c r="BQ357" s="154"/>
      <c r="BR357" s="154"/>
      <c r="BS357" s="154"/>
      <c r="BT357" s="154"/>
      <c r="BU357" s="154"/>
      <c r="BV357" s="154"/>
      <c r="BW357" s="154"/>
      <c r="BX357" s="154"/>
      <c r="BY357" s="172"/>
    </row>
    <row r="358" spans="1:77" s="15" customFormat="1" x14ac:dyDescent="0.15">
      <c r="A358" s="154">
        <v>1002020021</v>
      </c>
      <c r="B358" s="155" t="s">
        <v>435</v>
      </c>
      <c r="C358" s="154" t="s">
        <v>89</v>
      </c>
      <c r="D358" s="154"/>
      <c r="E358" s="154" t="s">
        <v>78</v>
      </c>
      <c r="F358" s="154"/>
      <c r="G358" s="154"/>
      <c r="H358" s="154"/>
      <c r="I358" s="154"/>
      <c r="J358" s="164"/>
      <c r="K358" s="164"/>
      <c r="L358" s="164"/>
      <c r="M358" s="164"/>
      <c r="N358" s="164"/>
      <c r="O358" s="154" t="s">
        <v>95</v>
      </c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>
        <v>20000122</v>
      </c>
      <c r="AF358" s="154" t="s">
        <v>142</v>
      </c>
      <c r="AG358" s="154">
        <v>40000</v>
      </c>
      <c r="AH358" s="154">
        <v>1</v>
      </c>
      <c r="AI358" s="154"/>
      <c r="AJ358" s="154"/>
      <c r="AK358" s="154"/>
      <c r="AL358" s="154"/>
      <c r="AM358" s="154"/>
      <c r="AN358" s="154"/>
      <c r="AO358" s="154"/>
      <c r="AP358" s="154"/>
      <c r="AQ358" s="154"/>
      <c r="AR358" s="154"/>
      <c r="AS358" s="154"/>
      <c r="AT358" s="154"/>
      <c r="AU358" s="154"/>
      <c r="AV358" s="154"/>
      <c r="AW358" s="154"/>
      <c r="AX358" s="154"/>
      <c r="AY358" s="154"/>
      <c r="AZ358" s="154"/>
      <c r="BA358" s="154"/>
      <c r="BB358" s="154"/>
      <c r="BC358" s="154"/>
      <c r="BD358" s="154"/>
      <c r="BE358" s="154"/>
      <c r="BF358" s="154"/>
      <c r="BG358" s="154"/>
      <c r="BH358" s="154"/>
      <c r="BI358" s="154"/>
      <c r="BJ358" s="154"/>
      <c r="BK358" s="154"/>
      <c r="BL358" s="154"/>
      <c r="BM358" s="154"/>
      <c r="BN358" s="154"/>
      <c r="BO358" s="154"/>
      <c r="BP358" s="154"/>
      <c r="BQ358" s="154"/>
      <c r="BR358" s="154"/>
      <c r="BS358" s="154"/>
      <c r="BT358" s="154"/>
      <c r="BU358" s="154"/>
      <c r="BV358" s="154"/>
      <c r="BW358" s="154"/>
      <c r="BX358" s="154"/>
      <c r="BY358" s="172"/>
    </row>
    <row r="359" spans="1:77" s="15" customFormat="1" x14ac:dyDescent="0.15">
      <c r="A359" s="154">
        <v>1002020031</v>
      </c>
      <c r="B359" s="155" t="s">
        <v>435</v>
      </c>
      <c r="C359" s="154" t="s">
        <v>89</v>
      </c>
      <c r="D359" s="154"/>
      <c r="E359" s="154" t="s">
        <v>78</v>
      </c>
      <c r="F359" s="154"/>
      <c r="G359" s="154"/>
      <c r="H359" s="154"/>
      <c r="I359" s="154"/>
      <c r="J359" s="164"/>
      <c r="K359" s="164"/>
      <c r="L359" s="164"/>
      <c r="M359" s="164"/>
      <c r="N359" s="164"/>
      <c r="O359" s="154" t="s">
        <v>95</v>
      </c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>
        <v>20000123</v>
      </c>
      <c r="AF359" s="154" t="s">
        <v>142</v>
      </c>
      <c r="AG359" s="154">
        <v>40000</v>
      </c>
      <c r="AH359" s="154">
        <v>1</v>
      </c>
      <c r="AI359" s="154"/>
      <c r="AJ359" s="154"/>
      <c r="AK359" s="154"/>
      <c r="AL359" s="154"/>
      <c r="AM359" s="154"/>
      <c r="AN359" s="154"/>
      <c r="AO359" s="154"/>
      <c r="AP359" s="154"/>
      <c r="AQ359" s="154"/>
      <c r="AR359" s="154"/>
      <c r="AS359" s="154"/>
      <c r="AT359" s="154"/>
      <c r="AU359" s="154"/>
      <c r="AV359" s="154"/>
      <c r="AW359" s="154"/>
      <c r="AX359" s="154"/>
      <c r="AY359" s="154"/>
      <c r="AZ359" s="154"/>
      <c r="BA359" s="154"/>
      <c r="BB359" s="154"/>
      <c r="BC359" s="154"/>
      <c r="BD359" s="154"/>
      <c r="BE359" s="154"/>
      <c r="BF359" s="154"/>
      <c r="BG359" s="154"/>
      <c r="BH359" s="154"/>
      <c r="BI359" s="154"/>
      <c r="BJ359" s="154"/>
      <c r="BK359" s="154"/>
      <c r="BL359" s="154"/>
      <c r="BM359" s="154"/>
      <c r="BN359" s="154"/>
      <c r="BO359" s="154"/>
      <c r="BP359" s="154"/>
      <c r="BQ359" s="154"/>
      <c r="BR359" s="154"/>
      <c r="BS359" s="154"/>
      <c r="BT359" s="154"/>
      <c r="BU359" s="154"/>
      <c r="BV359" s="154"/>
      <c r="BW359" s="154"/>
      <c r="BX359" s="154"/>
      <c r="BY359" s="172"/>
    </row>
    <row r="360" spans="1:77" s="15" customFormat="1" x14ac:dyDescent="0.15">
      <c r="A360" s="154">
        <v>1002020041</v>
      </c>
      <c r="B360" s="155" t="s">
        <v>435</v>
      </c>
      <c r="C360" s="154" t="s">
        <v>89</v>
      </c>
      <c r="D360" s="154"/>
      <c r="E360" s="154" t="s">
        <v>78</v>
      </c>
      <c r="F360" s="154"/>
      <c r="G360" s="154"/>
      <c r="H360" s="154"/>
      <c r="I360" s="154"/>
      <c r="J360" s="164"/>
      <c r="K360" s="164"/>
      <c r="L360" s="164"/>
      <c r="M360" s="164"/>
      <c r="N360" s="164"/>
      <c r="O360" s="154" t="s">
        <v>95</v>
      </c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>
        <v>20000130</v>
      </c>
      <c r="AF360" s="154" t="s">
        <v>142</v>
      </c>
      <c r="AG360" s="154">
        <v>40000</v>
      </c>
      <c r="AH360" s="154">
        <v>1</v>
      </c>
      <c r="AI360" s="154"/>
      <c r="AJ360" s="154"/>
      <c r="AK360" s="154"/>
      <c r="AL360" s="154"/>
      <c r="AM360" s="154"/>
      <c r="AN360" s="154"/>
      <c r="AO360" s="154"/>
      <c r="AP360" s="154"/>
      <c r="AQ360" s="154"/>
      <c r="AR360" s="154"/>
      <c r="AS360" s="154"/>
      <c r="AT360" s="154"/>
      <c r="AU360" s="154"/>
      <c r="AV360" s="154"/>
      <c r="AW360" s="154"/>
      <c r="AX360" s="154"/>
      <c r="AY360" s="154"/>
      <c r="AZ360" s="154"/>
      <c r="BA360" s="154"/>
      <c r="BB360" s="154"/>
      <c r="BC360" s="154"/>
      <c r="BD360" s="154"/>
      <c r="BE360" s="154"/>
      <c r="BF360" s="154"/>
      <c r="BG360" s="154"/>
      <c r="BH360" s="154"/>
      <c r="BI360" s="154"/>
      <c r="BJ360" s="154"/>
      <c r="BK360" s="154"/>
      <c r="BL360" s="154"/>
      <c r="BM360" s="154"/>
      <c r="BN360" s="154"/>
      <c r="BO360" s="154"/>
      <c r="BP360" s="154"/>
      <c r="BQ360" s="154"/>
      <c r="BR360" s="154"/>
      <c r="BS360" s="154"/>
      <c r="BT360" s="154"/>
      <c r="BU360" s="154"/>
      <c r="BV360" s="154"/>
      <c r="BW360" s="154"/>
      <c r="BX360" s="154"/>
      <c r="BY360" s="172"/>
    </row>
    <row r="361" spans="1:77" s="15" customFormat="1" x14ac:dyDescent="0.15">
      <c r="A361" s="154">
        <v>1002050011</v>
      </c>
      <c r="B361" s="155" t="s">
        <v>436</v>
      </c>
      <c r="C361" s="154" t="s">
        <v>77</v>
      </c>
      <c r="D361" s="154"/>
      <c r="E361" s="154" t="s">
        <v>83</v>
      </c>
      <c r="F361" s="154">
        <v>80000</v>
      </c>
      <c r="G361" s="154"/>
      <c r="H361" s="154"/>
      <c r="I361" s="154"/>
      <c r="J361" s="164"/>
      <c r="K361" s="164"/>
      <c r="L361" s="164"/>
      <c r="M361" s="164"/>
      <c r="N361" s="164"/>
      <c r="O361" s="154" t="s">
        <v>98</v>
      </c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9">
        <v>100205001</v>
      </c>
      <c r="AF361" s="154"/>
      <c r="AG361" s="154"/>
      <c r="AH361" s="154"/>
      <c r="AI361" s="154"/>
      <c r="AJ361" s="154"/>
      <c r="AK361" s="154"/>
      <c r="AL361" s="154"/>
      <c r="AM361" s="154"/>
      <c r="AN361" s="154"/>
      <c r="AO361" s="154"/>
      <c r="AP361" s="154"/>
      <c r="AQ361" s="154"/>
      <c r="AR361" s="154"/>
      <c r="AS361" s="154"/>
      <c r="AT361" s="154"/>
      <c r="AU361" s="154"/>
      <c r="AV361" s="154"/>
      <c r="AW361" s="154"/>
      <c r="AX361" s="154"/>
      <c r="AY361" s="154"/>
      <c r="AZ361" s="154"/>
      <c r="BA361" s="154"/>
      <c r="BB361" s="154"/>
      <c r="BC361" s="154"/>
      <c r="BD361" s="154"/>
      <c r="BE361" s="154"/>
      <c r="BF361" s="154"/>
      <c r="BG361" s="154"/>
      <c r="BH361" s="154"/>
      <c r="BI361" s="154"/>
      <c r="BJ361" s="154"/>
      <c r="BK361" s="154"/>
      <c r="BL361" s="154"/>
      <c r="BM361" s="154"/>
      <c r="BN361" s="154"/>
      <c r="BO361" s="154"/>
      <c r="BP361" s="154"/>
      <c r="BQ361" s="154"/>
      <c r="BR361" s="154"/>
      <c r="BS361" s="154"/>
      <c r="BT361" s="154"/>
      <c r="BU361" s="154"/>
      <c r="BV361" s="154"/>
      <c r="BW361" s="154"/>
      <c r="BX361" s="154"/>
      <c r="BY361" s="172"/>
    </row>
    <row r="362" spans="1:77" s="15" customFormat="1" x14ac:dyDescent="0.15">
      <c r="A362" s="154">
        <v>1002050021</v>
      </c>
      <c r="B362" s="155" t="s">
        <v>436</v>
      </c>
      <c r="C362" s="154" t="s">
        <v>77</v>
      </c>
      <c r="D362" s="154"/>
      <c r="E362" s="154" t="s">
        <v>83</v>
      </c>
      <c r="F362" s="154">
        <v>80000</v>
      </c>
      <c r="G362" s="154"/>
      <c r="H362" s="154"/>
      <c r="I362" s="154"/>
      <c r="J362" s="164"/>
      <c r="K362" s="164"/>
      <c r="L362" s="164"/>
      <c r="M362" s="164"/>
      <c r="N362" s="164"/>
      <c r="O362" s="154" t="s">
        <v>98</v>
      </c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9">
        <v>100205001</v>
      </c>
      <c r="AF362" s="154"/>
      <c r="AG362" s="154"/>
      <c r="AH362" s="154"/>
      <c r="AI362" s="154"/>
      <c r="AJ362" s="154"/>
      <c r="AK362" s="154"/>
      <c r="AL362" s="154"/>
      <c r="AM362" s="154"/>
      <c r="AN362" s="154"/>
      <c r="AO362" s="154"/>
      <c r="AP362" s="154"/>
      <c r="AQ362" s="154"/>
      <c r="AR362" s="154"/>
      <c r="AS362" s="154"/>
      <c r="AT362" s="154"/>
      <c r="AU362" s="154"/>
      <c r="AV362" s="154"/>
      <c r="AW362" s="154"/>
      <c r="AX362" s="154"/>
      <c r="AY362" s="154"/>
      <c r="AZ362" s="154"/>
      <c r="BA362" s="154"/>
      <c r="BB362" s="154"/>
      <c r="BC362" s="154"/>
      <c r="BD362" s="154"/>
      <c r="BE362" s="154"/>
      <c r="BF362" s="154"/>
      <c r="BG362" s="154"/>
      <c r="BH362" s="154"/>
      <c r="BI362" s="154"/>
      <c r="BJ362" s="154"/>
      <c r="BK362" s="154"/>
      <c r="BL362" s="154"/>
      <c r="BM362" s="154"/>
      <c r="BN362" s="154"/>
      <c r="BO362" s="154"/>
      <c r="BP362" s="154"/>
      <c r="BQ362" s="154"/>
      <c r="BR362" s="154"/>
      <c r="BS362" s="154"/>
      <c r="BT362" s="154"/>
      <c r="BU362" s="154"/>
      <c r="BV362" s="154"/>
      <c r="BW362" s="154"/>
      <c r="BX362" s="154"/>
      <c r="BY362" s="172"/>
    </row>
    <row r="363" spans="1:77" s="15" customFormat="1" x14ac:dyDescent="0.15">
      <c r="A363" s="154">
        <v>1002050012</v>
      </c>
      <c r="B363" s="155" t="s">
        <v>437</v>
      </c>
      <c r="C363" s="154" t="s">
        <v>100</v>
      </c>
      <c r="D363" s="154"/>
      <c r="E363" s="154" t="s">
        <v>83</v>
      </c>
      <c r="F363" s="154">
        <v>80000</v>
      </c>
      <c r="G363" s="154"/>
      <c r="H363" s="154"/>
      <c r="I363" s="154"/>
      <c r="J363" s="164"/>
      <c r="K363" s="164"/>
      <c r="L363" s="164"/>
      <c r="M363" s="164" t="s">
        <v>101</v>
      </c>
      <c r="N363" s="164" t="s">
        <v>842</v>
      </c>
      <c r="O363" s="154" t="s">
        <v>79</v>
      </c>
      <c r="P363" s="154" t="s">
        <v>102</v>
      </c>
      <c r="Q363" s="154">
        <v>280</v>
      </c>
      <c r="R363" s="154"/>
      <c r="S363" s="154">
        <v>5000</v>
      </c>
      <c r="T363" s="154"/>
      <c r="U363" s="154">
        <v>3500</v>
      </c>
      <c r="V363" s="154" t="s">
        <v>81</v>
      </c>
      <c r="W363" s="154"/>
      <c r="X363" s="154"/>
      <c r="Y363" s="154"/>
      <c r="Z363" s="154"/>
      <c r="AA363" s="154"/>
      <c r="AB363" s="154"/>
      <c r="AC363" s="154"/>
      <c r="AD363" s="154"/>
      <c r="AE363" s="154"/>
      <c r="AF363" s="154"/>
      <c r="AG363" s="154"/>
      <c r="AH363" s="154"/>
      <c r="AI363" s="154"/>
      <c r="AJ363" s="154" t="s">
        <v>90</v>
      </c>
      <c r="AK363" s="154"/>
      <c r="AL363" s="154"/>
      <c r="AM363" s="154"/>
      <c r="AN363" s="154"/>
      <c r="AO363" s="154"/>
      <c r="AP363" s="154"/>
      <c r="AQ363" s="154"/>
      <c r="AR363" s="154"/>
      <c r="AS363" s="154"/>
      <c r="AT363" s="154"/>
      <c r="AU363" s="154"/>
      <c r="AV363" s="154"/>
      <c r="AW363" s="154"/>
      <c r="AX363" s="154">
        <v>1002050301</v>
      </c>
      <c r="AY363" s="154">
        <v>1002050201</v>
      </c>
      <c r="AZ363" s="154"/>
      <c r="BA363" s="154"/>
      <c r="BB363" s="154"/>
      <c r="BC363" s="154"/>
      <c r="BD363" s="154"/>
      <c r="BE363" s="154"/>
      <c r="BF363" s="154"/>
      <c r="BG363" s="154"/>
      <c r="BH363" s="154"/>
      <c r="BI363" s="154"/>
      <c r="BJ363" s="154"/>
      <c r="BK363" s="154"/>
      <c r="BL363" s="154"/>
      <c r="BM363" s="154"/>
      <c r="BN363" s="154"/>
      <c r="BO363" s="154"/>
      <c r="BP363" s="154"/>
      <c r="BQ363" s="154"/>
      <c r="BR363" s="154"/>
      <c r="BS363" s="154"/>
      <c r="BT363" s="154"/>
      <c r="BU363" s="154"/>
      <c r="BV363" s="154"/>
      <c r="BW363" s="154"/>
      <c r="BX363" s="154"/>
      <c r="BY363" s="172"/>
    </row>
    <row r="364" spans="1:77" s="15" customFormat="1" x14ac:dyDescent="0.15">
      <c r="A364" s="154">
        <v>1002050022</v>
      </c>
      <c r="B364" s="155" t="s">
        <v>437</v>
      </c>
      <c r="C364" s="154" t="s">
        <v>100</v>
      </c>
      <c r="D364" s="154"/>
      <c r="E364" s="154" t="s">
        <v>83</v>
      </c>
      <c r="F364" s="154">
        <v>80000</v>
      </c>
      <c r="G364" s="154"/>
      <c r="H364" s="154"/>
      <c r="I364" s="154"/>
      <c r="J364" s="164"/>
      <c r="K364" s="164"/>
      <c r="L364" s="164"/>
      <c r="M364" s="164" t="s">
        <v>101</v>
      </c>
      <c r="N364" s="164" t="s">
        <v>842</v>
      </c>
      <c r="O364" s="154" t="s">
        <v>79</v>
      </c>
      <c r="P364" s="154" t="s">
        <v>102</v>
      </c>
      <c r="Q364" s="154">
        <v>450</v>
      </c>
      <c r="R364" s="154"/>
      <c r="S364" s="154">
        <v>5000</v>
      </c>
      <c r="T364" s="154"/>
      <c r="U364" s="154">
        <v>3500</v>
      </c>
      <c r="V364" s="154" t="s">
        <v>81</v>
      </c>
      <c r="W364" s="154"/>
      <c r="X364" s="154"/>
      <c r="Y364" s="154"/>
      <c r="Z364" s="154"/>
      <c r="AA364" s="154"/>
      <c r="AB364" s="154"/>
      <c r="AC364" s="154"/>
      <c r="AD364" s="154"/>
      <c r="AE364" s="154"/>
      <c r="AF364" s="154"/>
      <c r="AG364" s="154"/>
      <c r="AH364" s="154"/>
      <c r="AI364" s="154"/>
      <c r="AJ364" s="154" t="s">
        <v>90</v>
      </c>
      <c r="AK364" s="154"/>
      <c r="AL364" s="154"/>
      <c r="AM364" s="154"/>
      <c r="AN364" s="154"/>
      <c r="AO364" s="154"/>
      <c r="AP364" s="154"/>
      <c r="AQ364" s="154"/>
      <c r="AR364" s="154"/>
      <c r="AS364" s="154"/>
      <c r="AT364" s="154"/>
      <c r="AU364" s="154"/>
      <c r="AV364" s="154"/>
      <c r="AW364" s="154"/>
      <c r="AX364" s="154">
        <v>1002050301</v>
      </c>
      <c r="AY364" s="154">
        <v>1002050201</v>
      </c>
      <c r="AZ364" s="154"/>
      <c r="BA364" s="154"/>
      <c r="BB364" s="154"/>
      <c r="BC364" s="154"/>
      <c r="BD364" s="154"/>
      <c r="BE364" s="154"/>
      <c r="BF364" s="154"/>
      <c r="BG364" s="154"/>
      <c r="BH364" s="154"/>
      <c r="BI364" s="154"/>
      <c r="BJ364" s="154"/>
      <c r="BK364" s="154"/>
      <c r="BL364" s="154"/>
      <c r="BM364" s="154"/>
      <c r="BN364" s="154"/>
      <c r="BO364" s="154"/>
      <c r="BP364" s="154"/>
      <c r="BQ364" s="154"/>
      <c r="BR364" s="154"/>
      <c r="BS364" s="154"/>
      <c r="BT364" s="154"/>
      <c r="BU364" s="154"/>
      <c r="BV364" s="154"/>
      <c r="BW364" s="154"/>
      <c r="BX364" s="154"/>
      <c r="BY364" s="172"/>
    </row>
    <row r="365" spans="1:77" s="15" customFormat="1" x14ac:dyDescent="0.15">
      <c r="A365" s="154">
        <v>1002040011</v>
      </c>
      <c r="B365" s="155" t="s">
        <v>438</v>
      </c>
      <c r="C365" s="154" t="s">
        <v>89</v>
      </c>
      <c r="D365" s="154"/>
      <c r="E365" s="154" t="s">
        <v>78</v>
      </c>
      <c r="F365" s="154"/>
      <c r="G365" s="154"/>
      <c r="H365" s="154"/>
      <c r="I365" s="154"/>
      <c r="J365" s="164"/>
      <c r="K365" s="164"/>
      <c r="L365" s="164"/>
      <c r="M365" s="164"/>
      <c r="N365" s="164"/>
      <c r="O365" s="154" t="s">
        <v>98</v>
      </c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>
        <v>100204001</v>
      </c>
      <c r="AF365" s="154"/>
      <c r="AG365" s="154"/>
      <c r="AH365" s="154"/>
      <c r="AI365" s="154"/>
      <c r="AJ365" s="154"/>
      <c r="AK365" s="154"/>
      <c r="AL365" s="154"/>
      <c r="AM365" s="154"/>
      <c r="AN365" s="154"/>
      <c r="AO365" s="154"/>
      <c r="AP365" s="154"/>
      <c r="AQ365" s="154"/>
      <c r="AR365" s="154"/>
      <c r="AS365" s="154"/>
      <c r="AT365" s="154"/>
      <c r="AU365" s="154"/>
      <c r="AV365" s="154"/>
      <c r="AW365" s="154"/>
      <c r="AX365" s="154"/>
      <c r="AY365" s="154"/>
      <c r="AZ365" s="154"/>
      <c r="BA365" s="154"/>
      <c r="BB365" s="154"/>
      <c r="BC365" s="154"/>
      <c r="BD365" s="154"/>
      <c r="BE365" s="154"/>
      <c r="BF365" s="154"/>
      <c r="BG365" s="154"/>
      <c r="BH365" s="154"/>
      <c r="BI365" s="154"/>
      <c r="BJ365" s="154"/>
      <c r="BK365" s="154"/>
      <c r="BL365" s="154"/>
      <c r="BM365" s="154"/>
      <c r="BN365" s="154"/>
      <c r="BO365" s="154"/>
      <c r="BP365" s="154"/>
      <c r="BQ365" s="154"/>
      <c r="BR365" s="154"/>
      <c r="BS365" s="154"/>
      <c r="BT365" s="154"/>
      <c r="BU365" s="154"/>
      <c r="BV365" s="154"/>
      <c r="BW365" s="154"/>
      <c r="BX365" s="154"/>
      <c r="BY365" s="172"/>
    </row>
    <row r="366" spans="1:77" s="15" customFormat="1" x14ac:dyDescent="0.15">
      <c r="A366" s="154">
        <v>1002040021</v>
      </c>
      <c r="B366" s="155" t="s">
        <v>438</v>
      </c>
      <c r="C366" s="154" t="s">
        <v>89</v>
      </c>
      <c r="D366" s="154"/>
      <c r="E366" s="154" t="s">
        <v>78</v>
      </c>
      <c r="F366" s="154"/>
      <c r="G366" s="154"/>
      <c r="H366" s="154"/>
      <c r="I366" s="154"/>
      <c r="J366" s="164"/>
      <c r="K366" s="164"/>
      <c r="L366" s="164"/>
      <c r="M366" s="164"/>
      <c r="N366" s="164"/>
      <c r="O366" s="154" t="s">
        <v>98</v>
      </c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>
        <v>100204002</v>
      </c>
      <c r="AF366" s="154"/>
      <c r="AG366" s="154"/>
      <c r="AH366" s="154"/>
      <c r="AI366" s="154"/>
      <c r="AJ366" s="154"/>
      <c r="AK366" s="154"/>
      <c r="AL366" s="154"/>
      <c r="AM366" s="154"/>
      <c r="AN366" s="154"/>
      <c r="AO366" s="154"/>
      <c r="AP366" s="154"/>
      <c r="AQ366" s="154"/>
      <c r="AR366" s="154"/>
      <c r="AS366" s="154"/>
      <c r="AT366" s="154"/>
      <c r="AU366" s="154"/>
      <c r="AV366" s="154"/>
      <c r="AW366" s="154"/>
      <c r="AX366" s="154"/>
      <c r="AY366" s="154"/>
      <c r="AZ366" s="154"/>
      <c r="BA366" s="154"/>
      <c r="BB366" s="154"/>
      <c r="BC366" s="154"/>
      <c r="BD366" s="154"/>
      <c r="BE366" s="154"/>
      <c r="BF366" s="154"/>
      <c r="BG366" s="154"/>
      <c r="BH366" s="154"/>
      <c r="BI366" s="154"/>
      <c r="BJ366" s="154"/>
      <c r="BK366" s="154"/>
      <c r="BL366" s="154"/>
      <c r="BM366" s="154"/>
      <c r="BN366" s="154"/>
      <c r="BO366" s="154"/>
      <c r="BP366" s="154"/>
      <c r="BQ366" s="154"/>
      <c r="BR366" s="154"/>
      <c r="BS366" s="154"/>
      <c r="BT366" s="154"/>
      <c r="BU366" s="154"/>
      <c r="BV366" s="154"/>
      <c r="BW366" s="154"/>
      <c r="BX366" s="154"/>
      <c r="BY366" s="172"/>
    </row>
    <row r="367" spans="1:77" s="15" customFormat="1" x14ac:dyDescent="0.15">
      <c r="A367" s="154">
        <v>1002040031</v>
      </c>
      <c r="B367" s="155" t="s">
        <v>438</v>
      </c>
      <c r="C367" s="154" t="s">
        <v>89</v>
      </c>
      <c r="D367" s="154"/>
      <c r="E367" s="154" t="s">
        <v>78</v>
      </c>
      <c r="F367" s="154"/>
      <c r="G367" s="154"/>
      <c r="H367" s="154"/>
      <c r="I367" s="154"/>
      <c r="J367" s="164"/>
      <c r="K367" s="164"/>
      <c r="L367" s="164"/>
      <c r="M367" s="164"/>
      <c r="N367" s="164"/>
      <c r="O367" s="154" t="s">
        <v>98</v>
      </c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>
        <v>100204003</v>
      </c>
      <c r="AF367" s="154"/>
      <c r="AG367" s="154"/>
      <c r="AH367" s="154"/>
      <c r="AI367" s="154"/>
      <c r="AJ367" s="154"/>
      <c r="AK367" s="154"/>
      <c r="AL367" s="154"/>
      <c r="AM367" s="154"/>
      <c r="AN367" s="154"/>
      <c r="AO367" s="154"/>
      <c r="AP367" s="154"/>
      <c r="AQ367" s="154"/>
      <c r="AR367" s="154"/>
      <c r="AS367" s="154"/>
      <c r="AT367" s="154"/>
      <c r="AU367" s="154"/>
      <c r="AV367" s="154"/>
      <c r="AW367" s="154"/>
      <c r="AX367" s="154"/>
      <c r="AY367" s="154"/>
      <c r="AZ367" s="154"/>
      <c r="BA367" s="154"/>
      <c r="BB367" s="154"/>
      <c r="BC367" s="154"/>
      <c r="BD367" s="154"/>
      <c r="BE367" s="154"/>
      <c r="BF367" s="154"/>
      <c r="BG367" s="154"/>
      <c r="BH367" s="154"/>
      <c r="BI367" s="154"/>
      <c r="BJ367" s="154"/>
      <c r="BK367" s="154"/>
      <c r="BL367" s="154"/>
      <c r="BM367" s="154"/>
      <c r="BN367" s="154"/>
      <c r="BO367" s="154"/>
      <c r="BP367" s="154"/>
      <c r="BQ367" s="154"/>
      <c r="BR367" s="154"/>
      <c r="BS367" s="154"/>
      <c r="BT367" s="154"/>
      <c r="BU367" s="154"/>
      <c r="BV367" s="154"/>
      <c r="BW367" s="154"/>
      <c r="BX367" s="154"/>
      <c r="BY367" s="172"/>
    </row>
    <row r="368" spans="1:77" s="16" customFormat="1" x14ac:dyDescent="0.15">
      <c r="A368" s="151">
        <v>1101001011</v>
      </c>
      <c r="B368" s="156" t="s">
        <v>439</v>
      </c>
      <c r="C368" s="153" t="s">
        <v>77</v>
      </c>
      <c r="D368" s="153"/>
      <c r="E368" s="153" t="s">
        <v>78</v>
      </c>
      <c r="F368" s="153"/>
      <c r="G368" s="153"/>
      <c r="H368" s="153"/>
      <c r="I368" s="153"/>
      <c r="J368" s="162"/>
      <c r="K368" s="162"/>
      <c r="L368" s="162"/>
      <c r="M368" s="162"/>
      <c r="N368" s="162"/>
      <c r="O368" s="153" t="s">
        <v>79</v>
      </c>
      <c r="P368" s="153" t="s">
        <v>80</v>
      </c>
      <c r="Q368" s="153"/>
      <c r="R368" s="153">
        <v>10000</v>
      </c>
      <c r="S368" s="153"/>
      <c r="T368" s="153">
        <v>10000</v>
      </c>
      <c r="U368" s="153"/>
      <c r="V368" s="153" t="s">
        <v>101</v>
      </c>
      <c r="W368" s="153"/>
      <c r="X368" s="153"/>
      <c r="Y368" s="153"/>
      <c r="Z368" s="153"/>
      <c r="AA368" s="153"/>
      <c r="AB368" s="153"/>
      <c r="AC368" s="153"/>
      <c r="AD368" s="153"/>
      <c r="AE368" s="153"/>
      <c r="AF368" s="153"/>
      <c r="AG368" s="153"/>
      <c r="AH368" s="153"/>
      <c r="AI368" s="153"/>
      <c r="AJ368" s="153"/>
      <c r="AK368" s="153"/>
      <c r="AL368" s="153"/>
      <c r="AM368" s="153"/>
      <c r="AN368" s="153"/>
      <c r="AO368" s="153"/>
      <c r="AP368" s="153"/>
      <c r="AQ368" s="153"/>
      <c r="AR368" s="153"/>
      <c r="AS368" s="153"/>
      <c r="AT368" s="153"/>
      <c r="AU368" s="153"/>
      <c r="AV368" s="153"/>
      <c r="AW368" s="153"/>
      <c r="AX368" s="153"/>
      <c r="AY368" s="153"/>
      <c r="AZ368" s="153"/>
      <c r="BA368" s="153"/>
      <c r="BB368" s="153"/>
      <c r="BC368" s="153"/>
      <c r="BD368" s="153"/>
      <c r="BE368" s="153"/>
      <c r="BF368" s="153"/>
      <c r="BG368" s="153"/>
      <c r="BH368" s="153"/>
      <c r="BI368" s="153"/>
      <c r="BJ368" s="153"/>
      <c r="BK368" s="153"/>
      <c r="BL368" s="153"/>
      <c r="BM368" s="153"/>
      <c r="BN368" s="153"/>
      <c r="BO368" s="153"/>
      <c r="BP368" s="153"/>
      <c r="BQ368" s="153"/>
      <c r="BR368" s="153"/>
      <c r="BS368" s="153"/>
      <c r="BT368" s="153"/>
      <c r="BU368" s="153"/>
      <c r="BV368" s="153"/>
      <c r="BW368" s="153"/>
      <c r="BX368" s="153"/>
      <c r="BY368" s="173"/>
    </row>
    <row r="369" spans="1:77" s="17" customFormat="1" x14ac:dyDescent="0.15">
      <c r="A369" s="151">
        <v>1101010011</v>
      </c>
      <c r="B369" s="157" t="s">
        <v>440</v>
      </c>
      <c r="C369" s="153" t="s">
        <v>100</v>
      </c>
      <c r="D369" s="151"/>
      <c r="E369" s="153" t="s">
        <v>83</v>
      </c>
      <c r="F369" s="151">
        <v>100000</v>
      </c>
      <c r="G369" s="151"/>
      <c r="H369" s="151"/>
      <c r="I369" s="151"/>
      <c r="J369" s="165"/>
      <c r="K369" s="165"/>
      <c r="L369" s="165"/>
      <c r="M369" s="165"/>
      <c r="N369" s="165" t="s">
        <v>842</v>
      </c>
      <c r="O369" s="153" t="s">
        <v>79</v>
      </c>
      <c r="P369" s="153" t="s">
        <v>102</v>
      </c>
      <c r="Q369" s="153">
        <v>200</v>
      </c>
      <c r="R369" s="151"/>
      <c r="S369" s="151">
        <v>2000</v>
      </c>
      <c r="T369" s="151"/>
      <c r="U369" s="151">
        <v>5000</v>
      </c>
      <c r="V369" s="151" t="s">
        <v>81</v>
      </c>
      <c r="W369" s="151" t="s">
        <v>307</v>
      </c>
      <c r="X369" s="151" t="s">
        <v>308</v>
      </c>
      <c r="Y369" s="151">
        <v>-1500</v>
      </c>
      <c r="Z369" s="151"/>
      <c r="AA369" s="151"/>
      <c r="AB369" s="151"/>
      <c r="AC369" s="151"/>
      <c r="AD369" s="151"/>
      <c r="AE369" s="151"/>
      <c r="AF369" s="151"/>
      <c r="AG369" s="151"/>
      <c r="AH369" s="151"/>
      <c r="AI369" s="151"/>
      <c r="AJ369" s="151"/>
      <c r="AK369" s="151"/>
      <c r="AL369" s="151"/>
      <c r="AM369" s="151"/>
      <c r="AN369" s="151"/>
      <c r="AO369" s="151"/>
      <c r="AP369" s="151"/>
      <c r="AQ369" s="151"/>
      <c r="AR369" s="151"/>
      <c r="AS369" s="151"/>
      <c r="AT369" s="151"/>
      <c r="AU369" s="151"/>
      <c r="AV369" s="151"/>
      <c r="AW369" s="151"/>
      <c r="AX369" s="151"/>
      <c r="AY369" s="151"/>
      <c r="AZ369" s="151"/>
      <c r="BA369" s="151"/>
      <c r="BB369" s="151"/>
      <c r="BC369" s="151"/>
      <c r="BD369" s="151"/>
      <c r="BE369" s="151"/>
      <c r="BF369" s="151"/>
      <c r="BG369" s="151"/>
      <c r="BH369" s="151"/>
      <c r="BI369" s="151"/>
      <c r="BJ369" s="151"/>
      <c r="BK369" s="151"/>
      <c r="BL369" s="151"/>
      <c r="BM369" s="151"/>
      <c r="BN369" s="151"/>
      <c r="BO369" s="151"/>
      <c r="BP369" s="151"/>
      <c r="BQ369" s="151"/>
      <c r="BR369" s="151"/>
      <c r="BS369" s="151"/>
      <c r="BT369" s="151"/>
      <c r="BU369" s="151"/>
      <c r="BV369" s="151"/>
      <c r="BW369" s="151"/>
      <c r="BX369" s="151"/>
      <c r="BY369" s="174"/>
    </row>
    <row r="370" spans="1:77" s="17" customFormat="1" x14ac:dyDescent="0.15">
      <c r="A370" s="151">
        <v>1101010021</v>
      </c>
      <c r="B370" s="157" t="s">
        <v>440</v>
      </c>
      <c r="C370" s="153" t="s">
        <v>100</v>
      </c>
      <c r="D370" s="151"/>
      <c r="E370" s="153" t="s">
        <v>83</v>
      </c>
      <c r="F370" s="151">
        <v>100000</v>
      </c>
      <c r="G370" s="151"/>
      <c r="H370" s="151"/>
      <c r="I370" s="151"/>
      <c r="J370" s="165"/>
      <c r="K370" s="165"/>
      <c r="L370" s="165"/>
      <c r="M370" s="165"/>
      <c r="N370" s="165" t="s">
        <v>842</v>
      </c>
      <c r="O370" s="153" t="s">
        <v>79</v>
      </c>
      <c r="P370" s="153" t="s">
        <v>102</v>
      </c>
      <c r="Q370" s="153">
        <v>300</v>
      </c>
      <c r="R370" s="151"/>
      <c r="S370" s="151">
        <v>2000</v>
      </c>
      <c r="T370" s="151"/>
      <c r="U370" s="151">
        <v>5000</v>
      </c>
      <c r="V370" s="151" t="s">
        <v>81</v>
      </c>
      <c r="W370" s="151" t="s">
        <v>307</v>
      </c>
      <c r="X370" s="151" t="s">
        <v>308</v>
      </c>
      <c r="Y370" s="151">
        <v>-1500</v>
      </c>
      <c r="Z370" s="151"/>
      <c r="AA370" s="151"/>
      <c r="AB370" s="151"/>
      <c r="AC370" s="151"/>
      <c r="AD370" s="151"/>
      <c r="AE370" s="151"/>
      <c r="AF370" s="151"/>
      <c r="AG370" s="151"/>
      <c r="AH370" s="151"/>
      <c r="AI370" s="151"/>
      <c r="AJ370" s="151"/>
      <c r="AK370" s="151"/>
      <c r="AL370" s="151"/>
      <c r="AM370" s="151"/>
      <c r="AN370" s="151"/>
      <c r="AO370" s="151"/>
      <c r="AP370" s="151"/>
      <c r="AQ370" s="151"/>
      <c r="AR370" s="151"/>
      <c r="AS370" s="151"/>
      <c r="AT370" s="151"/>
      <c r="AU370" s="151"/>
      <c r="AV370" s="151"/>
      <c r="AW370" s="151"/>
      <c r="AX370" s="151"/>
      <c r="AY370" s="151"/>
      <c r="AZ370" s="151"/>
      <c r="BA370" s="151"/>
      <c r="BB370" s="151"/>
      <c r="BC370" s="151"/>
      <c r="BD370" s="151"/>
      <c r="BE370" s="151"/>
      <c r="BF370" s="151"/>
      <c r="BG370" s="151"/>
      <c r="BH370" s="151"/>
      <c r="BI370" s="151"/>
      <c r="BJ370" s="151"/>
      <c r="BK370" s="151"/>
      <c r="BL370" s="151"/>
      <c r="BM370" s="151"/>
      <c r="BN370" s="151"/>
      <c r="BO370" s="151"/>
      <c r="BP370" s="151"/>
      <c r="BQ370" s="151"/>
      <c r="BR370" s="151"/>
      <c r="BS370" s="151"/>
      <c r="BT370" s="151"/>
      <c r="BU370" s="151"/>
      <c r="BV370" s="151"/>
      <c r="BW370" s="151"/>
      <c r="BX370" s="151"/>
      <c r="BY370" s="174"/>
    </row>
    <row r="371" spans="1:77" s="17" customFormat="1" x14ac:dyDescent="0.15">
      <c r="A371" s="151">
        <v>1101010031</v>
      </c>
      <c r="B371" s="157" t="s">
        <v>440</v>
      </c>
      <c r="C371" s="153" t="s">
        <v>100</v>
      </c>
      <c r="D371" s="151"/>
      <c r="E371" s="153" t="s">
        <v>83</v>
      </c>
      <c r="F371" s="151">
        <v>100000</v>
      </c>
      <c r="G371" s="151"/>
      <c r="H371" s="151"/>
      <c r="I371" s="151"/>
      <c r="J371" s="165"/>
      <c r="K371" s="165"/>
      <c r="L371" s="165"/>
      <c r="M371" s="165"/>
      <c r="N371" s="165" t="s">
        <v>842</v>
      </c>
      <c r="O371" s="153" t="s">
        <v>79</v>
      </c>
      <c r="P371" s="153" t="s">
        <v>102</v>
      </c>
      <c r="Q371" s="153">
        <v>400</v>
      </c>
      <c r="R371" s="151"/>
      <c r="S371" s="151">
        <v>2000</v>
      </c>
      <c r="T371" s="151"/>
      <c r="U371" s="151">
        <v>5000</v>
      </c>
      <c r="V371" s="151" t="s">
        <v>81</v>
      </c>
      <c r="W371" s="151" t="s">
        <v>307</v>
      </c>
      <c r="X371" s="151" t="s">
        <v>308</v>
      </c>
      <c r="Y371" s="151">
        <v>-1500</v>
      </c>
      <c r="Z371" s="151"/>
      <c r="AA371" s="151"/>
      <c r="AB371" s="151"/>
      <c r="AC371" s="151"/>
      <c r="AD371" s="151"/>
      <c r="AE371" s="151"/>
      <c r="AF371" s="151"/>
      <c r="AG371" s="151"/>
      <c r="AH371" s="151"/>
      <c r="AI371" s="151"/>
      <c r="AJ371" s="151"/>
      <c r="AK371" s="151"/>
      <c r="AL371" s="151"/>
      <c r="AM371" s="151"/>
      <c r="AN371" s="151"/>
      <c r="AO371" s="151"/>
      <c r="AP371" s="151"/>
      <c r="AQ371" s="151"/>
      <c r="AR371" s="151"/>
      <c r="AS371" s="151"/>
      <c r="AT371" s="151"/>
      <c r="AU371" s="151"/>
      <c r="AV371" s="151"/>
      <c r="AW371" s="151"/>
      <c r="AX371" s="151"/>
      <c r="AY371" s="151"/>
      <c r="AZ371" s="151"/>
      <c r="BA371" s="151"/>
      <c r="BB371" s="151"/>
      <c r="BC371" s="151"/>
      <c r="BD371" s="151"/>
      <c r="BE371" s="151"/>
      <c r="BF371" s="151"/>
      <c r="BG371" s="151"/>
      <c r="BH371" s="151"/>
      <c r="BI371" s="151"/>
      <c r="BJ371" s="151"/>
      <c r="BK371" s="151"/>
      <c r="BL371" s="151"/>
      <c r="BM371" s="151"/>
      <c r="BN371" s="151"/>
      <c r="BO371" s="151"/>
      <c r="BP371" s="151"/>
      <c r="BQ371" s="151"/>
      <c r="BR371" s="151"/>
      <c r="BS371" s="151"/>
      <c r="BT371" s="151"/>
      <c r="BU371" s="151"/>
      <c r="BV371" s="151"/>
      <c r="BW371" s="151"/>
      <c r="BX371" s="151"/>
      <c r="BY371" s="174"/>
    </row>
    <row r="372" spans="1:77" s="17" customFormat="1" x14ac:dyDescent="0.15">
      <c r="A372" s="151">
        <v>1101010041</v>
      </c>
      <c r="B372" s="157" t="s">
        <v>440</v>
      </c>
      <c r="C372" s="153" t="s">
        <v>100</v>
      </c>
      <c r="D372" s="151"/>
      <c r="E372" s="153" t="s">
        <v>83</v>
      </c>
      <c r="F372" s="151">
        <v>100000</v>
      </c>
      <c r="G372" s="151"/>
      <c r="H372" s="151"/>
      <c r="I372" s="151"/>
      <c r="J372" s="165"/>
      <c r="K372" s="165"/>
      <c r="L372" s="165"/>
      <c r="M372" s="165"/>
      <c r="N372" s="165" t="s">
        <v>842</v>
      </c>
      <c r="O372" s="153" t="s">
        <v>79</v>
      </c>
      <c r="P372" s="153" t="s">
        <v>102</v>
      </c>
      <c r="Q372" s="153">
        <v>500</v>
      </c>
      <c r="R372" s="151"/>
      <c r="S372" s="151">
        <v>2000</v>
      </c>
      <c r="T372" s="151"/>
      <c r="U372" s="151">
        <v>5000</v>
      </c>
      <c r="V372" s="151" t="s">
        <v>81</v>
      </c>
      <c r="W372" s="151" t="s">
        <v>307</v>
      </c>
      <c r="X372" s="151" t="s">
        <v>308</v>
      </c>
      <c r="Y372" s="151">
        <v>-1500</v>
      </c>
      <c r="Z372" s="151"/>
      <c r="AA372" s="151"/>
      <c r="AB372" s="151"/>
      <c r="AC372" s="151"/>
      <c r="AD372" s="151"/>
      <c r="AE372" s="151"/>
      <c r="AF372" s="151"/>
      <c r="AG372" s="151"/>
      <c r="AH372" s="151"/>
      <c r="AI372" s="151"/>
      <c r="AJ372" s="151"/>
      <c r="AK372" s="151"/>
      <c r="AL372" s="151"/>
      <c r="AM372" s="151"/>
      <c r="AN372" s="151"/>
      <c r="AO372" s="151"/>
      <c r="AP372" s="151"/>
      <c r="AQ372" s="151"/>
      <c r="AR372" s="151"/>
      <c r="AS372" s="151"/>
      <c r="AT372" s="151"/>
      <c r="AU372" s="151"/>
      <c r="AV372" s="151"/>
      <c r="AW372" s="151"/>
      <c r="AX372" s="151"/>
      <c r="AY372" s="151"/>
      <c r="AZ372" s="151"/>
      <c r="BA372" s="151"/>
      <c r="BB372" s="151"/>
      <c r="BC372" s="151"/>
      <c r="BD372" s="151"/>
      <c r="BE372" s="151"/>
      <c r="BF372" s="151"/>
      <c r="BG372" s="151"/>
      <c r="BH372" s="151"/>
      <c r="BI372" s="151"/>
      <c r="BJ372" s="151"/>
      <c r="BK372" s="151"/>
      <c r="BL372" s="151"/>
      <c r="BM372" s="151"/>
      <c r="BN372" s="151"/>
      <c r="BO372" s="151"/>
      <c r="BP372" s="151"/>
      <c r="BQ372" s="151"/>
      <c r="BR372" s="151"/>
      <c r="BS372" s="151"/>
      <c r="BT372" s="151"/>
      <c r="BU372" s="151"/>
      <c r="BV372" s="151"/>
      <c r="BW372" s="151"/>
      <c r="BX372" s="151"/>
      <c r="BY372" s="174"/>
    </row>
    <row r="373" spans="1:77" s="17" customFormat="1" x14ac:dyDescent="0.15">
      <c r="A373" s="151">
        <v>1101020011</v>
      </c>
      <c r="B373" s="157" t="s">
        <v>441</v>
      </c>
      <c r="C373" s="153" t="s">
        <v>100</v>
      </c>
      <c r="D373" s="151"/>
      <c r="E373" s="153" t="s">
        <v>78</v>
      </c>
      <c r="F373" s="153"/>
      <c r="G373" s="153"/>
      <c r="H373" s="151"/>
      <c r="I373" s="151"/>
      <c r="J373" s="165"/>
      <c r="K373" s="165"/>
      <c r="L373" s="165"/>
      <c r="M373" s="165"/>
      <c r="N373" s="165"/>
      <c r="O373" s="153" t="s">
        <v>90</v>
      </c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  <c r="AB373" s="151"/>
      <c r="AC373" s="151">
        <v>1101020101</v>
      </c>
      <c r="AD373" s="151">
        <v>1101020101</v>
      </c>
      <c r="AE373" s="151"/>
      <c r="AF373" s="151"/>
      <c r="AG373" s="151"/>
      <c r="AH373" s="151"/>
      <c r="AI373" s="151"/>
      <c r="AJ373" s="151" t="s">
        <v>264</v>
      </c>
      <c r="AK373" s="151"/>
      <c r="AL373" s="151"/>
      <c r="AM373" s="151"/>
      <c r="AN373" s="151"/>
      <c r="AO373" s="151"/>
      <c r="AP373" s="151"/>
      <c r="AQ373" s="151"/>
      <c r="AR373" s="151"/>
      <c r="AS373" s="151"/>
      <c r="AT373" s="151"/>
      <c r="AU373" s="151"/>
      <c r="AV373" s="151"/>
      <c r="AW373" s="151"/>
      <c r="AX373" s="151"/>
      <c r="AY373" s="151"/>
      <c r="AZ373" s="151"/>
      <c r="BA373" s="151"/>
      <c r="BB373" s="151"/>
      <c r="BC373" s="151"/>
      <c r="BD373" s="151"/>
      <c r="BE373" s="151" t="s">
        <v>79</v>
      </c>
      <c r="BF373" s="151" t="s">
        <v>102</v>
      </c>
      <c r="BG373" s="151">
        <v>50</v>
      </c>
      <c r="BH373" s="151"/>
      <c r="BI373" s="151">
        <v>2000</v>
      </c>
      <c r="BJ373" s="151"/>
      <c r="BK373" s="151"/>
      <c r="BL373" s="151"/>
      <c r="BM373" s="151"/>
      <c r="BN373" s="151"/>
      <c r="BO373" s="151"/>
      <c r="BP373" s="151"/>
      <c r="BQ373" s="151"/>
      <c r="BR373" s="151"/>
      <c r="BS373" s="151"/>
      <c r="BT373" s="151"/>
      <c r="BU373" s="151"/>
      <c r="BV373" s="151"/>
      <c r="BW373" s="151"/>
      <c r="BX373" s="151"/>
      <c r="BY373" s="174"/>
    </row>
    <row r="374" spans="1:77" s="16" customFormat="1" x14ac:dyDescent="0.15">
      <c r="A374" s="153">
        <v>1101030011</v>
      </c>
      <c r="B374" s="156" t="s">
        <v>442</v>
      </c>
      <c r="C374" s="153" t="s">
        <v>89</v>
      </c>
      <c r="D374" s="153"/>
      <c r="E374" s="153" t="s">
        <v>78</v>
      </c>
      <c r="F374" s="153"/>
      <c r="G374" s="153"/>
      <c r="H374" s="153"/>
      <c r="I374" s="153"/>
      <c r="J374" s="162"/>
      <c r="K374" s="162"/>
      <c r="L374" s="162"/>
      <c r="M374" s="162"/>
      <c r="N374" s="162"/>
      <c r="O374" s="153" t="s">
        <v>95</v>
      </c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  <c r="AA374" s="153"/>
      <c r="AB374" s="153"/>
      <c r="AC374" s="153"/>
      <c r="AD374" s="153"/>
      <c r="AE374" s="153">
        <v>20000221</v>
      </c>
      <c r="AF374" s="153" t="s">
        <v>142</v>
      </c>
      <c r="AG374" s="153">
        <v>40000</v>
      </c>
      <c r="AH374" s="153">
        <v>2</v>
      </c>
      <c r="AI374" s="153">
        <v>2</v>
      </c>
      <c r="AJ374" s="153"/>
      <c r="AK374" s="153"/>
      <c r="AL374" s="153"/>
      <c r="AM374" s="153"/>
      <c r="AN374" s="153"/>
      <c r="AO374" s="153"/>
      <c r="AP374" s="153"/>
      <c r="AQ374" s="153"/>
      <c r="AR374" s="153"/>
      <c r="AS374" s="153"/>
      <c r="AT374" s="153"/>
      <c r="AU374" s="153"/>
      <c r="AV374" s="153"/>
      <c r="AW374" s="153"/>
      <c r="AX374" s="153"/>
      <c r="AY374" s="153"/>
      <c r="AZ374" s="153"/>
      <c r="BA374" s="153"/>
      <c r="BB374" s="153"/>
      <c r="BC374" s="153"/>
      <c r="BD374" s="153"/>
      <c r="BE374" s="153"/>
      <c r="BF374" s="153"/>
      <c r="BG374" s="153"/>
      <c r="BH374" s="153"/>
      <c r="BI374" s="153"/>
      <c r="BJ374" s="153"/>
      <c r="BK374" s="153"/>
      <c r="BL374" s="153"/>
      <c r="BM374" s="153"/>
      <c r="BN374" s="153"/>
      <c r="BO374" s="153"/>
      <c r="BP374" s="153"/>
      <c r="BQ374" s="153"/>
      <c r="BR374" s="153"/>
      <c r="BS374" s="153"/>
      <c r="BT374" s="153"/>
      <c r="BU374" s="153"/>
      <c r="BV374" s="153"/>
      <c r="BW374" s="153"/>
      <c r="BX374" s="153"/>
      <c r="BY374" s="173"/>
    </row>
    <row r="375" spans="1:77" s="16" customFormat="1" x14ac:dyDescent="0.15">
      <c r="A375" s="153">
        <v>1101030021</v>
      </c>
      <c r="B375" s="156" t="s">
        <v>442</v>
      </c>
      <c r="C375" s="153" t="s">
        <v>89</v>
      </c>
      <c r="D375" s="153"/>
      <c r="E375" s="153" t="s">
        <v>78</v>
      </c>
      <c r="F375" s="153"/>
      <c r="G375" s="153"/>
      <c r="H375" s="153"/>
      <c r="I375" s="153"/>
      <c r="J375" s="162"/>
      <c r="K375" s="162"/>
      <c r="L375" s="162"/>
      <c r="M375" s="162"/>
      <c r="N375" s="162"/>
      <c r="O375" s="153" t="s">
        <v>95</v>
      </c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  <c r="AA375" s="153"/>
      <c r="AB375" s="153"/>
      <c r="AC375" s="153"/>
      <c r="AD375" s="153"/>
      <c r="AE375" s="153">
        <v>20000222</v>
      </c>
      <c r="AF375" s="153" t="s">
        <v>142</v>
      </c>
      <c r="AG375" s="153">
        <v>40000</v>
      </c>
      <c r="AH375" s="153">
        <v>2</v>
      </c>
      <c r="AI375" s="153">
        <v>2</v>
      </c>
      <c r="AJ375" s="153"/>
      <c r="AK375" s="153"/>
      <c r="AL375" s="153"/>
      <c r="AM375" s="153"/>
      <c r="AN375" s="153"/>
      <c r="AO375" s="153"/>
      <c r="AP375" s="153"/>
      <c r="AQ375" s="153"/>
      <c r="AR375" s="153"/>
      <c r="AS375" s="153"/>
      <c r="AT375" s="153"/>
      <c r="AU375" s="153"/>
      <c r="AV375" s="153"/>
      <c r="AW375" s="153"/>
      <c r="AX375" s="153"/>
      <c r="AY375" s="153"/>
      <c r="AZ375" s="153"/>
      <c r="BA375" s="153"/>
      <c r="BB375" s="153"/>
      <c r="BC375" s="153"/>
      <c r="BD375" s="153"/>
      <c r="BE375" s="153"/>
      <c r="BF375" s="153"/>
      <c r="BG375" s="153"/>
      <c r="BH375" s="153"/>
      <c r="BI375" s="153"/>
      <c r="BJ375" s="153"/>
      <c r="BK375" s="153"/>
      <c r="BL375" s="153"/>
      <c r="BM375" s="153"/>
      <c r="BN375" s="153"/>
      <c r="BO375" s="153"/>
      <c r="BP375" s="153"/>
      <c r="BQ375" s="153"/>
      <c r="BR375" s="153"/>
      <c r="BS375" s="153"/>
      <c r="BT375" s="153"/>
      <c r="BU375" s="153"/>
      <c r="BV375" s="153"/>
      <c r="BW375" s="153"/>
      <c r="BX375" s="153"/>
      <c r="BY375" s="173"/>
    </row>
    <row r="376" spans="1:77" s="16" customFormat="1" x14ac:dyDescent="0.15">
      <c r="A376" s="153">
        <v>1101030031</v>
      </c>
      <c r="B376" s="156" t="s">
        <v>442</v>
      </c>
      <c r="C376" s="153" t="s">
        <v>89</v>
      </c>
      <c r="D376" s="153"/>
      <c r="E376" s="153" t="s">
        <v>78</v>
      </c>
      <c r="F376" s="153"/>
      <c r="G376" s="153"/>
      <c r="H376" s="153"/>
      <c r="I376" s="153"/>
      <c r="J376" s="162"/>
      <c r="K376" s="162"/>
      <c r="L376" s="162"/>
      <c r="M376" s="162"/>
      <c r="N376" s="162"/>
      <c r="O376" s="153" t="s">
        <v>95</v>
      </c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  <c r="AA376" s="153"/>
      <c r="AB376" s="153"/>
      <c r="AC376" s="153"/>
      <c r="AD376" s="153"/>
      <c r="AE376" s="153">
        <v>20000223</v>
      </c>
      <c r="AF376" s="153" t="s">
        <v>142</v>
      </c>
      <c r="AG376" s="153">
        <v>40000</v>
      </c>
      <c r="AH376" s="153">
        <v>2</v>
      </c>
      <c r="AI376" s="153">
        <v>2</v>
      </c>
      <c r="AJ376" s="153"/>
      <c r="AK376" s="153"/>
      <c r="AL376" s="153"/>
      <c r="AM376" s="153"/>
      <c r="AN376" s="153"/>
      <c r="AO376" s="153"/>
      <c r="AP376" s="153"/>
      <c r="AQ376" s="153"/>
      <c r="AR376" s="153"/>
      <c r="AS376" s="153"/>
      <c r="AT376" s="153"/>
      <c r="AU376" s="153"/>
      <c r="AV376" s="153"/>
      <c r="AW376" s="153"/>
      <c r="AX376" s="153"/>
      <c r="AY376" s="153"/>
      <c r="AZ376" s="153"/>
      <c r="BA376" s="153"/>
      <c r="BB376" s="153"/>
      <c r="BC376" s="153"/>
      <c r="BD376" s="153"/>
      <c r="BE376" s="153"/>
      <c r="BF376" s="153"/>
      <c r="BG376" s="153"/>
      <c r="BH376" s="153"/>
      <c r="BI376" s="153"/>
      <c r="BJ376" s="153"/>
      <c r="BK376" s="153"/>
      <c r="BL376" s="153"/>
      <c r="BM376" s="153"/>
      <c r="BN376" s="153"/>
      <c r="BO376" s="153"/>
      <c r="BP376" s="153"/>
      <c r="BQ376" s="153"/>
      <c r="BR376" s="153"/>
      <c r="BS376" s="153"/>
      <c r="BT376" s="153"/>
      <c r="BU376" s="153"/>
      <c r="BV376" s="153"/>
      <c r="BW376" s="153"/>
      <c r="BX376" s="153"/>
      <c r="BY376" s="173"/>
    </row>
    <row r="377" spans="1:77" s="16" customFormat="1" x14ac:dyDescent="0.15">
      <c r="A377" s="153">
        <v>1101030041</v>
      </c>
      <c r="B377" s="156" t="s">
        <v>442</v>
      </c>
      <c r="C377" s="153" t="s">
        <v>89</v>
      </c>
      <c r="D377" s="153"/>
      <c r="E377" s="153" t="s">
        <v>78</v>
      </c>
      <c r="F377" s="153"/>
      <c r="G377" s="153"/>
      <c r="H377" s="153"/>
      <c r="I377" s="153"/>
      <c r="J377" s="162"/>
      <c r="K377" s="162"/>
      <c r="L377" s="162"/>
      <c r="M377" s="162"/>
      <c r="N377" s="162"/>
      <c r="O377" s="153" t="s">
        <v>95</v>
      </c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  <c r="AA377" s="153"/>
      <c r="AB377" s="153"/>
      <c r="AC377" s="153"/>
      <c r="AD377" s="153"/>
      <c r="AE377" s="153">
        <v>20000231</v>
      </c>
      <c r="AF377" s="153" t="s">
        <v>142</v>
      </c>
      <c r="AG377" s="153">
        <v>40000</v>
      </c>
      <c r="AH377" s="153">
        <v>2</v>
      </c>
      <c r="AI377" s="153">
        <v>2</v>
      </c>
      <c r="AJ377" s="153"/>
      <c r="AK377" s="153"/>
      <c r="AL377" s="153"/>
      <c r="AM377" s="153"/>
      <c r="AN377" s="153"/>
      <c r="AO377" s="153"/>
      <c r="AP377" s="153"/>
      <c r="AQ377" s="153"/>
      <c r="AR377" s="153"/>
      <c r="AS377" s="153"/>
      <c r="AT377" s="153"/>
      <c r="AU377" s="153"/>
      <c r="AV377" s="153"/>
      <c r="AW377" s="153"/>
      <c r="AX377" s="153"/>
      <c r="AY377" s="153"/>
      <c r="AZ377" s="153"/>
      <c r="BA377" s="153"/>
      <c r="BB377" s="153"/>
      <c r="BC377" s="153"/>
      <c r="BD377" s="153"/>
      <c r="BE377" s="153"/>
      <c r="BF377" s="153"/>
      <c r="BG377" s="153"/>
      <c r="BH377" s="153"/>
      <c r="BI377" s="153"/>
      <c r="BJ377" s="153"/>
      <c r="BK377" s="153"/>
      <c r="BL377" s="153"/>
      <c r="BM377" s="153"/>
      <c r="BN377" s="153"/>
      <c r="BO377" s="153"/>
      <c r="BP377" s="153"/>
      <c r="BQ377" s="153"/>
      <c r="BR377" s="153"/>
      <c r="BS377" s="153"/>
      <c r="BT377" s="153"/>
      <c r="BU377" s="153"/>
      <c r="BV377" s="153"/>
      <c r="BW377" s="153"/>
      <c r="BX377" s="153"/>
      <c r="BY377" s="173"/>
    </row>
    <row r="378" spans="1:77" s="14" customFormat="1" x14ac:dyDescent="0.15">
      <c r="A378" s="151">
        <v>1101040011</v>
      </c>
      <c r="B378" s="152" t="s">
        <v>443</v>
      </c>
      <c r="C378" s="153" t="s">
        <v>77</v>
      </c>
      <c r="D378" s="153"/>
      <c r="E378" s="153" t="s">
        <v>83</v>
      </c>
      <c r="F378" s="153">
        <v>100000</v>
      </c>
      <c r="G378" s="153"/>
      <c r="H378" s="153"/>
      <c r="I378" s="153"/>
      <c r="J378" s="162"/>
      <c r="K378" s="162"/>
      <c r="L378" s="162"/>
      <c r="M378" s="162"/>
      <c r="N378" s="162"/>
      <c r="O378" s="153" t="s">
        <v>95</v>
      </c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>
        <v>20000224</v>
      </c>
      <c r="AF378" s="163" t="s">
        <v>96</v>
      </c>
      <c r="AG378" s="163"/>
      <c r="AH378" s="163">
        <v>1</v>
      </c>
      <c r="AI378" s="163"/>
      <c r="AJ378" s="163"/>
      <c r="AK378" s="163"/>
      <c r="AL378" s="163"/>
      <c r="AM378" s="163"/>
      <c r="AN378" s="163"/>
      <c r="AO378" s="163"/>
      <c r="AP378" s="163"/>
      <c r="AQ378" s="163"/>
      <c r="AR378" s="163"/>
      <c r="AS378" s="163"/>
      <c r="AT378" s="163"/>
      <c r="AU378" s="163"/>
      <c r="AV378" s="163"/>
      <c r="AW378" s="163"/>
      <c r="AX378" s="163"/>
      <c r="AY378" s="163"/>
      <c r="AZ378" s="163"/>
      <c r="BA378" s="163"/>
      <c r="BB378" s="163"/>
      <c r="BC378" s="163"/>
      <c r="BD378" s="163"/>
      <c r="BE378" s="163"/>
      <c r="BF378" s="163"/>
      <c r="BG378" s="163"/>
      <c r="BH378" s="163"/>
      <c r="BI378" s="163"/>
      <c r="BJ378" s="163"/>
      <c r="BK378" s="163"/>
      <c r="BL378" s="163"/>
      <c r="BM378" s="163"/>
      <c r="BN378" s="163"/>
      <c r="BO378" s="163"/>
      <c r="BP378" s="163"/>
      <c r="BQ378" s="163"/>
      <c r="BR378" s="163"/>
      <c r="BS378" s="163"/>
      <c r="BT378" s="163"/>
      <c r="BU378" s="163"/>
      <c r="BV378" s="163"/>
      <c r="BW378" s="163"/>
      <c r="BX378" s="163"/>
      <c r="BY378" s="171"/>
    </row>
    <row r="379" spans="1:77" s="14" customFormat="1" x14ac:dyDescent="0.15">
      <c r="A379" s="151">
        <v>1101040021</v>
      </c>
      <c r="B379" s="152" t="s">
        <v>443</v>
      </c>
      <c r="C379" s="153" t="s">
        <v>77</v>
      </c>
      <c r="D379" s="153"/>
      <c r="E379" s="153" t="s">
        <v>83</v>
      </c>
      <c r="F379" s="153">
        <v>100000</v>
      </c>
      <c r="G379" s="153"/>
      <c r="H379" s="153"/>
      <c r="I379" s="153"/>
      <c r="J379" s="162"/>
      <c r="K379" s="162"/>
      <c r="L379" s="162"/>
      <c r="M379" s="162"/>
      <c r="N379" s="162"/>
      <c r="O379" s="153" t="s">
        <v>95</v>
      </c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>
        <v>20000232</v>
      </c>
      <c r="AF379" s="163" t="s">
        <v>96</v>
      </c>
      <c r="AG379" s="163"/>
      <c r="AH379" s="163">
        <v>1</v>
      </c>
      <c r="AI379" s="163"/>
      <c r="AJ379" s="163"/>
      <c r="AK379" s="163"/>
      <c r="AL379" s="163"/>
      <c r="AM379" s="163"/>
      <c r="AN379" s="163"/>
      <c r="AO379" s="163"/>
      <c r="AP379" s="163"/>
      <c r="AQ379" s="163"/>
      <c r="AR379" s="163"/>
      <c r="AS379" s="163"/>
      <c r="AT379" s="163"/>
      <c r="AU379" s="163"/>
      <c r="AV379" s="163"/>
      <c r="AW379" s="163"/>
      <c r="AX379" s="163"/>
      <c r="AY379" s="163"/>
      <c r="AZ379" s="163"/>
      <c r="BA379" s="163"/>
      <c r="BB379" s="163"/>
      <c r="BC379" s="163"/>
      <c r="BD379" s="163"/>
      <c r="BE379" s="163"/>
      <c r="BF379" s="163"/>
      <c r="BG379" s="163"/>
      <c r="BH379" s="163"/>
      <c r="BI379" s="163"/>
      <c r="BJ379" s="163"/>
      <c r="BK379" s="163"/>
      <c r="BL379" s="163"/>
      <c r="BM379" s="163"/>
      <c r="BN379" s="163"/>
      <c r="BO379" s="163"/>
      <c r="BP379" s="163"/>
      <c r="BQ379" s="163"/>
      <c r="BR379" s="163"/>
      <c r="BS379" s="163"/>
      <c r="BT379" s="163"/>
      <c r="BU379" s="163"/>
      <c r="BV379" s="163"/>
      <c r="BW379" s="163"/>
      <c r="BX379" s="163"/>
      <c r="BY379" s="171"/>
    </row>
    <row r="380" spans="1:77" s="18" customFormat="1" x14ac:dyDescent="0.15">
      <c r="A380" s="148">
        <v>1102001011</v>
      </c>
      <c r="B380" s="158" t="s">
        <v>444</v>
      </c>
      <c r="C380" s="150" t="s">
        <v>77</v>
      </c>
      <c r="D380" s="150"/>
      <c r="E380" s="150" t="s">
        <v>78</v>
      </c>
      <c r="F380" s="150"/>
      <c r="G380" s="150"/>
      <c r="H380" s="150"/>
      <c r="I380" s="150"/>
      <c r="J380" s="166"/>
      <c r="K380" s="166"/>
      <c r="L380" s="166"/>
      <c r="M380" s="166"/>
      <c r="N380" s="166"/>
      <c r="O380" s="150" t="s">
        <v>79</v>
      </c>
      <c r="P380" s="167" t="s">
        <v>80</v>
      </c>
      <c r="Q380" s="167"/>
      <c r="R380" s="167">
        <v>10000</v>
      </c>
      <c r="S380" s="167"/>
      <c r="T380" s="167">
        <v>10000</v>
      </c>
      <c r="U380" s="167"/>
      <c r="V380" s="167" t="s">
        <v>101</v>
      </c>
      <c r="W380" s="167"/>
      <c r="X380" s="167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67"/>
      <c r="AT380" s="167"/>
      <c r="AU380" s="167"/>
      <c r="AV380" s="167"/>
      <c r="AW380" s="167"/>
      <c r="AX380" s="167"/>
      <c r="AY380" s="167"/>
      <c r="AZ380" s="167"/>
      <c r="BA380" s="167"/>
      <c r="BB380" s="167"/>
      <c r="BC380" s="167"/>
      <c r="BD380" s="167"/>
      <c r="BE380" s="167"/>
      <c r="BF380" s="167"/>
      <c r="BG380" s="167"/>
      <c r="BH380" s="167"/>
      <c r="BI380" s="167"/>
      <c r="BJ380" s="167"/>
      <c r="BK380" s="167"/>
      <c r="BL380" s="167"/>
      <c r="BM380" s="167"/>
      <c r="BN380" s="167"/>
      <c r="BO380" s="167"/>
      <c r="BP380" s="167"/>
      <c r="BQ380" s="167"/>
      <c r="BR380" s="167"/>
      <c r="BS380" s="167"/>
      <c r="BT380" s="167"/>
      <c r="BU380" s="167"/>
      <c r="BV380" s="167"/>
      <c r="BW380" s="167"/>
      <c r="BX380" s="167"/>
      <c r="BY380" s="175"/>
    </row>
    <row r="381" spans="1:77" s="18" customFormat="1" x14ac:dyDescent="0.15">
      <c r="A381" s="159">
        <v>1102001012</v>
      </c>
      <c r="B381" s="160" t="s">
        <v>445</v>
      </c>
      <c r="C381" s="154" t="s">
        <v>77</v>
      </c>
      <c r="D381" s="154"/>
      <c r="E381" s="154" t="s">
        <v>425</v>
      </c>
      <c r="F381" s="154">
        <v>40000</v>
      </c>
      <c r="G381" s="154">
        <v>1200</v>
      </c>
      <c r="H381" s="154"/>
      <c r="I381" s="154"/>
      <c r="J381" s="164"/>
      <c r="K381" s="164"/>
      <c r="L381" s="164"/>
      <c r="M381" s="164"/>
      <c r="N381" s="164"/>
      <c r="O381" s="154" t="s">
        <v>79</v>
      </c>
      <c r="P381" s="168" t="s">
        <v>80</v>
      </c>
      <c r="Q381" s="168"/>
      <c r="R381" s="168">
        <v>5000</v>
      </c>
      <c r="S381" s="168"/>
      <c r="T381" s="168"/>
      <c r="U381" s="168"/>
      <c r="V381" s="168" t="s">
        <v>101</v>
      </c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  <c r="AT381" s="168"/>
      <c r="AU381" s="168"/>
      <c r="AV381" s="168"/>
      <c r="AW381" s="168"/>
      <c r="AX381" s="168"/>
      <c r="AY381" s="168"/>
      <c r="AZ381" s="168"/>
      <c r="BA381" s="168"/>
      <c r="BB381" s="168"/>
      <c r="BC381" s="168"/>
      <c r="BD381" s="168"/>
      <c r="BE381" s="168"/>
      <c r="BF381" s="168"/>
      <c r="BG381" s="168"/>
      <c r="BH381" s="168"/>
      <c r="BI381" s="168"/>
      <c r="BJ381" s="168"/>
      <c r="BK381" s="168"/>
      <c r="BL381" s="168"/>
      <c r="BM381" s="168"/>
      <c r="BN381" s="168"/>
      <c r="BO381" s="168"/>
      <c r="BP381" s="168"/>
      <c r="BQ381" s="168"/>
      <c r="BR381" s="168"/>
      <c r="BS381" s="168"/>
      <c r="BT381" s="168"/>
      <c r="BU381" s="168"/>
      <c r="BV381" s="168"/>
      <c r="BW381" s="168"/>
      <c r="BX381" s="168"/>
      <c r="BY381" s="176"/>
    </row>
    <row r="382" spans="1:77" s="18" customFormat="1" x14ac:dyDescent="0.15">
      <c r="A382" s="148">
        <v>1102002011</v>
      </c>
      <c r="B382" s="158" t="s">
        <v>446</v>
      </c>
      <c r="C382" s="150" t="s">
        <v>77</v>
      </c>
      <c r="D382" s="150"/>
      <c r="E382" s="150" t="s">
        <v>78</v>
      </c>
      <c r="F382" s="150"/>
      <c r="G382" s="150"/>
      <c r="H382" s="150"/>
      <c r="I382" s="150"/>
      <c r="J382" s="166"/>
      <c r="K382" s="166"/>
      <c r="L382" s="166"/>
      <c r="M382" s="166"/>
      <c r="N382" s="166"/>
      <c r="O382" s="150" t="s">
        <v>79</v>
      </c>
      <c r="P382" s="167" t="s">
        <v>80</v>
      </c>
      <c r="Q382" s="167"/>
      <c r="R382" s="167">
        <v>10000</v>
      </c>
      <c r="S382" s="167"/>
      <c r="T382" s="167">
        <v>10000</v>
      </c>
      <c r="U382" s="167"/>
      <c r="V382" s="167" t="s">
        <v>101</v>
      </c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67"/>
      <c r="AT382" s="167"/>
      <c r="AU382" s="167"/>
      <c r="AV382" s="167"/>
      <c r="AW382" s="167"/>
      <c r="AX382" s="167"/>
      <c r="AY382" s="167"/>
      <c r="AZ382" s="167"/>
      <c r="BA382" s="167"/>
      <c r="BB382" s="167"/>
      <c r="BC382" s="167"/>
      <c r="BD382" s="167"/>
      <c r="BE382" s="167"/>
      <c r="BF382" s="167"/>
      <c r="BG382" s="167"/>
      <c r="BH382" s="167"/>
      <c r="BI382" s="167"/>
      <c r="BJ382" s="167"/>
      <c r="BK382" s="167"/>
      <c r="BL382" s="167"/>
      <c r="BM382" s="167"/>
      <c r="BN382" s="167"/>
      <c r="BO382" s="167"/>
      <c r="BP382" s="167"/>
      <c r="BQ382" s="167"/>
      <c r="BR382" s="167"/>
      <c r="BS382" s="167"/>
      <c r="BT382" s="167"/>
      <c r="BU382" s="167"/>
      <c r="BV382" s="167"/>
      <c r="BW382" s="167"/>
      <c r="BX382" s="167"/>
      <c r="BY382" s="175"/>
    </row>
    <row r="383" spans="1:77" s="18" customFormat="1" x14ac:dyDescent="0.15">
      <c r="A383" s="148">
        <v>1102010011</v>
      </c>
      <c r="B383" s="158" t="s">
        <v>447</v>
      </c>
      <c r="C383" s="150" t="s">
        <v>100</v>
      </c>
      <c r="D383" s="150"/>
      <c r="E383" s="150" t="s">
        <v>85</v>
      </c>
      <c r="F383" s="150">
        <v>50000</v>
      </c>
      <c r="G383" s="150">
        <v>150000</v>
      </c>
      <c r="H383" s="150"/>
      <c r="I383" s="150"/>
      <c r="J383" s="166"/>
      <c r="K383" s="166"/>
      <c r="L383" s="166"/>
      <c r="M383" s="166" t="s">
        <v>101</v>
      </c>
      <c r="N383" s="166" t="s">
        <v>843</v>
      </c>
      <c r="O383" s="150" t="s">
        <v>79</v>
      </c>
      <c r="P383" s="167" t="s">
        <v>80</v>
      </c>
      <c r="Q383" s="167">
        <v>150</v>
      </c>
      <c r="R383" s="167">
        <v>3500</v>
      </c>
      <c r="S383" s="167"/>
      <c r="T383" s="167"/>
      <c r="U383" s="167"/>
      <c r="V383" s="150" t="s">
        <v>81</v>
      </c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7"/>
      <c r="AU383" s="167"/>
      <c r="AV383" s="167"/>
      <c r="AW383" s="167"/>
      <c r="AX383" s="167"/>
      <c r="AY383" s="167"/>
      <c r="AZ383" s="167"/>
      <c r="BA383" s="167"/>
      <c r="BB383" s="167"/>
      <c r="BC383" s="167"/>
      <c r="BD383" s="167"/>
      <c r="BE383" s="167"/>
      <c r="BF383" s="167"/>
      <c r="BG383" s="167"/>
      <c r="BH383" s="167"/>
      <c r="BI383" s="167"/>
      <c r="BJ383" s="167"/>
      <c r="BK383" s="167"/>
      <c r="BL383" s="167"/>
      <c r="BM383" s="167"/>
      <c r="BN383" s="167"/>
      <c r="BO383" s="167"/>
      <c r="BP383" s="167"/>
      <c r="BQ383" s="167"/>
      <c r="BR383" s="167"/>
      <c r="BS383" s="167"/>
      <c r="BT383" s="167"/>
      <c r="BU383" s="167"/>
      <c r="BV383" s="167"/>
      <c r="BW383" s="167"/>
      <c r="BX383" s="167"/>
      <c r="BY383" s="175"/>
    </row>
    <row r="384" spans="1:77" s="18" customFormat="1" x14ac:dyDescent="0.15">
      <c r="A384" s="148">
        <v>1102010021</v>
      </c>
      <c r="B384" s="158" t="s">
        <v>447</v>
      </c>
      <c r="C384" s="150" t="s">
        <v>100</v>
      </c>
      <c r="D384" s="150"/>
      <c r="E384" s="150" t="s">
        <v>85</v>
      </c>
      <c r="F384" s="150">
        <v>50000</v>
      </c>
      <c r="G384" s="150">
        <v>150000</v>
      </c>
      <c r="H384" s="150"/>
      <c r="I384" s="150"/>
      <c r="J384" s="166"/>
      <c r="K384" s="166"/>
      <c r="L384" s="166"/>
      <c r="M384" s="166" t="s">
        <v>101</v>
      </c>
      <c r="N384" s="166" t="s">
        <v>843</v>
      </c>
      <c r="O384" s="150" t="s">
        <v>79</v>
      </c>
      <c r="P384" s="167" t="s">
        <v>80</v>
      </c>
      <c r="Q384" s="167">
        <v>230</v>
      </c>
      <c r="R384" s="167">
        <v>3500</v>
      </c>
      <c r="S384" s="167"/>
      <c r="T384" s="167"/>
      <c r="U384" s="167"/>
      <c r="V384" s="150" t="s">
        <v>81</v>
      </c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  <c r="AP384" s="167"/>
      <c r="AQ384" s="167"/>
      <c r="AR384" s="167"/>
      <c r="AS384" s="167"/>
      <c r="AT384" s="167"/>
      <c r="AU384" s="167"/>
      <c r="AV384" s="167"/>
      <c r="AW384" s="167"/>
      <c r="AX384" s="167"/>
      <c r="AY384" s="167"/>
      <c r="AZ384" s="167"/>
      <c r="BA384" s="167"/>
      <c r="BB384" s="167"/>
      <c r="BC384" s="167"/>
      <c r="BD384" s="167"/>
      <c r="BE384" s="167"/>
      <c r="BF384" s="167"/>
      <c r="BG384" s="167"/>
      <c r="BH384" s="167"/>
      <c r="BI384" s="167"/>
      <c r="BJ384" s="167"/>
      <c r="BK384" s="167"/>
      <c r="BL384" s="167"/>
      <c r="BM384" s="167"/>
      <c r="BN384" s="167"/>
      <c r="BO384" s="167"/>
      <c r="BP384" s="167"/>
      <c r="BQ384" s="167"/>
      <c r="BR384" s="167"/>
      <c r="BS384" s="167"/>
      <c r="BT384" s="167"/>
      <c r="BU384" s="167"/>
      <c r="BV384" s="167"/>
      <c r="BW384" s="167"/>
      <c r="BX384" s="167"/>
      <c r="BY384" s="175"/>
    </row>
    <row r="385" spans="1:77" s="18" customFormat="1" x14ac:dyDescent="0.15">
      <c r="A385" s="148">
        <v>1102010031</v>
      </c>
      <c r="B385" s="158" t="s">
        <v>447</v>
      </c>
      <c r="C385" s="150" t="s">
        <v>100</v>
      </c>
      <c r="D385" s="150"/>
      <c r="E385" s="150" t="s">
        <v>85</v>
      </c>
      <c r="F385" s="150">
        <v>50000</v>
      </c>
      <c r="G385" s="150">
        <v>150000</v>
      </c>
      <c r="H385" s="150"/>
      <c r="I385" s="150"/>
      <c r="J385" s="166"/>
      <c r="K385" s="166"/>
      <c r="L385" s="166"/>
      <c r="M385" s="166" t="s">
        <v>101</v>
      </c>
      <c r="N385" s="166" t="s">
        <v>843</v>
      </c>
      <c r="O385" s="150" t="s">
        <v>79</v>
      </c>
      <c r="P385" s="167" t="s">
        <v>80</v>
      </c>
      <c r="Q385" s="167">
        <v>310</v>
      </c>
      <c r="R385" s="167">
        <v>3500</v>
      </c>
      <c r="S385" s="167"/>
      <c r="T385" s="167"/>
      <c r="U385" s="167"/>
      <c r="V385" s="150" t="s">
        <v>81</v>
      </c>
      <c r="W385" s="167"/>
      <c r="X385" s="167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  <c r="AP385" s="167"/>
      <c r="AQ385" s="167"/>
      <c r="AR385" s="167"/>
      <c r="AS385" s="167"/>
      <c r="AT385" s="167"/>
      <c r="AU385" s="167"/>
      <c r="AV385" s="167"/>
      <c r="AW385" s="167"/>
      <c r="AX385" s="167"/>
      <c r="AY385" s="167"/>
      <c r="AZ385" s="167"/>
      <c r="BA385" s="167"/>
      <c r="BB385" s="167"/>
      <c r="BC385" s="167"/>
      <c r="BD385" s="167"/>
      <c r="BE385" s="167"/>
      <c r="BF385" s="167"/>
      <c r="BG385" s="167"/>
      <c r="BH385" s="167"/>
      <c r="BI385" s="167"/>
      <c r="BJ385" s="167"/>
      <c r="BK385" s="167"/>
      <c r="BL385" s="167"/>
      <c r="BM385" s="167"/>
      <c r="BN385" s="167"/>
      <c r="BO385" s="167"/>
      <c r="BP385" s="167"/>
      <c r="BQ385" s="167"/>
      <c r="BR385" s="167"/>
      <c r="BS385" s="167"/>
      <c r="BT385" s="167"/>
      <c r="BU385" s="167"/>
      <c r="BV385" s="167"/>
      <c r="BW385" s="167"/>
      <c r="BX385" s="167"/>
      <c r="BY385" s="175"/>
    </row>
    <row r="386" spans="1:77" s="18" customFormat="1" x14ac:dyDescent="0.15">
      <c r="A386" s="148">
        <v>1102010041</v>
      </c>
      <c r="B386" s="158" t="s">
        <v>447</v>
      </c>
      <c r="C386" s="150" t="s">
        <v>100</v>
      </c>
      <c r="D386" s="150"/>
      <c r="E386" s="150" t="s">
        <v>85</v>
      </c>
      <c r="F386" s="150">
        <v>50000</v>
      </c>
      <c r="G386" s="150">
        <v>150000</v>
      </c>
      <c r="H386" s="150"/>
      <c r="I386" s="150"/>
      <c r="J386" s="166"/>
      <c r="K386" s="166"/>
      <c r="L386" s="166"/>
      <c r="M386" s="166" t="s">
        <v>101</v>
      </c>
      <c r="N386" s="166" t="s">
        <v>843</v>
      </c>
      <c r="O386" s="150" t="s">
        <v>79</v>
      </c>
      <c r="P386" s="167" t="s">
        <v>80</v>
      </c>
      <c r="Q386" s="167">
        <v>390</v>
      </c>
      <c r="R386" s="167">
        <v>3500</v>
      </c>
      <c r="S386" s="167"/>
      <c r="T386" s="167"/>
      <c r="U386" s="167"/>
      <c r="V386" s="150" t="s">
        <v>81</v>
      </c>
      <c r="W386" s="167"/>
      <c r="X386" s="167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  <c r="AP386" s="167"/>
      <c r="AQ386" s="167"/>
      <c r="AR386" s="167"/>
      <c r="AS386" s="167"/>
      <c r="AT386" s="167"/>
      <c r="AU386" s="167"/>
      <c r="AV386" s="167"/>
      <c r="AW386" s="167"/>
      <c r="AX386" s="167"/>
      <c r="AY386" s="167"/>
      <c r="AZ386" s="167"/>
      <c r="BA386" s="167"/>
      <c r="BB386" s="167"/>
      <c r="BC386" s="167"/>
      <c r="BD386" s="167"/>
      <c r="BE386" s="167"/>
      <c r="BF386" s="167"/>
      <c r="BG386" s="167"/>
      <c r="BH386" s="167"/>
      <c r="BI386" s="167"/>
      <c r="BJ386" s="167"/>
      <c r="BK386" s="167"/>
      <c r="BL386" s="167"/>
      <c r="BM386" s="167"/>
      <c r="BN386" s="167"/>
      <c r="BO386" s="167"/>
      <c r="BP386" s="167"/>
      <c r="BQ386" s="167"/>
      <c r="BR386" s="167"/>
      <c r="BS386" s="167"/>
      <c r="BT386" s="167"/>
      <c r="BU386" s="167"/>
      <c r="BV386" s="167"/>
      <c r="BW386" s="167"/>
      <c r="BX386" s="167"/>
      <c r="BY386" s="175"/>
    </row>
    <row r="387" spans="1:77" s="18" customFormat="1" x14ac:dyDescent="0.15">
      <c r="A387" s="148">
        <v>1102020011</v>
      </c>
      <c r="B387" s="158" t="s">
        <v>448</v>
      </c>
      <c r="C387" s="150" t="s">
        <v>100</v>
      </c>
      <c r="D387" s="150"/>
      <c r="E387" s="150" t="s">
        <v>83</v>
      </c>
      <c r="F387" s="150">
        <v>60000</v>
      </c>
      <c r="G387" s="150"/>
      <c r="H387" s="150"/>
      <c r="I387" s="150"/>
      <c r="J387" s="166"/>
      <c r="K387" s="166"/>
      <c r="L387" s="166"/>
      <c r="M387" s="166" t="s">
        <v>101</v>
      </c>
      <c r="N387" s="166" t="s">
        <v>843</v>
      </c>
      <c r="O387" s="150" t="s">
        <v>79</v>
      </c>
      <c r="P387" s="167" t="s">
        <v>80</v>
      </c>
      <c r="Q387" s="168">
        <v>90</v>
      </c>
      <c r="R387" s="167">
        <v>2500</v>
      </c>
      <c r="S387" s="167"/>
      <c r="T387" s="167"/>
      <c r="U387" s="167"/>
      <c r="V387" s="150" t="s">
        <v>81</v>
      </c>
      <c r="W387" s="167"/>
      <c r="X387" s="167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 t="s">
        <v>90</v>
      </c>
      <c r="AK387" s="167"/>
      <c r="AL387" s="167"/>
      <c r="AM387" s="167"/>
      <c r="AN387" s="167"/>
      <c r="AO387" s="167"/>
      <c r="AP387" s="167"/>
      <c r="AQ387" s="167"/>
      <c r="AR387" s="167"/>
      <c r="AS387" s="167"/>
      <c r="AT387" s="167"/>
      <c r="AU387" s="167"/>
      <c r="AV387" s="167"/>
      <c r="AW387" s="167"/>
      <c r="AX387" s="168">
        <v>100000401</v>
      </c>
      <c r="AY387" s="168">
        <v>100000201</v>
      </c>
      <c r="AZ387" s="167"/>
      <c r="BA387" s="167"/>
      <c r="BB387" s="167"/>
      <c r="BC387" s="167"/>
      <c r="BD387" s="167"/>
      <c r="BE387" s="167"/>
      <c r="BF387" s="167"/>
      <c r="BG387" s="167"/>
      <c r="BH387" s="167"/>
      <c r="BI387" s="167"/>
      <c r="BJ387" s="167"/>
      <c r="BK387" s="167"/>
      <c r="BL387" s="167"/>
      <c r="BM387" s="167"/>
      <c r="BN387" s="167"/>
      <c r="BO387" s="167"/>
      <c r="BP387" s="167"/>
      <c r="BQ387" s="167"/>
      <c r="BR387" s="167"/>
      <c r="BS387" s="167"/>
      <c r="BT387" s="167"/>
      <c r="BU387" s="167"/>
      <c r="BV387" s="167"/>
      <c r="BW387" s="167"/>
      <c r="BX387" s="167"/>
      <c r="BY387" s="175"/>
    </row>
    <row r="388" spans="1:77" s="18" customFormat="1" x14ac:dyDescent="0.15">
      <c r="A388" s="148">
        <v>1102020021</v>
      </c>
      <c r="B388" s="158" t="s">
        <v>448</v>
      </c>
      <c r="C388" s="150" t="s">
        <v>100</v>
      </c>
      <c r="D388" s="150"/>
      <c r="E388" s="150" t="s">
        <v>83</v>
      </c>
      <c r="F388" s="150">
        <v>60000</v>
      </c>
      <c r="G388" s="150"/>
      <c r="H388" s="150"/>
      <c r="I388" s="150"/>
      <c r="J388" s="166"/>
      <c r="K388" s="166"/>
      <c r="L388" s="166"/>
      <c r="M388" s="166" t="s">
        <v>101</v>
      </c>
      <c r="N388" s="166" t="s">
        <v>843</v>
      </c>
      <c r="O388" s="150" t="s">
        <v>79</v>
      </c>
      <c r="P388" s="167" t="s">
        <v>80</v>
      </c>
      <c r="Q388" s="168">
        <v>150</v>
      </c>
      <c r="R388" s="167">
        <v>2500</v>
      </c>
      <c r="S388" s="167"/>
      <c r="T388" s="167"/>
      <c r="U388" s="167"/>
      <c r="V388" s="150" t="s">
        <v>81</v>
      </c>
      <c r="W388" s="167"/>
      <c r="X388" s="167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 t="s">
        <v>90</v>
      </c>
      <c r="AK388" s="167"/>
      <c r="AL388" s="167"/>
      <c r="AM388" s="167"/>
      <c r="AN388" s="167"/>
      <c r="AO388" s="167"/>
      <c r="AP388" s="167"/>
      <c r="AQ388" s="167"/>
      <c r="AR388" s="167"/>
      <c r="AS388" s="167"/>
      <c r="AT388" s="167"/>
      <c r="AU388" s="167"/>
      <c r="AV388" s="167"/>
      <c r="AW388" s="167"/>
      <c r="AX388" s="168">
        <v>100000401</v>
      </c>
      <c r="AY388" s="168">
        <v>100000201</v>
      </c>
      <c r="AZ388" s="167"/>
      <c r="BA388" s="167"/>
      <c r="BB388" s="167"/>
      <c r="BC388" s="167"/>
      <c r="BD388" s="167"/>
      <c r="BE388" s="167"/>
      <c r="BF388" s="167"/>
      <c r="BG388" s="167"/>
      <c r="BH388" s="167"/>
      <c r="BI388" s="167"/>
      <c r="BJ388" s="167"/>
      <c r="BK388" s="167"/>
      <c r="BL388" s="167"/>
      <c r="BM388" s="167"/>
      <c r="BN388" s="167"/>
      <c r="BO388" s="167"/>
      <c r="BP388" s="167"/>
      <c r="BQ388" s="167"/>
      <c r="BR388" s="167"/>
      <c r="BS388" s="167"/>
      <c r="BT388" s="167"/>
      <c r="BU388" s="167"/>
      <c r="BV388" s="167"/>
      <c r="BW388" s="167"/>
      <c r="BX388" s="167"/>
      <c r="BY388" s="175"/>
    </row>
    <row r="389" spans="1:77" s="18" customFormat="1" x14ac:dyDescent="0.15">
      <c r="A389" s="148">
        <v>1102020031</v>
      </c>
      <c r="B389" s="158" t="s">
        <v>448</v>
      </c>
      <c r="C389" s="150" t="s">
        <v>100</v>
      </c>
      <c r="D389" s="150"/>
      <c r="E389" s="150" t="s">
        <v>83</v>
      </c>
      <c r="F389" s="150">
        <v>60000</v>
      </c>
      <c r="G389" s="150"/>
      <c r="H389" s="150"/>
      <c r="I389" s="150"/>
      <c r="J389" s="166"/>
      <c r="K389" s="166"/>
      <c r="L389" s="166"/>
      <c r="M389" s="166" t="s">
        <v>101</v>
      </c>
      <c r="N389" s="166" t="s">
        <v>843</v>
      </c>
      <c r="O389" s="150" t="s">
        <v>79</v>
      </c>
      <c r="P389" s="167" t="s">
        <v>80</v>
      </c>
      <c r="Q389" s="168">
        <v>210</v>
      </c>
      <c r="R389" s="167">
        <v>2500</v>
      </c>
      <c r="S389" s="167"/>
      <c r="T389" s="167"/>
      <c r="U389" s="167"/>
      <c r="V389" s="150" t="s">
        <v>81</v>
      </c>
      <c r="W389" s="167"/>
      <c r="X389" s="167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 t="s">
        <v>90</v>
      </c>
      <c r="AK389" s="167"/>
      <c r="AL389" s="167"/>
      <c r="AM389" s="167"/>
      <c r="AN389" s="167"/>
      <c r="AO389" s="167"/>
      <c r="AP389" s="167"/>
      <c r="AQ389" s="167"/>
      <c r="AR389" s="167"/>
      <c r="AS389" s="167"/>
      <c r="AT389" s="167"/>
      <c r="AU389" s="167"/>
      <c r="AV389" s="167"/>
      <c r="AW389" s="167"/>
      <c r="AX389" s="168">
        <v>100000401</v>
      </c>
      <c r="AY389" s="168">
        <v>100000201</v>
      </c>
      <c r="AZ389" s="167"/>
      <c r="BA389" s="167"/>
      <c r="BB389" s="167"/>
      <c r="BC389" s="167"/>
      <c r="BD389" s="167"/>
      <c r="BE389" s="167"/>
      <c r="BF389" s="167"/>
      <c r="BG389" s="167"/>
      <c r="BH389" s="167"/>
      <c r="BI389" s="167"/>
      <c r="BJ389" s="167"/>
      <c r="BK389" s="167"/>
      <c r="BL389" s="167"/>
      <c r="BM389" s="167"/>
      <c r="BN389" s="167"/>
      <c r="BO389" s="167"/>
      <c r="BP389" s="167"/>
      <c r="BQ389" s="167"/>
      <c r="BR389" s="167"/>
      <c r="BS389" s="167"/>
      <c r="BT389" s="167"/>
      <c r="BU389" s="167"/>
      <c r="BV389" s="167"/>
      <c r="BW389" s="167"/>
      <c r="BX389" s="167"/>
      <c r="BY389" s="175"/>
    </row>
    <row r="390" spans="1:77" s="18" customFormat="1" x14ac:dyDescent="0.15">
      <c r="A390" s="148">
        <v>1102020041</v>
      </c>
      <c r="B390" s="158" t="s">
        <v>448</v>
      </c>
      <c r="C390" s="150" t="s">
        <v>100</v>
      </c>
      <c r="D390" s="150"/>
      <c r="E390" s="150" t="s">
        <v>83</v>
      </c>
      <c r="F390" s="150">
        <v>60000</v>
      </c>
      <c r="G390" s="150"/>
      <c r="H390" s="150"/>
      <c r="I390" s="150"/>
      <c r="J390" s="166"/>
      <c r="K390" s="166"/>
      <c r="L390" s="166"/>
      <c r="M390" s="166" t="s">
        <v>101</v>
      </c>
      <c r="N390" s="166" t="s">
        <v>843</v>
      </c>
      <c r="O390" s="150" t="s">
        <v>79</v>
      </c>
      <c r="P390" s="167" t="s">
        <v>80</v>
      </c>
      <c r="Q390" s="168">
        <v>270</v>
      </c>
      <c r="R390" s="167">
        <v>2500</v>
      </c>
      <c r="S390" s="167"/>
      <c r="T390" s="167"/>
      <c r="U390" s="167"/>
      <c r="V390" s="150" t="s">
        <v>81</v>
      </c>
      <c r="W390" s="167"/>
      <c r="X390" s="167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 t="s">
        <v>90</v>
      </c>
      <c r="AK390" s="167"/>
      <c r="AL390" s="167"/>
      <c r="AM390" s="167"/>
      <c r="AN390" s="167"/>
      <c r="AO390" s="167"/>
      <c r="AP390" s="167"/>
      <c r="AQ390" s="167"/>
      <c r="AR390" s="167"/>
      <c r="AS390" s="167"/>
      <c r="AT390" s="167"/>
      <c r="AU390" s="167"/>
      <c r="AV390" s="167"/>
      <c r="AW390" s="167"/>
      <c r="AX390" s="168">
        <v>100000401</v>
      </c>
      <c r="AY390" s="168">
        <v>100000201</v>
      </c>
      <c r="AZ390" s="167"/>
      <c r="BA390" s="167"/>
      <c r="BB390" s="167"/>
      <c r="BC390" s="167"/>
      <c r="BD390" s="167"/>
      <c r="BE390" s="167"/>
      <c r="BF390" s="167"/>
      <c r="BG390" s="167"/>
      <c r="BH390" s="167"/>
      <c r="BI390" s="167"/>
      <c r="BJ390" s="167"/>
      <c r="BK390" s="167"/>
      <c r="BL390" s="167"/>
      <c r="BM390" s="167"/>
      <c r="BN390" s="167"/>
      <c r="BO390" s="167"/>
      <c r="BP390" s="167"/>
      <c r="BQ390" s="167"/>
      <c r="BR390" s="167"/>
      <c r="BS390" s="167"/>
      <c r="BT390" s="167"/>
      <c r="BU390" s="167"/>
      <c r="BV390" s="167"/>
      <c r="BW390" s="167"/>
      <c r="BX390" s="167"/>
      <c r="BY390" s="175"/>
    </row>
    <row r="391" spans="1:77" s="15" customFormat="1" x14ac:dyDescent="0.15">
      <c r="A391" s="177">
        <v>1102030011</v>
      </c>
      <c r="B391" s="178" t="s">
        <v>449</v>
      </c>
      <c r="C391" s="179" t="s">
        <v>89</v>
      </c>
      <c r="D391" s="179"/>
      <c r="E391" s="179" t="s">
        <v>78</v>
      </c>
      <c r="F391" s="179"/>
      <c r="G391" s="179"/>
      <c r="H391" s="179"/>
      <c r="I391" s="179"/>
      <c r="J391" s="183"/>
      <c r="K391" s="183"/>
      <c r="L391" s="183"/>
      <c r="M391" s="183"/>
      <c r="N391" s="183"/>
      <c r="O391" s="179" t="s">
        <v>98</v>
      </c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  <c r="AC391" s="179"/>
      <c r="AD391" s="179"/>
      <c r="AE391" s="148">
        <v>110203001</v>
      </c>
      <c r="AF391" s="179"/>
      <c r="AG391" s="179"/>
      <c r="AH391" s="179"/>
      <c r="AI391" s="179"/>
      <c r="AJ391" s="179"/>
      <c r="AK391" s="179"/>
      <c r="AL391" s="179"/>
      <c r="AM391" s="179"/>
      <c r="AN391" s="179"/>
      <c r="AO391" s="179"/>
      <c r="AP391" s="179"/>
      <c r="AQ391" s="179"/>
      <c r="AR391" s="179"/>
      <c r="AS391" s="179"/>
      <c r="AT391" s="179"/>
      <c r="AU391" s="179"/>
      <c r="AV391" s="179"/>
      <c r="AW391" s="179"/>
      <c r="AX391" s="179"/>
      <c r="AY391" s="179"/>
      <c r="AZ391" s="179"/>
      <c r="BA391" s="179"/>
      <c r="BB391" s="179"/>
      <c r="BC391" s="179"/>
      <c r="BD391" s="179"/>
      <c r="BE391" s="179"/>
      <c r="BF391" s="179"/>
      <c r="BG391" s="179"/>
      <c r="BH391" s="179"/>
      <c r="BI391" s="179"/>
      <c r="BJ391" s="179"/>
      <c r="BK391" s="179"/>
      <c r="BL391" s="179"/>
      <c r="BM391" s="179"/>
      <c r="BN391" s="179"/>
      <c r="BO391" s="179"/>
      <c r="BP391" s="179"/>
      <c r="BQ391" s="179"/>
      <c r="BR391" s="179"/>
      <c r="BS391" s="179"/>
      <c r="BT391" s="179"/>
      <c r="BU391" s="179"/>
      <c r="BV391" s="179"/>
      <c r="BW391" s="179"/>
      <c r="BX391" s="179"/>
      <c r="BY391" s="186"/>
    </row>
    <row r="392" spans="1:77" s="15" customFormat="1" x14ac:dyDescent="0.15">
      <c r="A392" s="177">
        <v>1102030021</v>
      </c>
      <c r="B392" s="178" t="s">
        <v>449</v>
      </c>
      <c r="C392" s="179" t="s">
        <v>89</v>
      </c>
      <c r="D392" s="179"/>
      <c r="E392" s="179" t="s">
        <v>78</v>
      </c>
      <c r="F392" s="179"/>
      <c r="G392" s="179"/>
      <c r="H392" s="179"/>
      <c r="I392" s="179"/>
      <c r="J392" s="183"/>
      <c r="K392" s="183"/>
      <c r="L392" s="183"/>
      <c r="M392" s="183"/>
      <c r="N392" s="183"/>
      <c r="O392" s="179" t="s">
        <v>98</v>
      </c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  <c r="AC392" s="179"/>
      <c r="AD392" s="179"/>
      <c r="AE392" s="148">
        <v>110203002</v>
      </c>
      <c r="AF392" s="179"/>
      <c r="AG392" s="179"/>
      <c r="AH392" s="179"/>
      <c r="AI392" s="179"/>
      <c r="AJ392" s="179"/>
      <c r="AK392" s="179"/>
      <c r="AL392" s="179"/>
      <c r="AM392" s="179"/>
      <c r="AN392" s="179"/>
      <c r="AO392" s="179"/>
      <c r="AP392" s="179"/>
      <c r="AQ392" s="179"/>
      <c r="AR392" s="179"/>
      <c r="AS392" s="179"/>
      <c r="AT392" s="179"/>
      <c r="AU392" s="179"/>
      <c r="AV392" s="179"/>
      <c r="AW392" s="179"/>
      <c r="AX392" s="179"/>
      <c r="AY392" s="179"/>
      <c r="AZ392" s="179"/>
      <c r="BA392" s="179"/>
      <c r="BB392" s="179"/>
      <c r="BC392" s="179"/>
      <c r="BD392" s="179"/>
      <c r="BE392" s="179"/>
      <c r="BF392" s="179"/>
      <c r="BG392" s="179"/>
      <c r="BH392" s="179"/>
      <c r="BI392" s="179"/>
      <c r="BJ392" s="179"/>
      <c r="BK392" s="179"/>
      <c r="BL392" s="179"/>
      <c r="BM392" s="179"/>
      <c r="BN392" s="179"/>
      <c r="BO392" s="179"/>
      <c r="BP392" s="179"/>
      <c r="BQ392" s="179"/>
      <c r="BR392" s="179"/>
      <c r="BS392" s="179"/>
      <c r="BT392" s="179"/>
      <c r="BU392" s="179"/>
      <c r="BV392" s="179"/>
      <c r="BW392" s="179"/>
      <c r="BX392" s="179"/>
      <c r="BY392" s="186"/>
    </row>
    <row r="393" spans="1:77" s="15" customFormat="1" x14ac:dyDescent="0.15">
      <c r="A393" s="177">
        <v>1102030031</v>
      </c>
      <c r="B393" s="178" t="s">
        <v>449</v>
      </c>
      <c r="C393" s="179" t="s">
        <v>89</v>
      </c>
      <c r="D393" s="179"/>
      <c r="E393" s="179" t="s">
        <v>78</v>
      </c>
      <c r="F393" s="179"/>
      <c r="G393" s="179"/>
      <c r="H393" s="179"/>
      <c r="I393" s="179"/>
      <c r="J393" s="183"/>
      <c r="K393" s="183"/>
      <c r="L393" s="183"/>
      <c r="M393" s="183"/>
      <c r="N393" s="183"/>
      <c r="O393" s="179" t="s">
        <v>98</v>
      </c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  <c r="AC393" s="179"/>
      <c r="AD393" s="179"/>
      <c r="AE393" s="148">
        <v>110203003</v>
      </c>
      <c r="AF393" s="179"/>
      <c r="AG393" s="179"/>
      <c r="AH393" s="179"/>
      <c r="AI393" s="179"/>
      <c r="AJ393" s="179"/>
      <c r="AK393" s="179"/>
      <c r="AL393" s="179"/>
      <c r="AM393" s="179"/>
      <c r="AN393" s="179"/>
      <c r="AO393" s="179"/>
      <c r="AP393" s="179"/>
      <c r="AQ393" s="179"/>
      <c r="AR393" s="179"/>
      <c r="AS393" s="179"/>
      <c r="AT393" s="179"/>
      <c r="AU393" s="179"/>
      <c r="AV393" s="179"/>
      <c r="AW393" s="179"/>
      <c r="AX393" s="179"/>
      <c r="AY393" s="179"/>
      <c r="AZ393" s="179"/>
      <c r="BA393" s="179"/>
      <c r="BB393" s="179"/>
      <c r="BC393" s="179"/>
      <c r="BD393" s="179"/>
      <c r="BE393" s="179"/>
      <c r="BF393" s="179"/>
      <c r="BG393" s="179"/>
      <c r="BH393" s="179"/>
      <c r="BI393" s="179"/>
      <c r="BJ393" s="179"/>
      <c r="BK393" s="179"/>
      <c r="BL393" s="179"/>
      <c r="BM393" s="179"/>
      <c r="BN393" s="179"/>
      <c r="BO393" s="179"/>
      <c r="BP393" s="179"/>
      <c r="BQ393" s="179"/>
      <c r="BR393" s="179"/>
      <c r="BS393" s="179"/>
      <c r="BT393" s="179"/>
      <c r="BU393" s="179"/>
      <c r="BV393" s="179"/>
      <c r="BW393" s="179"/>
      <c r="BX393" s="179"/>
      <c r="BY393" s="186"/>
    </row>
    <row r="394" spans="1:77" s="15" customFormat="1" x14ac:dyDescent="0.15">
      <c r="A394" s="177">
        <v>1102040011</v>
      </c>
      <c r="B394" s="178" t="s">
        <v>450</v>
      </c>
      <c r="C394" s="154" t="s">
        <v>112</v>
      </c>
      <c r="D394" s="179"/>
      <c r="E394" s="179" t="s">
        <v>83</v>
      </c>
      <c r="F394" s="179">
        <v>250000</v>
      </c>
      <c r="G394" s="179"/>
      <c r="H394" s="179"/>
      <c r="I394" s="179"/>
      <c r="J394" s="183"/>
      <c r="K394" s="183"/>
      <c r="L394" s="183"/>
      <c r="M394" s="183"/>
      <c r="N394" s="183"/>
      <c r="O394" s="179" t="s">
        <v>90</v>
      </c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  <c r="AC394" s="179">
        <v>1102040101</v>
      </c>
      <c r="AD394" s="179">
        <v>1102040101</v>
      </c>
      <c r="AE394" s="148"/>
      <c r="AF394" s="179"/>
      <c r="AG394" s="179"/>
      <c r="AH394" s="179"/>
      <c r="AI394" s="179"/>
      <c r="AJ394" s="179"/>
      <c r="AK394" s="179"/>
      <c r="AL394" s="179"/>
      <c r="AM394" s="179"/>
      <c r="AN394" s="179"/>
      <c r="AO394" s="179"/>
      <c r="AP394" s="179"/>
      <c r="AQ394" s="179"/>
      <c r="AR394" s="179"/>
      <c r="AS394" s="179"/>
      <c r="AT394" s="179"/>
      <c r="AU394" s="179"/>
      <c r="AV394" s="179"/>
      <c r="AW394" s="179"/>
      <c r="AX394" s="179"/>
      <c r="AY394" s="179"/>
      <c r="AZ394" s="179"/>
      <c r="BA394" s="179"/>
      <c r="BB394" s="179"/>
      <c r="BC394" s="179"/>
      <c r="BD394" s="179"/>
      <c r="BE394" s="179"/>
      <c r="BF394" s="179"/>
      <c r="BG394" s="179"/>
      <c r="BH394" s="179"/>
      <c r="BI394" s="179"/>
      <c r="BJ394" s="179"/>
      <c r="BK394" s="179"/>
      <c r="BL394" s="179"/>
      <c r="BM394" s="179"/>
      <c r="BN394" s="179"/>
      <c r="BO394" s="179"/>
      <c r="BP394" s="179"/>
      <c r="BQ394" s="179"/>
      <c r="BR394" s="179"/>
      <c r="BS394" s="179"/>
      <c r="BT394" s="179"/>
      <c r="BU394" s="179"/>
      <c r="BV394" s="179"/>
      <c r="BW394" s="179"/>
      <c r="BX394" s="179"/>
      <c r="BY394" s="186"/>
    </row>
    <row r="395" spans="1:77" s="15" customFormat="1" x14ac:dyDescent="0.15">
      <c r="A395" s="177">
        <v>1102040012</v>
      </c>
      <c r="B395" s="178" t="s">
        <v>450</v>
      </c>
      <c r="C395" s="150" t="s">
        <v>100</v>
      </c>
      <c r="D395" s="179"/>
      <c r="E395" s="179" t="s">
        <v>83</v>
      </c>
      <c r="F395" s="179">
        <v>30000</v>
      </c>
      <c r="G395" s="179"/>
      <c r="H395" s="179"/>
      <c r="I395" s="179"/>
      <c r="J395" s="183"/>
      <c r="K395" s="183"/>
      <c r="L395" s="183"/>
      <c r="M395" s="166"/>
      <c r="N395" s="166" t="s">
        <v>843</v>
      </c>
      <c r="O395" s="179" t="s">
        <v>79</v>
      </c>
      <c r="P395" s="179" t="s">
        <v>80</v>
      </c>
      <c r="Q395" s="179">
        <v>210</v>
      </c>
      <c r="R395" s="179">
        <v>3000</v>
      </c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  <c r="AC395" s="179"/>
      <c r="AD395" s="179"/>
      <c r="AE395" s="148"/>
      <c r="AF395" s="179"/>
      <c r="AG395" s="179"/>
      <c r="AH395" s="179"/>
      <c r="AI395" s="179"/>
      <c r="AJ395" s="179" t="s">
        <v>90</v>
      </c>
      <c r="AK395" s="179"/>
      <c r="AL395" s="179"/>
      <c r="AM395" s="179"/>
      <c r="AN395" s="179"/>
      <c r="AO395" s="179"/>
      <c r="AP395" s="179"/>
      <c r="AQ395" s="179"/>
      <c r="AR395" s="179"/>
      <c r="AS395" s="179"/>
      <c r="AT395" s="179"/>
      <c r="AU395" s="179"/>
      <c r="AV395" s="179"/>
      <c r="AW395" s="179"/>
      <c r="AX395" s="179">
        <v>1102040201</v>
      </c>
      <c r="AY395" s="179">
        <v>1102040201</v>
      </c>
      <c r="AZ395" s="179"/>
      <c r="BA395" s="179"/>
      <c r="BB395" s="179"/>
      <c r="BC395" s="179"/>
      <c r="BD395" s="179"/>
      <c r="BE395" s="179" t="s">
        <v>90</v>
      </c>
      <c r="BF395" s="179"/>
      <c r="BG395" s="179"/>
      <c r="BH395" s="179"/>
      <c r="BI395" s="179"/>
      <c r="BJ395" s="179"/>
      <c r="BK395" s="179"/>
      <c r="BL395" s="179"/>
      <c r="BM395" s="179"/>
      <c r="BN395" s="179"/>
      <c r="BO395" s="179"/>
      <c r="BP395" s="179"/>
      <c r="BQ395" s="179"/>
      <c r="BR395" s="179"/>
      <c r="BS395" s="179">
        <v>1102040301</v>
      </c>
      <c r="BT395" s="179">
        <v>1102040301</v>
      </c>
      <c r="BU395" s="179"/>
      <c r="BV395" s="179"/>
      <c r="BW395" s="179"/>
      <c r="BX395" s="179"/>
      <c r="BY395" s="186"/>
    </row>
    <row r="396" spans="1:77" s="15" customFormat="1" x14ac:dyDescent="0.15">
      <c r="A396" s="177">
        <v>1102040013</v>
      </c>
      <c r="B396" s="178" t="s">
        <v>451</v>
      </c>
      <c r="C396" s="150" t="s">
        <v>100</v>
      </c>
      <c r="D396" s="179"/>
      <c r="E396" s="179" t="s">
        <v>83</v>
      </c>
      <c r="F396" s="179">
        <v>30000</v>
      </c>
      <c r="G396" s="179"/>
      <c r="H396" s="179"/>
      <c r="I396" s="179"/>
      <c r="J396" s="183"/>
      <c r="K396" s="183"/>
      <c r="L396" s="183"/>
      <c r="M396" s="183"/>
      <c r="N396" s="183"/>
      <c r="O396" s="179" t="s">
        <v>90</v>
      </c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  <c r="AC396" s="179">
        <v>1102040401</v>
      </c>
      <c r="AD396" s="179">
        <v>1102040401</v>
      </c>
      <c r="AE396" s="177"/>
      <c r="AF396" s="179"/>
      <c r="AG396" s="179"/>
      <c r="AH396" s="179"/>
      <c r="AI396" s="179"/>
      <c r="AJ396" s="179"/>
      <c r="AK396" s="179"/>
      <c r="AL396" s="179"/>
      <c r="AM396" s="179"/>
      <c r="AN396" s="179"/>
      <c r="AO396" s="179"/>
      <c r="AP396" s="179"/>
      <c r="AQ396" s="179"/>
      <c r="AR396" s="179"/>
      <c r="AS396" s="179"/>
      <c r="AT396" s="179"/>
      <c r="AU396" s="179"/>
      <c r="AV396" s="179"/>
      <c r="AW396" s="179"/>
      <c r="AX396" s="179"/>
      <c r="AY396" s="179"/>
      <c r="AZ396" s="179"/>
      <c r="BA396" s="179"/>
      <c r="BB396" s="179"/>
      <c r="BC396" s="179"/>
      <c r="BD396" s="179"/>
      <c r="BE396" s="179"/>
      <c r="BF396" s="179"/>
      <c r="BG396" s="179"/>
      <c r="BH396" s="179"/>
      <c r="BI396" s="179"/>
      <c r="BJ396" s="179"/>
      <c r="BK396" s="179"/>
      <c r="BL396" s="179"/>
      <c r="BM396" s="179"/>
      <c r="BN396" s="179"/>
      <c r="BO396" s="179"/>
      <c r="BP396" s="179"/>
      <c r="BQ396" s="179"/>
      <c r="BR396" s="179"/>
      <c r="BS396" s="179"/>
      <c r="BT396" s="179"/>
      <c r="BU396" s="179"/>
      <c r="BV396" s="179"/>
      <c r="BW396" s="179"/>
      <c r="BX396" s="179"/>
      <c r="BY396" s="186"/>
    </row>
    <row r="397" spans="1:77" s="15" customFormat="1" x14ac:dyDescent="0.15">
      <c r="A397" s="177">
        <v>1102040021</v>
      </c>
      <c r="B397" s="178" t="s">
        <v>450</v>
      </c>
      <c r="C397" s="154" t="s">
        <v>112</v>
      </c>
      <c r="D397" s="179"/>
      <c r="E397" s="179" t="s">
        <v>83</v>
      </c>
      <c r="F397" s="179">
        <v>250000</v>
      </c>
      <c r="G397" s="179"/>
      <c r="H397" s="179"/>
      <c r="I397" s="179"/>
      <c r="J397" s="183"/>
      <c r="K397" s="183"/>
      <c r="L397" s="183"/>
      <c r="M397" s="183"/>
      <c r="N397" s="183"/>
      <c r="O397" s="179" t="s">
        <v>90</v>
      </c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  <c r="AC397" s="179">
        <v>1102040101</v>
      </c>
      <c r="AD397" s="179">
        <v>1102040101</v>
      </c>
      <c r="AE397" s="179"/>
      <c r="AF397" s="179"/>
      <c r="AG397" s="179"/>
      <c r="AH397" s="179"/>
      <c r="AI397" s="179"/>
      <c r="AJ397" s="179"/>
      <c r="AK397" s="179"/>
      <c r="AL397" s="179"/>
      <c r="AM397" s="179"/>
      <c r="AN397" s="179"/>
      <c r="AO397" s="179"/>
      <c r="AP397" s="179"/>
      <c r="AQ397" s="179"/>
      <c r="AR397" s="179"/>
      <c r="AS397" s="179"/>
      <c r="AT397" s="179"/>
      <c r="AU397" s="179"/>
      <c r="AV397" s="179"/>
      <c r="AW397" s="179"/>
      <c r="AX397" s="179"/>
      <c r="AY397" s="179"/>
      <c r="AZ397" s="179"/>
      <c r="BA397" s="179"/>
      <c r="BB397" s="179"/>
      <c r="BC397" s="179"/>
      <c r="BD397" s="179"/>
      <c r="BE397" s="179"/>
      <c r="BF397" s="179"/>
      <c r="BG397" s="179"/>
      <c r="BH397" s="179"/>
      <c r="BI397" s="179"/>
      <c r="BJ397" s="179"/>
      <c r="BK397" s="179"/>
      <c r="BL397" s="179"/>
      <c r="BM397" s="179"/>
      <c r="BN397" s="179"/>
      <c r="BO397" s="179"/>
      <c r="BP397" s="179"/>
      <c r="BQ397" s="179"/>
      <c r="BR397" s="179"/>
      <c r="BS397" s="179"/>
      <c r="BT397" s="179"/>
      <c r="BU397" s="179"/>
      <c r="BV397" s="179"/>
      <c r="BW397" s="179"/>
      <c r="BX397" s="179"/>
      <c r="BY397" s="186"/>
    </row>
    <row r="398" spans="1:77" s="15" customFormat="1" x14ac:dyDescent="0.15">
      <c r="A398" s="177">
        <v>1102040022</v>
      </c>
      <c r="B398" s="178" t="s">
        <v>450</v>
      </c>
      <c r="C398" s="150" t="s">
        <v>100</v>
      </c>
      <c r="D398" s="179"/>
      <c r="E398" s="179" t="s">
        <v>83</v>
      </c>
      <c r="F398" s="179">
        <v>30000</v>
      </c>
      <c r="G398" s="179"/>
      <c r="H398" s="179"/>
      <c r="I398" s="179"/>
      <c r="J398" s="183"/>
      <c r="K398" s="183"/>
      <c r="L398" s="183"/>
      <c r="M398" s="166"/>
      <c r="N398" s="166" t="s">
        <v>843</v>
      </c>
      <c r="O398" s="179" t="s">
        <v>79</v>
      </c>
      <c r="P398" s="179" t="s">
        <v>80</v>
      </c>
      <c r="Q398" s="179">
        <v>320</v>
      </c>
      <c r="R398" s="179">
        <v>3000</v>
      </c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  <c r="AC398" s="179"/>
      <c r="AD398" s="179"/>
      <c r="AE398" s="148"/>
      <c r="AF398" s="179"/>
      <c r="AG398" s="179"/>
      <c r="AH398" s="179"/>
      <c r="AI398" s="179"/>
      <c r="AJ398" s="179" t="s">
        <v>90</v>
      </c>
      <c r="AK398" s="179"/>
      <c r="AL398" s="179"/>
      <c r="AM398" s="179"/>
      <c r="AN398" s="179"/>
      <c r="AO398" s="179"/>
      <c r="AP398" s="179"/>
      <c r="AQ398" s="179"/>
      <c r="AR398" s="179"/>
      <c r="AS398" s="179"/>
      <c r="AT398" s="179"/>
      <c r="AU398" s="179"/>
      <c r="AV398" s="179"/>
      <c r="AW398" s="179"/>
      <c r="AX398" s="179">
        <v>1102040201</v>
      </c>
      <c r="AY398" s="179">
        <v>1102040201</v>
      </c>
      <c r="AZ398" s="179"/>
      <c r="BA398" s="179"/>
      <c r="BB398" s="179"/>
      <c r="BC398" s="179"/>
      <c r="BD398" s="179"/>
      <c r="BE398" s="179" t="s">
        <v>90</v>
      </c>
      <c r="BF398" s="179"/>
      <c r="BG398" s="179"/>
      <c r="BH398" s="179"/>
      <c r="BI398" s="179"/>
      <c r="BJ398" s="179"/>
      <c r="BK398" s="179"/>
      <c r="BL398" s="179"/>
      <c r="BM398" s="179"/>
      <c r="BN398" s="179"/>
      <c r="BO398" s="179"/>
      <c r="BP398" s="179"/>
      <c r="BQ398" s="179"/>
      <c r="BR398" s="179"/>
      <c r="BS398" s="179">
        <v>1102040301</v>
      </c>
      <c r="BT398" s="179">
        <v>1102040301</v>
      </c>
      <c r="BU398" s="179"/>
      <c r="BV398" s="179"/>
      <c r="BW398" s="179"/>
      <c r="BX398" s="179"/>
      <c r="BY398" s="186"/>
    </row>
    <row r="399" spans="1:77" s="14" customFormat="1" x14ac:dyDescent="0.15">
      <c r="A399" s="151">
        <v>1201001011</v>
      </c>
      <c r="B399" s="152" t="s">
        <v>452</v>
      </c>
      <c r="C399" s="153" t="s">
        <v>77</v>
      </c>
      <c r="D399" s="153"/>
      <c r="E399" s="153" t="s">
        <v>78</v>
      </c>
      <c r="F399" s="153"/>
      <c r="G399" s="153"/>
      <c r="H399" s="153"/>
      <c r="I399" s="153"/>
      <c r="J399" s="162"/>
      <c r="K399" s="162"/>
      <c r="L399" s="162"/>
      <c r="M399" s="162"/>
      <c r="N399" s="162"/>
      <c r="O399" s="153" t="s">
        <v>79</v>
      </c>
      <c r="P399" s="163" t="s">
        <v>80</v>
      </c>
      <c r="Q399" s="163"/>
      <c r="R399" s="163">
        <v>10000</v>
      </c>
      <c r="S399" s="163"/>
      <c r="T399" s="163">
        <v>10000</v>
      </c>
      <c r="U399" s="163"/>
      <c r="V399" s="163" t="s">
        <v>101</v>
      </c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3"/>
      <c r="AJ399" s="163"/>
      <c r="AK399" s="163"/>
      <c r="AL399" s="163"/>
      <c r="AM399" s="163"/>
      <c r="AN399" s="163"/>
      <c r="AO399" s="163"/>
      <c r="AP399" s="163"/>
      <c r="AQ399" s="163"/>
      <c r="AR399" s="163"/>
      <c r="AS399" s="163"/>
      <c r="AT399" s="163"/>
      <c r="AU399" s="163"/>
      <c r="AV399" s="163"/>
      <c r="AW399" s="163"/>
      <c r="AX399" s="163"/>
      <c r="AY399" s="163"/>
      <c r="AZ399" s="163"/>
      <c r="BA399" s="163"/>
      <c r="BB399" s="163"/>
      <c r="BC399" s="163"/>
      <c r="BD399" s="163"/>
      <c r="BE399" s="163"/>
      <c r="BF399" s="163"/>
      <c r="BG399" s="163"/>
      <c r="BH399" s="163"/>
      <c r="BI399" s="163"/>
      <c r="BJ399" s="163"/>
      <c r="BK399" s="163"/>
      <c r="BL399" s="163"/>
      <c r="BM399" s="163"/>
      <c r="BN399" s="163"/>
      <c r="BO399" s="163"/>
      <c r="BP399" s="163"/>
      <c r="BQ399" s="163"/>
      <c r="BR399" s="163"/>
      <c r="BS399" s="163"/>
      <c r="BT399" s="163"/>
      <c r="BU399" s="163"/>
      <c r="BV399" s="163"/>
      <c r="BW399" s="163"/>
      <c r="BX399" s="163"/>
      <c r="BY399" s="171"/>
    </row>
    <row r="400" spans="1:77" s="14" customFormat="1" x14ac:dyDescent="0.15">
      <c r="A400" s="151">
        <v>1201001012</v>
      </c>
      <c r="B400" s="152" t="s">
        <v>453</v>
      </c>
      <c r="C400" s="153" t="s">
        <v>77</v>
      </c>
      <c r="D400" s="153"/>
      <c r="E400" s="153" t="s">
        <v>425</v>
      </c>
      <c r="F400" s="153">
        <v>40000</v>
      </c>
      <c r="G400" s="153">
        <v>1200</v>
      </c>
      <c r="H400" s="153"/>
      <c r="I400" s="153"/>
      <c r="J400" s="162"/>
      <c r="K400" s="162"/>
      <c r="L400" s="162"/>
      <c r="M400" s="162"/>
      <c r="N400" s="162"/>
      <c r="O400" s="153" t="s">
        <v>79</v>
      </c>
      <c r="P400" s="163" t="s">
        <v>80</v>
      </c>
      <c r="Q400" s="163"/>
      <c r="R400" s="163">
        <v>5000</v>
      </c>
      <c r="S400" s="163"/>
      <c r="T400" s="163"/>
      <c r="U400" s="163"/>
      <c r="V400" s="163" t="s">
        <v>101</v>
      </c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163"/>
      <c r="AL400" s="163"/>
      <c r="AM400" s="163"/>
      <c r="AN400" s="163"/>
      <c r="AO400" s="163"/>
      <c r="AP400" s="163"/>
      <c r="AQ400" s="163"/>
      <c r="AR400" s="163"/>
      <c r="AS400" s="163"/>
      <c r="AT400" s="163"/>
      <c r="AU400" s="163"/>
      <c r="AV400" s="163"/>
      <c r="AW400" s="163"/>
      <c r="AX400" s="163"/>
      <c r="AY400" s="163"/>
      <c r="AZ400" s="163"/>
      <c r="BA400" s="163"/>
      <c r="BB400" s="163"/>
      <c r="BC400" s="163"/>
      <c r="BD400" s="163"/>
      <c r="BE400" s="163"/>
      <c r="BF400" s="163"/>
      <c r="BG400" s="163"/>
      <c r="BH400" s="163"/>
      <c r="BI400" s="163"/>
      <c r="BJ400" s="163"/>
      <c r="BK400" s="163"/>
      <c r="BL400" s="163"/>
      <c r="BM400" s="163"/>
      <c r="BN400" s="163"/>
      <c r="BO400" s="163"/>
      <c r="BP400" s="163"/>
      <c r="BQ400" s="163"/>
      <c r="BR400" s="163"/>
      <c r="BS400" s="163"/>
      <c r="BT400" s="163"/>
      <c r="BU400" s="163"/>
      <c r="BV400" s="163"/>
      <c r="BW400" s="163"/>
      <c r="BX400" s="163"/>
      <c r="BY400" s="171"/>
    </row>
    <row r="401" spans="1:77" s="14" customFormat="1" x14ac:dyDescent="0.15">
      <c r="A401" s="151">
        <v>1201002011</v>
      </c>
      <c r="B401" s="152" t="s">
        <v>454</v>
      </c>
      <c r="C401" s="153" t="s">
        <v>77</v>
      </c>
      <c r="D401" s="153"/>
      <c r="E401" s="153" t="s">
        <v>78</v>
      </c>
      <c r="F401" s="153"/>
      <c r="G401" s="153"/>
      <c r="H401" s="153"/>
      <c r="I401" s="153"/>
      <c r="J401" s="162"/>
      <c r="K401" s="162"/>
      <c r="L401" s="162"/>
      <c r="M401" s="162"/>
      <c r="N401" s="162"/>
      <c r="O401" s="153" t="s">
        <v>79</v>
      </c>
      <c r="P401" s="163" t="s">
        <v>80</v>
      </c>
      <c r="Q401" s="163"/>
      <c r="R401" s="163">
        <v>10000</v>
      </c>
      <c r="S401" s="163"/>
      <c r="T401" s="163">
        <v>10000</v>
      </c>
      <c r="U401" s="163"/>
      <c r="V401" s="163" t="s">
        <v>101</v>
      </c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  <c r="AG401" s="163"/>
      <c r="AH401" s="163"/>
      <c r="AI401" s="163"/>
      <c r="AJ401" s="163"/>
      <c r="AK401" s="163"/>
      <c r="AL401" s="163"/>
      <c r="AM401" s="163"/>
      <c r="AN401" s="163"/>
      <c r="AO401" s="163"/>
      <c r="AP401" s="163"/>
      <c r="AQ401" s="163"/>
      <c r="AR401" s="163"/>
      <c r="AS401" s="163"/>
      <c r="AT401" s="163"/>
      <c r="AU401" s="163"/>
      <c r="AV401" s="163"/>
      <c r="AW401" s="163"/>
      <c r="AX401" s="163"/>
      <c r="AY401" s="163"/>
      <c r="AZ401" s="163"/>
      <c r="BA401" s="163"/>
      <c r="BB401" s="163"/>
      <c r="BC401" s="163"/>
      <c r="BD401" s="163"/>
      <c r="BE401" s="163"/>
      <c r="BF401" s="163"/>
      <c r="BG401" s="163"/>
      <c r="BH401" s="163"/>
      <c r="BI401" s="163"/>
      <c r="BJ401" s="163"/>
      <c r="BK401" s="163"/>
      <c r="BL401" s="163"/>
      <c r="BM401" s="163"/>
      <c r="BN401" s="163"/>
      <c r="BO401" s="163"/>
      <c r="BP401" s="163"/>
      <c r="BQ401" s="163"/>
      <c r="BR401" s="163"/>
      <c r="BS401" s="163"/>
      <c r="BT401" s="163"/>
      <c r="BU401" s="163"/>
      <c r="BV401" s="163"/>
      <c r="BW401" s="163"/>
      <c r="BX401" s="163"/>
      <c r="BY401" s="171"/>
    </row>
    <row r="402" spans="1:77" s="16" customFormat="1" x14ac:dyDescent="0.15">
      <c r="A402" s="180">
        <v>1201200011</v>
      </c>
      <c r="B402" s="181" t="s">
        <v>455</v>
      </c>
      <c r="C402" s="182" t="s">
        <v>89</v>
      </c>
      <c r="D402" s="182"/>
      <c r="E402" s="182" t="s">
        <v>78</v>
      </c>
      <c r="F402" s="182"/>
      <c r="G402" s="182"/>
      <c r="H402" s="182"/>
      <c r="I402" s="182"/>
      <c r="J402" s="184"/>
      <c r="K402" s="184"/>
      <c r="L402" s="184"/>
      <c r="M402" s="184"/>
      <c r="N402" s="184"/>
      <c r="O402" s="182" t="s">
        <v>98</v>
      </c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  <c r="AB402" s="182"/>
      <c r="AC402" s="182"/>
      <c r="AD402" s="182"/>
      <c r="AE402" s="151">
        <v>120120001</v>
      </c>
      <c r="AF402" s="182"/>
      <c r="AG402" s="182"/>
      <c r="AH402" s="182"/>
      <c r="AI402" s="182"/>
      <c r="AJ402" s="182"/>
      <c r="AK402" s="182"/>
      <c r="AL402" s="182"/>
      <c r="AM402" s="182"/>
      <c r="AN402" s="182"/>
      <c r="AO402" s="182"/>
      <c r="AP402" s="182"/>
      <c r="AQ402" s="182"/>
      <c r="AR402" s="182"/>
      <c r="AS402" s="182"/>
      <c r="AT402" s="182"/>
      <c r="AU402" s="182"/>
      <c r="AV402" s="182"/>
      <c r="AW402" s="182"/>
      <c r="AX402" s="182"/>
      <c r="AY402" s="182"/>
      <c r="AZ402" s="182"/>
      <c r="BA402" s="182"/>
      <c r="BB402" s="182"/>
      <c r="BC402" s="182"/>
      <c r="BD402" s="182"/>
      <c r="BE402" s="182"/>
      <c r="BF402" s="182"/>
      <c r="BG402" s="182"/>
      <c r="BH402" s="182"/>
      <c r="BI402" s="182"/>
      <c r="BJ402" s="182"/>
      <c r="BK402" s="182"/>
      <c r="BL402" s="182"/>
      <c r="BM402" s="182"/>
      <c r="BN402" s="182"/>
      <c r="BO402" s="182"/>
      <c r="BP402" s="182"/>
      <c r="BQ402" s="182"/>
      <c r="BR402" s="182"/>
      <c r="BS402" s="182"/>
      <c r="BT402" s="182"/>
      <c r="BU402" s="182"/>
      <c r="BV402" s="182"/>
      <c r="BW402" s="182"/>
      <c r="BX402" s="182"/>
      <c r="BY402" s="187"/>
    </row>
    <row r="403" spans="1:77" s="16" customFormat="1" x14ac:dyDescent="0.15">
      <c r="A403" s="180">
        <v>1201200021</v>
      </c>
      <c r="B403" s="181" t="s">
        <v>455</v>
      </c>
      <c r="C403" s="182" t="s">
        <v>89</v>
      </c>
      <c r="D403" s="182"/>
      <c r="E403" s="182" t="s">
        <v>78</v>
      </c>
      <c r="F403" s="182"/>
      <c r="G403" s="182"/>
      <c r="H403" s="182"/>
      <c r="I403" s="182"/>
      <c r="J403" s="184"/>
      <c r="K403" s="184"/>
      <c r="L403" s="184"/>
      <c r="M403" s="184"/>
      <c r="N403" s="184"/>
      <c r="O403" s="182" t="s">
        <v>98</v>
      </c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  <c r="AC403" s="182"/>
      <c r="AD403" s="182"/>
      <c r="AE403" s="151">
        <v>120120002</v>
      </c>
      <c r="AF403" s="182"/>
      <c r="AG403" s="182"/>
      <c r="AH403" s="182"/>
      <c r="AI403" s="182"/>
      <c r="AJ403" s="182"/>
      <c r="AK403" s="182"/>
      <c r="AL403" s="182"/>
      <c r="AM403" s="182"/>
      <c r="AN403" s="182"/>
      <c r="AO403" s="182"/>
      <c r="AP403" s="182"/>
      <c r="AQ403" s="182"/>
      <c r="AR403" s="182"/>
      <c r="AS403" s="182"/>
      <c r="AT403" s="182"/>
      <c r="AU403" s="182"/>
      <c r="AV403" s="182"/>
      <c r="AW403" s="182"/>
      <c r="AX403" s="182"/>
      <c r="AY403" s="182"/>
      <c r="AZ403" s="182"/>
      <c r="BA403" s="182"/>
      <c r="BB403" s="182"/>
      <c r="BC403" s="182"/>
      <c r="BD403" s="182"/>
      <c r="BE403" s="182"/>
      <c r="BF403" s="182"/>
      <c r="BG403" s="182"/>
      <c r="BH403" s="182"/>
      <c r="BI403" s="182"/>
      <c r="BJ403" s="182"/>
      <c r="BK403" s="182"/>
      <c r="BL403" s="182"/>
      <c r="BM403" s="182"/>
      <c r="BN403" s="182"/>
      <c r="BO403" s="182"/>
      <c r="BP403" s="182"/>
      <c r="BQ403" s="182"/>
      <c r="BR403" s="182"/>
      <c r="BS403" s="182"/>
      <c r="BT403" s="182"/>
      <c r="BU403" s="182"/>
      <c r="BV403" s="182"/>
      <c r="BW403" s="182"/>
      <c r="BX403" s="182"/>
      <c r="BY403" s="187"/>
    </row>
    <row r="404" spans="1:77" s="16" customFormat="1" x14ac:dyDescent="0.15">
      <c r="A404" s="180">
        <v>1201200031</v>
      </c>
      <c r="B404" s="181" t="s">
        <v>455</v>
      </c>
      <c r="C404" s="182" t="s">
        <v>89</v>
      </c>
      <c r="D404" s="182"/>
      <c r="E404" s="182" t="s">
        <v>78</v>
      </c>
      <c r="F404" s="182"/>
      <c r="G404" s="182"/>
      <c r="H404" s="182"/>
      <c r="I404" s="182"/>
      <c r="J404" s="184"/>
      <c r="K404" s="184"/>
      <c r="L404" s="184"/>
      <c r="M404" s="184"/>
      <c r="N404" s="184"/>
      <c r="O404" s="182" t="s">
        <v>98</v>
      </c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  <c r="AB404" s="182"/>
      <c r="AC404" s="182"/>
      <c r="AD404" s="182"/>
      <c r="AE404" s="151">
        <v>120120003</v>
      </c>
      <c r="AF404" s="182"/>
      <c r="AG404" s="182"/>
      <c r="AH404" s="182"/>
      <c r="AI404" s="182"/>
      <c r="AJ404" s="182"/>
      <c r="AK404" s="182"/>
      <c r="AL404" s="182"/>
      <c r="AM404" s="182"/>
      <c r="AN404" s="182"/>
      <c r="AO404" s="182"/>
      <c r="AP404" s="182"/>
      <c r="AQ404" s="182"/>
      <c r="AR404" s="182"/>
      <c r="AS404" s="182"/>
      <c r="AT404" s="182"/>
      <c r="AU404" s="182"/>
      <c r="AV404" s="182"/>
      <c r="AW404" s="182"/>
      <c r="AX404" s="182"/>
      <c r="AY404" s="182"/>
      <c r="AZ404" s="182"/>
      <c r="BA404" s="182"/>
      <c r="BB404" s="182"/>
      <c r="BC404" s="182"/>
      <c r="BD404" s="182"/>
      <c r="BE404" s="182"/>
      <c r="BF404" s="182"/>
      <c r="BG404" s="182"/>
      <c r="BH404" s="182"/>
      <c r="BI404" s="182"/>
      <c r="BJ404" s="182"/>
      <c r="BK404" s="182"/>
      <c r="BL404" s="182"/>
      <c r="BM404" s="182"/>
      <c r="BN404" s="182"/>
      <c r="BO404" s="182"/>
      <c r="BP404" s="182"/>
      <c r="BQ404" s="182"/>
      <c r="BR404" s="182"/>
      <c r="BS404" s="182"/>
      <c r="BT404" s="182"/>
      <c r="BU404" s="182"/>
      <c r="BV404" s="182"/>
      <c r="BW404" s="182"/>
      <c r="BX404" s="182"/>
      <c r="BY404" s="187"/>
    </row>
    <row r="405" spans="1:77" s="16" customFormat="1" x14ac:dyDescent="0.15">
      <c r="A405" s="180">
        <v>1201010011</v>
      </c>
      <c r="B405" s="181" t="s">
        <v>456</v>
      </c>
      <c r="C405" s="182" t="s">
        <v>100</v>
      </c>
      <c r="D405" s="182"/>
      <c r="E405" s="182" t="s">
        <v>83</v>
      </c>
      <c r="F405" s="182">
        <v>50000</v>
      </c>
      <c r="G405" s="182"/>
      <c r="H405" s="182"/>
      <c r="I405" s="182"/>
      <c r="J405" s="184"/>
      <c r="K405" s="184"/>
      <c r="L405" s="184"/>
      <c r="M405" s="184" t="s">
        <v>101</v>
      </c>
      <c r="N405" s="184" t="s">
        <v>844</v>
      </c>
      <c r="O405" s="182" t="s">
        <v>79</v>
      </c>
      <c r="P405" s="182" t="s">
        <v>102</v>
      </c>
      <c r="Q405" s="182">
        <v>190</v>
      </c>
      <c r="R405" s="182"/>
      <c r="S405" s="182">
        <v>3500</v>
      </c>
      <c r="T405" s="182"/>
      <c r="U405" s="182">
        <v>5000</v>
      </c>
      <c r="V405" s="182"/>
      <c r="W405" s="182"/>
      <c r="X405" s="182"/>
      <c r="Y405" s="182"/>
      <c r="Z405" s="182"/>
      <c r="AA405" s="182"/>
      <c r="AB405" s="182"/>
      <c r="AC405" s="182"/>
      <c r="AD405" s="182"/>
      <c r="AE405" s="151"/>
      <c r="AF405" s="182"/>
      <c r="AG405" s="182"/>
      <c r="AH405" s="182"/>
      <c r="AI405" s="182"/>
      <c r="AJ405" s="182"/>
      <c r="AK405" s="182"/>
      <c r="AL405" s="182"/>
      <c r="AM405" s="182"/>
      <c r="AN405" s="182"/>
      <c r="AO405" s="182"/>
      <c r="AP405" s="182"/>
      <c r="AQ405" s="182"/>
      <c r="AR405" s="182"/>
      <c r="AS405" s="182"/>
      <c r="AT405" s="182"/>
      <c r="AU405" s="182"/>
      <c r="AV405" s="182"/>
      <c r="AW405" s="182"/>
      <c r="AX405" s="182"/>
      <c r="AY405" s="182"/>
      <c r="AZ405" s="182"/>
      <c r="BA405" s="182"/>
      <c r="BB405" s="182"/>
      <c r="BC405" s="182"/>
      <c r="BD405" s="182"/>
      <c r="BE405" s="182"/>
      <c r="BF405" s="182"/>
      <c r="BG405" s="182"/>
      <c r="BH405" s="182"/>
      <c r="BI405" s="182"/>
      <c r="BJ405" s="182"/>
      <c r="BK405" s="182"/>
      <c r="BL405" s="182"/>
      <c r="BM405" s="182"/>
      <c r="BN405" s="182"/>
      <c r="BO405" s="182"/>
      <c r="BP405" s="182"/>
      <c r="BQ405" s="182"/>
      <c r="BR405" s="182"/>
      <c r="BS405" s="182"/>
      <c r="BT405" s="182"/>
      <c r="BU405" s="182"/>
      <c r="BV405" s="182"/>
      <c r="BW405" s="182"/>
      <c r="BX405" s="182"/>
      <c r="BY405" s="187"/>
    </row>
    <row r="406" spans="1:77" s="16" customFormat="1" x14ac:dyDescent="0.15">
      <c r="A406" s="180">
        <v>1201010021</v>
      </c>
      <c r="B406" s="181" t="s">
        <v>456</v>
      </c>
      <c r="C406" s="182" t="s">
        <v>100</v>
      </c>
      <c r="D406" s="182"/>
      <c r="E406" s="182" t="s">
        <v>83</v>
      </c>
      <c r="F406" s="182">
        <v>50000</v>
      </c>
      <c r="G406" s="182"/>
      <c r="H406" s="182"/>
      <c r="I406" s="182"/>
      <c r="J406" s="184"/>
      <c r="K406" s="184"/>
      <c r="L406" s="184"/>
      <c r="M406" s="184" t="s">
        <v>101</v>
      </c>
      <c r="N406" s="184" t="s">
        <v>844</v>
      </c>
      <c r="O406" s="182" t="s">
        <v>79</v>
      </c>
      <c r="P406" s="182" t="s">
        <v>102</v>
      </c>
      <c r="Q406" s="182">
        <v>280</v>
      </c>
      <c r="R406" s="182"/>
      <c r="S406" s="182">
        <v>3500</v>
      </c>
      <c r="T406" s="182"/>
      <c r="U406" s="182">
        <v>5000</v>
      </c>
      <c r="V406" s="182"/>
      <c r="W406" s="182"/>
      <c r="X406" s="182"/>
      <c r="Y406" s="182"/>
      <c r="Z406" s="182"/>
      <c r="AA406" s="182"/>
      <c r="AB406" s="182"/>
      <c r="AC406" s="182"/>
      <c r="AD406" s="182"/>
      <c r="AE406" s="151"/>
      <c r="AF406" s="182"/>
      <c r="AG406" s="182"/>
      <c r="AH406" s="182"/>
      <c r="AI406" s="182"/>
      <c r="AJ406" s="182"/>
      <c r="AK406" s="182"/>
      <c r="AL406" s="182"/>
      <c r="AM406" s="182"/>
      <c r="AN406" s="182"/>
      <c r="AO406" s="182"/>
      <c r="AP406" s="182"/>
      <c r="AQ406" s="182"/>
      <c r="AR406" s="182"/>
      <c r="AS406" s="182"/>
      <c r="AT406" s="182"/>
      <c r="AU406" s="182"/>
      <c r="AV406" s="182"/>
      <c r="AW406" s="182"/>
      <c r="AX406" s="182"/>
      <c r="AY406" s="182"/>
      <c r="AZ406" s="182"/>
      <c r="BA406" s="182"/>
      <c r="BB406" s="182"/>
      <c r="BC406" s="182"/>
      <c r="BD406" s="182"/>
      <c r="BE406" s="182"/>
      <c r="BF406" s="182"/>
      <c r="BG406" s="182"/>
      <c r="BH406" s="182"/>
      <c r="BI406" s="182"/>
      <c r="BJ406" s="182"/>
      <c r="BK406" s="182"/>
      <c r="BL406" s="182"/>
      <c r="BM406" s="182"/>
      <c r="BN406" s="182"/>
      <c r="BO406" s="182"/>
      <c r="BP406" s="182"/>
      <c r="BQ406" s="182"/>
      <c r="BR406" s="182"/>
      <c r="BS406" s="182"/>
      <c r="BT406" s="182"/>
      <c r="BU406" s="182"/>
      <c r="BV406" s="182"/>
      <c r="BW406" s="182"/>
      <c r="BX406" s="182"/>
      <c r="BY406" s="187"/>
    </row>
    <row r="407" spans="1:77" s="16" customFormat="1" x14ac:dyDescent="0.15">
      <c r="A407" s="180">
        <v>1201010031</v>
      </c>
      <c r="B407" s="181" t="s">
        <v>456</v>
      </c>
      <c r="C407" s="182" t="s">
        <v>100</v>
      </c>
      <c r="D407" s="182"/>
      <c r="E407" s="182" t="s">
        <v>83</v>
      </c>
      <c r="F407" s="182">
        <v>50000</v>
      </c>
      <c r="G407" s="182"/>
      <c r="H407" s="182"/>
      <c r="I407" s="182"/>
      <c r="J407" s="184"/>
      <c r="K407" s="184"/>
      <c r="L407" s="184"/>
      <c r="M407" s="184" t="s">
        <v>101</v>
      </c>
      <c r="N407" s="184" t="s">
        <v>844</v>
      </c>
      <c r="O407" s="182" t="s">
        <v>79</v>
      </c>
      <c r="P407" s="182" t="s">
        <v>102</v>
      </c>
      <c r="Q407" s="182">
        <v>370</v>
      </c>
      <c r="R407" s="182"/>
      <c r="S407" s="182">
        <v>3500</v>
      </c>
      <c r="T407" s="182"/>
      <c r="U407" s="182">
        <v>5000</v>
      </c>
      <c r="V407" s="182"/>
      <c r="W407" s="182"/>
      <c r="X407" s="182"/>
      <c r="Y407" s="182"/>
      <c r="Z407" s="182"/>
      <c r="AA407" s="182"/>
      <c r="AB407" s="182"/>
      <c r="AC407" s="182"/>
      <c r="AD407" s="182"/>
      <c r="AE407" s="151"/>
      <c r="AF407" s="182"/>
      <c r="AG407" s="182"/>
      <c r="AH407" s="182"/>
      <c r="AI407" s="182"/>
      <c r="AJ407" s="182"/>
      <c r="AK407" s="182"/>
      <c r="AL407" s="182"/>
      <c r="AM407" s="182"/>
      <c r="AN407" s="182"/>
      <c r="AO407" s="182"/>
      <c r="AP407" s="182"/>
      <c r="AQ407" s="182"/>
      <c r="AR407" s="182"/>
      <c r="AS407" s="182"/>
      <c r="AT407" s="182"/>
      <c r="AU407" s="182"/>
      <c r="AV407" s="182"/>
      <c r="AW407" s="182"/>
      <c r="AX407" s="182"/>
      <c r="AY407" s="182"/>
      <c r="AZ407" s="182"/>
      <c r="BA407" s="182"/>
      <c r="BB407" s="182"/>
      <c r="BC407" s="182"/>
      <c r="BD407" s="182"/>
      <c r="BE407" s="182"/>
      <c r="BF407" s="182"/>
      <c r="BG407" s="182"/>
      <c r="BH407" s="182"/>
      <c r="BI407" s="182"/>
      <c r="BJ407" s="182"/>
      <c r="BK407" s="182"/>
      <c r="BL407" s="182"/>
      <c r="BM407" s="182"/>
      <c r="BN407" s="182"/>
      <c r="BO407" s="182"/>
      <c r="BP407" s="182"/>
      <c r="BQ407" s="182"/>
      <c r="BR407" s="182"/>
      <c r="BS407" s="182"/>
      <c r="BT407" s="182"/>
      <c r="BU407" s="182"/>
      <c r="BV407" s="182"/>
      <c r="BW407" s="182"/>
      <c r="BX407" s="182"/>
      <c r="BY407" s="187"/>
    </row>
    <row r="408" spans="1:77" s="16" customFormat="1" x14ac:dyDescent="0.15">
      <c r="A408" s="180">
        <v>1201010041</v>
      </c>
      <c r="B408" s="181" t="s">
        <v>456</v>
      </c>
      <c r="C408" s="182" t="s">
        <v>100</v>
      </c>
      <c r="D408" s="182"/>
      <c r="E408" s="182" t="s">
        <v>83</v>
      </c>
      <c r="F408" s="182">
        <v>50000</v>
      </c>
      <c r="G408" s="182"/>
      <c r="H408" s="182"/>
      <c r="I408" s="182"/>
      <c r="J408" s="184"/>
      <c r="K408" s="184"/>
      <c r="L408" s="184"/>
      <c r="M408" s="184" t="s">
        <v>101</v>
      </c>
      <c r="N408" s="184" t="s">
        <v>844</v>
      </c>
      <c r="O408" s="182" t="s">
        <v>79</v>
      </c>
      <c r="P408" s="182" t="s">
        <v>102</v>
      </c>
      <c r="Q408" s="182">
        <v>460</v>
      </c>
      <c r="R408" s="182"/>
      <c r="S408" s="182">
        <v>3500</v>
      </c>
      <c r="T408" s="182"/>
      <c r="U408" s="182">
        <v>5000</v>
      </c>
      <c r="V408" s="182"/>
      <c r="W408" s="182"/>
      <c r="X408" s="182"/>
      <c r="Y408" s="182"/>
      <c r="Z408" s="182"/>
      <c r="AA408" s="182"/>
      <c r="AB408" s="182"/>
      <c r="AC408" s="182"/>
      <c r="AD408" s="182"/>
      <c r="AE408" s="151"/>
      <c r="AF408" s="182"/>
      <c r="AG408" s="182"/>
      <c r="AH408" s="182"/>
      <c r="AI408" s="182"/>
      <c r="AJ408" s="182"/>
      <c r="AK408" s="182"/>
      <c r="AL408" s="182"/>
      <c r="AM408" s="182"/>
      <c r="AN408" s="182"/>
      <c r="AO408" s="182"/>
      <c r="AP408" s="182"/>
      <c r="AQ408" s="182"/>
      <c r="AR408" s="182"/>
      <c r="AS408" s="182"/>
      <c r="AT408" s="182"/>
      <c r="AU408" s="182"/>
      <c r="AV408" s="182"/>
      <c r="AW408" s="182"/>
      <c r="AX408" s="182"/>
      <c r="AY408" s="182"/>
      <c r="AZ408" s="182"/>
      <c r="BA408" s="182"/>
      <c r="BB408" s="182"/>
      <c r="BC408" s="182"/>
      <c r="BD408" s="182"/>
      <c r="BE408" s="182"/>
      <c r="BF408" s="182"/>
      <c r="BG408" s="182"/>
      <c r="BH408" s="182"/>
      <c r="BI408" s="182"/>
      <c r="BJ408" s="182"/>
      <c r="BK408" s="182"/>
      <c r="BL408" s="182"/>
      <c r="BM408" s="182"/>
      <c r="BN408" s="182"/>
      <c r="BO408" s="182"/>
      <c r="BP408" s="182"/>
      <c r="BQ408" s="182"/>
      <c r="BR408" s="182"/>
      <c r="BS408" s="182"/>
      <c r="BT408" s="182"/>
      <c r="BU408" s="182"/>
      <c r="BV408" s="182"/>
      <c r="BW408" s="182"/>
      <c r="BX408" s="182"/>
      <c r="BY408" s="187"/>
    </row>
    <row r="409" spans="1:77" s="16" customFormat="1" x14ac:dyDescent="0.15">
      <c r="A409" s="180">
        <v>1201010012</v>
      </c>
      <c r="B409" s="181" t="s">
        <v>457</v>
      </c>
      <c r="C409" s="182" t="s">
        <v>458</v>
      </c>
      <c r="D409" s="182"/>
      <c r="E409" s="182" t="s">
        <v>83</v>
      </c>
      <c r="F409" s="182">
        <v>50000</v>
      </c>
      <c r="G409" s="182"/>
      <c r="H409" s="182"/>
      <c r="I409" s="182"/>
      <c r="J409" s="184"/>
      <c r="K409" s="184"/>
      <c r="L409" s="184"/>
      <c r="M409" s="184" t="s">
        <v>101</v>
      </c>
      <c r="N409" s="184"/>
      <c r="O409" s="182" t="s">
        <v>306</v>
      </c>
      <c r="P409" s="182"/>
      <c r="Q409" s="182">
        <v>190</v>
      </c>
      <c r="R409" s="182"/>
      <c r="S409" s="182">
        <v>3500</v>
      </c>
      <c r="T409" s="182"/>
      <c r="U409" s="182"/>
      <c r="V409" s="182"/>
      <c r="W409" s="182"/>
      <c r="X409" s="182"/>
      <c r="Y409" s="182"/>
      <c r="Z409" s="182"/>
      <c r="AA409" s="182"/>
      <c r="AB409" s="182"/>
      <c r="AC409" s="182"/>
      <c r="AD409" s="182"/>
      <c r="AE409" s="151"/>
      <c r="AF409" s="182"/>
      <c r="AG409" s="182"/>
      <c r="AH409" s="182"/>
      <c r="AI409" s="182"/>
      <c r="AJ409" s="182"/>
      <c r="AK409" s="182"/>
      <c r="AL409" s="182"/>
      <c r="AM409" s="182"/>
      <c r="AN409" s="182"/>
      <c r="AO409" s="182"/>
      <c r="AP409" s="182"/>
      <c r="AQ409" s="182"/>
      <c r="AR409" s="182"/>
      <c r="AS409" s="182"/>
      <c r="AT409" s="182"/>
      <c r="AU409" s="182"/>
      <c r="AV409" s="182"/>
      <c r="AW409" s="182"/>
      <c r="AX409" s="182"/>
      <c r="AY409" s="182"/>
      <c r="AZ409" s="182"/>
      <c r="BA409" s="182"/>
      <c r="BB409" s="182"/>
      <c r="BC409" s="182"/>
      <c r="BD409" s="182"/>
      <c r="BE409" s="182"/>
      <c r="BF409" s="182"/>
      <c r="BG409" s="182"/>
      <c r="BH409" s="182"/>
      <c r="BI409" s="182"/>
      <c r="BJ409" s="182"/>
      <c r="BK409" s="182"/>
      <c r="BL409" s="182"/>
      <c r="BM409" s="182"/>
      <c r="BN409" s="182"/>
      <c r="BO409" s="182"/>
      <c r="BP409" s="182"/>
      <c r="BQ409" s="182"/>
      <c r="BR409" s="182"/>
      <c r="BS409" s="182"/>
      <c r="BT409" s="182"/>
      <c r="BU409" s="182"/>
      <c r="BV409" s="182"/>
      <c r="BW409" s="182"/>
      <c r="BX409" s="182"/>
      <c r="BY409" s="187"/>
    </row>
    <row r="410" spans="1:77" s="16" customFormat="1" x14ac:dyDescent="0.15">
      <c r="A410" s="180">
        <v>1201010022</v>
      </c>
      <c r="B410" s="181" t="s">
        <v>457</v>
      </c>
      <c r="C410" s="182" t="s">
        <v>458</v>
      </c>
      <c r="D410" s="182"/>
      <c r="E410" s="182" t="s">
        <v>83</v>
      </c>
      <c r="F410" s="182">
        <v>50000</v>
      </c>
      <c r="G410" s="182"/>
      <c r="H410" s="182"/>
      <c r="I410" s="182"/>
      <c r="J410" s="184"/>
      <c r="K410" s="184"/>
      <c r="L410" s="184"/>
      <c r="M410" s="184" t="s">
        <v>101</v>
      </c>
      <c r="N410" s="184"/>
      <c r="O410" s="182" t="s">
        <v>306</v>
      </c>
      <c r="P410" s="182"/>
      <c r="Q410" s="182">
        <v>280</v>
      </c>
      <c r="R410" s="182"/>
      <c r="S410" s="182">
        <v>3500</v>
      </c>
      <c r="T410" s="182"/>
      <c r="U410" s="182"/>
      <c r="V410" s="182"/>
      <c r="W410" s="182"/>
      <c r="X410" s="182"/>
      <c r="Y410" s="182"/>
      <c r="Z410" s="182"/>
      <c r="AA410" s="182"/>
      <c r="AB410" s="182"/>
      <c r="AC410" s="182"/>
      <c r="AD410" s="182"/>
      <c r="AE410" s="151"/>
      <c r="AF410" s="182"/>
      <c r="AG410" s="182"/>
      <c r="AH410" s="182"/>
      <c r="AI410" s="182"/>
      <c r="AJ410" s="182"/>
      <c r="AK410" s="182"/>
      <c r="AL410" s="182"/>
      <c r="AM410" s="182"/>
      <c r="AN410" s="182"/>
      <c r="AO410" s="182"/>
      <c r="AP410" s="182"/>
      <c r="AQ410" s="182"/>
      <c r="AR410" s="182"/>
      <c r="AS410" s="182"/>
      <c r="AT410" s="182"/>
      <c r="AU410" s="182"/>
      <c r="AV410" s="182"/>
      <c r="AW410" s="182"/>
      <c r="AX410" s="182"/>
      <c r="AY410" s="182"/>
      <c r="AZ410" s="182"/>
      <c r="BA410" s="182"/>
      <c r="BB410" s="182"/>
      <c r="BC410" s="182"/>
      <c r="BD410" s="182"/>
      <c r="BE410" s="182"/>
      <c r="BF410" s="182"/>
      <c r="BG410" s="182"/>
      <c r="BH410" s="182"/>
      <c r="BI410" s="182"/>
      <c r="BJ410" s="182"/>
      <c r="BK410" s="182"/>
      <c r="BL410" s="182"/>
      <c r="BM410" s="182"/>
      <c r="BN410" s="182"/>
      <c r="BO410" s="182"/>
      <c r="BP410" s="182"/>
      <c r="BQ410" s="182"/>
      <c r="BR410" s="182"/>
      <c r="BS410" s="182"/>
      <c r="BT410" s="182"/>
      <c r="BU410" s="182"/>
      <c r="BV410" s="182"/>
      <c r="BW410" s="182"/>
      <c r="BX410" s="182"/>
      <c r="BY410" s="187"/>
    </row>
    <row r="411" spans="1:77" s="16" customFormat="1" x14ac:dyDescent="0.15">
      <c r="A411" s="180">
        <v>1201010032</v>
      </c>
      <c r="B411" s="181" t="s">
        <v>457</v>
      </c>
      <c r="C411" s="182" t="s">
        <v>458</v>
      </c>
      <c r="D411" s="182"/>
      <c r="E411" s="182" t="s">
        <v>83</v>
      </c>
      <c r="F411" s="182">
        <v>50000</v>
      </c>
      <c r="G411" s="182"/>
      <c r="H411" s="182"/>
      <c r="I411" s="182"/>
      <c r="J411" s="184"/>
      <c r="K411" s="184"/>
      <c r="L411" s="184"/>
      <c r="M411" s="184" t="s">
        <v>101</v>
      </c>
      <c r="N411" s="184"/>
      <c r="O411" s="182" t="s">
        <v>306</v>
      </c>
      <c r="P411" s="182"/>
      <c r="Q411" s="182">
        <v>370</v>
      </c>
      <c r="R411" s="182"/>
      <c r="S411" s="182">
        <v>3500</v>
      </c>
      <c r="T411" s="182"/>
      <c r="U411" s="182"/>
      <c r="V411" s="182"/>
      <c r="W411" s="182"/>
      <c r="X411" s="182"/>
      <c r="Y411" s="182"/>
      <c r="Z411" s="182"/>
      <c r="AA411" s="182"/>
      <c r="AB411" s="182"/>
      <c r="AC411" s="182"/>
      <c r="AD411" s="182"/>
      <c r="AE411" s="151"/>
      <c r="AF411" s="182"/>
      <c r="AG411" s="182"/>
      <c r="AH411" s="182"/>
      <c r="AI411" s="182"/>
      <c r="AJ411" s="182"/>
      <c r="AK411" s="182"/>
      <c r="AL411" s="182"/>
      <c r="AM411" s="182"/>
      <c r="AN411" s="182"/>
      <c r="AO411" s="182"/>
      <c r="AP411" s="182"/>
      <c r="AQ411" s="182"/>
      <c r="AR411" s="182"/>
      <c r="AS411" s="182"/>
      <c r="AT411" s="182"/>
      <c r="AU411" s="182"/>
      <c r="AV411" s="182"/>
      <c r="AW411" s="182"/>
      <c r="AX411" s="182"/>
      <c r="AY411" s="182"/>
      <c r="AZ411" s="182"/>
      <c r="BA411" s="182"/>
      <c r="BB411" s="182"/>
      <c r="BC411" s="182"/>
      <c r="BD411" s="182"/>
      <c r="BE411" s="182"/>
      <c r="BF411" s="182"/>
      <c r="BG411" s="182"/>
      <c r="BH411" s="182"/>
      <c r="BI411" s="182"/>
      <c r="BJ411" s="182"/>
      <c r="BK411" s="182"/>
      <c r="BL411" s="182"/>
      <c r="BM411" s="182"/>
      <c r="BN411" s="182"/>
      <c r="BO411" s="182"/>
      <c r="BP411" s="182"/>
      <c r="BQ411" s="182"/>
      <c r="BR411" s="182"/>
      <c r="BS411" s="182"/>
      <c r="BT411" s="182"/>
      <c r="BU411" s="182"/>
      <c r="BV411" s="182"/>
      <c r="BW411" s="182"/>
      <c r="BX411" s="182"/>
      <c r="BY411" s="187"/>
    </row>
    <row r="412" spans="1:77" s="16" customFormat="1" x14ac:dyDescent="0.15">
      <c r="A412" s="180">
        <v>1201010042</v>
      </c>
      <c r="B412" s="181" t="s">
        <v>457</v>
      </c>
      <c r="C412" s="182" t="s">
        <v>458</v>
      </c>
      <c r="D412" s="182"/>
      <c r="E412" s="182" t="s">
        <v>83</v>
      </c>
      <c r="F412" s="182">
        <v>50000</v>
      </c>
      <c r="G412" s="182"/>
      <c r="H412" s="182"/>
      <c r="I412" s="182"/>
      <c r="J412" s="184"/>
      <c r="K412" s="184"/>
      <c r="L412" s="184"/>
      <c r="M412" s="184" t="s">
        <v>101</v>
      </c>
      <c r="N412" s="184"/>
      <c r="O412" s="182" t="s">
        <v>306</v>
      </c>
      <c r="P412" s="182"/>
      <c r="Q412" s="182">
        <v>460</v>
      </c>
      <c r="R412" s="182"/>
      <c r="S412" s="182">
        <v>3500</v>
      </c>
      <c r="T412" s="182"/>
      <c r="U412" s="182"/>
      <c r="V412" s="182"/>
      <c r="W412" s="182"/>
      <c r="X412" s="182"/>
      <c r="Y412" s="182"/>
      <c r="Z412" s="182"/>
      <c r="AA412" s="182"/>
      <c r="AB412" s="182"/>
      <c r="AC412" s="182"/>
      <c r="AD412" s="182"/>
      <c r="AE412" s="151"/>
      <c r="AF412" s="182"/>
      <c r="AG412" s="182"/>
      <c r="AH412" s="182"/>
      <c r="AI412" s="182"/>
      <c r="AJ412" s="182"/>
      <c r="AK412" s="182"/>
      <c r="AL412" s="182"/>
      <c r="AM412" s="182"/>
      <c r="AN412" s="182"/>
      <c r="AO412" s="182"/>
      <c r="AP412" s="182"/>
      <c r="AQ412" s="182"/>
      <c r="AR412" s="182"/>
      <c r="AS412" s="182"/>
      <c r="AT412" s="182"/>
      <c r="AU412" s="182"/>
      <c r="AV412" s="182"/>
      <c r="AW412" s="182"/>
      <c r="AX412" s="182"/>
      <c r="AY412" s="182"/>
      <c r="AZ412" s="182"/>
      <c r="BA412" s="182"/>
      <c r="BB412" s="182"/>
      <c r="BC412" s="182"/>
      <c r="BD412" s="182"/>
      <c r="BE412" s="182"/>
      <c r="BF412" s="182"/>
      <c r="BG412" s="182"/>
      <c r="BH412" s="182"/>
      <c r="BI412" s="182"/>
      <c r="BJ412" s="182"/>
      <c r="BK412" s="182"/>
      <c r="BL412" s="182"/>
      <c r="BM412" s="182"/>
      <c r="BN412" s="182"/>
      <c r="BO412" s="182"/>
      <c r="BP412" s="182"/>
      <c r="BQ412" s="182"/>
      <c r="BR412" s="182"/>
      <c r="BS412" s="182"/>
      <c r="BT412" s="182"/>
      <c r="BU412" s="182"/>
      <c r="BV412" s="182"/>
      <c r="BW412" s="182"/>
      <c r="BX412" s="182"/>
      <c r="BY412" s="187"/>
    </row>
    <row r="413" spans="1:77" s="16" customFormat="1" x14ac:dyDescent="0.15">
      <c r="A413" s="180">
        <v>1201020011</v>
      </c>
      <c r="B413" s="181" t="s">
        <v>459</v>
      </c>
      <c r="C413" s="182" t="s">
        <v>100</v>
      </c>
      <c r="D413" s="182"/>
      <c r="E413" s="182" t="s">
        <v>425</v>
      </c>
      <c r="F413" s="182">
        <v>150000</v>
      </c>
      <c r="G413" s="182">
        <v>900</v>
      </c>
      <c r="H413" s="182"/>
      <c r="I413" s="182"/>
      <c r="J413" s="184"/>
      <c r="K413" s="184"/>
      <c r="L413" s="184"/>
      <c r="M413" s="184"/>
      <c r="N413" s="184" t="s">
        <v>844</v>
      </c>
      <c r="O413" s="182" t="s">
        <v>79</v>
      </c>
      <c r="P413" s="182" t="s">
        <v>102</v>
      </c>
      <c r="Q413" s="182">
        <v>115</v>
      </c>
      <c r="R413" s="182"/>
      <c r="S413" s="182">
        <v>2500</v>
      </c>
      <c r="T413" s="182"/>
      <c r="U413" s="182">
        <v>3500</v>
      </c>
      <c r="V413" s="182"/>
      <c r="W413" s="182"/>
      <c r="X413" s="182"/>
      <c r="Y413" s="182"/>
      <c r="Z413" s="182"/>
      <c r="AA413" s="182"/>
      <c r="AB413" s="182"/>
      <c r="AC413" s="182"/>
      <c r="AD413" s="182"/>
      <c r="AE413" s="151"/>
      <c r="AF413" s="182"/>
      <c r="AG413" s="182"/>
      <c r="AH413" s="182"/>
      <c r="AI413" s="182"/>
      <c r="AJ413" s="182"/>
      <c r="AK413" s="182"/>
      <c r="AL413" s="182"/>
      <c r="AM413" s="182"/>
      <c r="AN413" s="182"/>
      <c r="AO413" s="182"/>
      <c r="AP413" s="182"/>
      <c r="AQ413" s="182"/>
      <c r="AR413" s="182"/>
      <c r="AS413" s="182"/>
      <c r="AT413" s="182"/>
      <c r="AU413" s="182"/>
      <c r="AV413" s="182"/>
      <c r="AW413" s="182"/>
      <c r="AX413" s="182"/>
      <c r="AY413" s="182"/>
      <c r="AZ413" s="182"/>
      <c r="BA413" s="182"/>
      <c r="BB413" s="182"/>
      <c r="BC413" s="182"/>
      <c r="BD413" s="182"/>
      <c r="BE413" s="182"/>
      <c r="BF413" s="182"/>
      <c r="BG413" s="182"/>
      <c r="BH413" s="182"/>
      <c r="BI413" s="182"/>
      <c r="BJ413" s="182"/>
      <c r="BK413" s="182"/>
      <c r="BL413" s="182"/>
      <c r="BM413" s="182"/>
      <c r="BN413" s="182"/>
      <c r="BO413" s="182"/>
      <c r="BP413" s="182"/>
      <c r="BQ413" s="182"/>
      <c r="BR413" s="182"/>
      <c r="BS413" s="182"/>
      <c r="BT413" s="182"/>
      <c r="BU413" s="182"/>
      <c r="BV413" s="182"/>
      <c r="BW413" s="182"/>
      <c r="BX413" s="182"/>
      <c r="BY413" s="187"/>
    </row>
    <row r="414" spans="1:77" s="16" customFormat="1" x14ac:dyDescent="0.15">
      <c r="A414" s="180">
        <v>1201020021</v>
      </c>
      <c r="B414" s="181" t="s">
        <v>459</v>
      </c>
      <c r="C414" s="182" t="s">
        <v>100</v>
      </c>
      <c r="D414" s="182"/>
      <c r="E414" s="182" t="s">
        <v>425</v>
      </c>
      <c r="F414" s="182">
        <v>150000</v>
      </c>
      <c r="G414" s="182">
        <v>900</v>
      </c>
      <c r="H414" s="182"/>
      <c r="I414" s="182"/>
      <c r="J414" s="184"/>
      <c r="K414" s="184"/>
      <c r="L414" s="184"/>
      <c r="M414" s="184"/>
      <c r="N414" s="184" t="s">
        <v>844</v>
      </c>
      <c r="O414" s="182" t="s">
        <v>79</v>
      </c>
      <c r="P414" s="182" t="s">
        <v>102</v>
      </c>
      <c r="Q414" s="182">
        <v>170</v>
      </c>
      <c r="R414" s="182"/>
      <c r="S414" s="182">
        <v>2500</v>
      </c>
      <c r="T414" s="182"/>
      <c r="U414" s="182">
        <v>3500</v>
      </c>
      <c r="V414" s="182"/>
      <c r="W414" s="182"/>
      <c r="X414" s="182"/>
      <c r="Y414" s="182"/>
      <c r="Z414" s="182"/>
      <c r="AA414" s="182"/>
      <c r="AB414" s="182"/>
      <c r="AC414" s="182"/>
      <c r="AD414" s="182"/>
      <c r="AE414" s="151"/>
      <c r="AF414" s="182"/>
      <c r="AG414" s="182"/>
      <c r="AH414" s="182"/>
      <c r="AI414" s="182"/>
      <c r="AJ414" s="182"/>
      <c r="AK414" s="182"/>
      <c r="AL414" s="182"/>
      <c r="AM414" s="182"/>
      <c r="AN414" s="182"/>
      <c r="AO414" s="182"/>
      <c r="AP414" s="182"/>
      <c r="AQ414" s="182"/>
      <c r="AR414" s="182"/>
      <c r="AS414" s="182"/>
      <c r="AT414" s="182"/>
      <c r="AU414" s="182"/>
      <c r="AV414" s="182"/>
      <c r="AW414" s="182"/>
      <c r="AX414" s="182"/>
      <c r="AY414" s="182"/>
      <c r="AZ414" s="182"/>
      <c r="BA414" s="182"/>
      <c r="BB414" s="182"/>
      <c r="BC414" s="182"/>
      <c r="BD414" s="182"/>
      <c r="BE414" s="182"/>
      <c r="BF414" s="182"/>
      <c r="BG414" s="182"/>
      <c r="BH414" s="182"/>
      <c r="BI414" s="182"/>
      <c r="BJ414" s="182"/>
      <c r="BK414" s="182"/>
      <c r="BL414" s="182"/>
      <c r="BM414" s="182"/>
      <c r="BN414" s="182"/>
      <c r="BO414" s="182"/>
      <c r="BP414" s="182"/>
      <c r="BQ414" s="182"/>
      <c r="BR414" s="182"/>
      <c r="BS414" s="182"/>
      <c r="BT414" s="182"/>
      <c r="BU414" s="182"/>
      <c r="BV414" s="182"/>
      <c r="BW414" s="182"/>
      <c r="BX414" s="182"/>
      <c r="BY414" s="187"/>
    </row>
    <row r="415" spans="1:77" s="16" customFormat="1" x14ac:dyDescent="0.15">
      <c r="A415" s="180">
        <v>1201020031</v>
      </c>
      <c r="B415" s="181" t="s">
        <v>459</v>
      </c>
      <c r="C415" s="182" t="s">
        <v>100</v>
      </c>
      <c r="D415" s="182"/>
      <c r="E415" s="182" t="s">
        <v>425</v>
      </c>
      <c r="F415" s="182">
        <v>150000</v>
      </c>
      <c r="G415" s="182">
        <v>900</v>
      </c>
      <c r="H415" s="182"/>
      <c r="I415" s="182"/>
      <c r="J415" s="184"/>
      <c r="K415" s="184"/>
      <c r="L415" s="184"/>
      <c r="M415" s="184"/>
      <c r="N415" s="184" t="s">
        <v>844</v>
      </c>
      <c r="O415" s="182" t="s">
        <v>79</v>
      </c>
      <c r="P415" s="182" t="s">
        <v>102</v>
      </c>
      <c r="Q415" s="182">
        <v>225</v>
      </c>
      <c r="R415" s="182"/>
      <c r="S415" s="182">
        <v>2500</v>
      </c>
      <c r="T415" s="182"/>
      <c r="U415" s="182">
        <v>3500</v>
      </c>
      <c r="V415" s="182"/>
      <c r="W415" s="182"/>
      <c r="X415" s="182"/>
      <c r="Y415" s="182"/>
      <c r="Z415" s="182"/>
      <c r="AA415" s="182"/>
      <c r="AB415" s="182"/>
      <c r="AC415" s="182"/>
      <c r="AD415" s="182"/>
      <c r="AE415" s="151"/>
      <c r="AF415" s="182"/>
      <c r="AG415" s="182"/>
      <c r="AH415" s="182"/>
      <c r="AI415" s="182"/>
      <c r="AJ415" s="182"/>
      <c r="AK415" s="182"/>
      <c r="AL415" s="182"/>
      <c r="AM415" s="182"/>
      <c r="AN415" s="182"/>
      <c r="AO415" s="182"/>
      <c r="AP415" s="182"/>
      <c r="AQ415" s="182"/>
      <c r="AR415" s="182"/>
      <c r="AS415" s="182"/>
      <c r="AT415" s="182"/>
      <c r="AU415" s="182"/>
      <c r="AV415" s="182"/>
      <c r="AW415" s="182"/>
      <c r="AX415" s="182"/>
      <c r="AY415" s="182"/>
      <c r="AZ415" s="182"/>
      <c r="BA415" s="182"/>
      <c r="BB415" s="182"/>
      <c r="BC415" s="182"/>
      <c r="BD415" s="182"/>
      <c r="BE415" s="182"/>
      <c r="BF415" s="182"/>
      <c r="BG415" s="182"/>
      <c r="BH415" s="182"/>
      <c r="BI415" s="182"/>
      <c r="BJ415" s="182"/>
      <c r="BK415" s="182"/>
      <c r="BL415" s="182"/>
      <c r="BM415" s="182"/>
      <c r="BN415" s="182"/>
      <c r="BO415" s="182"/>
      <c r="BP415" s="182"/>
      <c r="BQ415" s="182"/>
      <c r="BR415" s="182"/>
      <c r="BS415" s="182"/>
      <c r="BT415" s="182"/>
      <c r="BU415" s="182"/>
      <c r="BV415" s="182"/>
      <c r="BW415" s="182"/>
      <c r="BX415" s="182"/>
      <c r="BY415" s="187"/>
    </row>
    <row r="416" spans="1:77" s="16" customFormat="1" x14ac:dyDescent="0.15">
      <c r="A416" s="180">
        <v>1201020041</v>
      </c>
      <c r="B416" s="181" t="s">
        <v>459</v>
      </c>
      <c r="C416" s="182" t="s">
        <v>100</v>
      </c>
      <c r="D416" s="182"/>
      <c r="E416" s="182" t="s">
        <v>425</v>
      </c>
      <c r="F416" s="182">
        <v>150000</v>
      </c>
      <c r="G416" s="182">
        <v>900</v>
      </c>
      <c r="H416" s="182"/>
      <c r="I416" s="182"/>
      <c r="J416" s="184"/>
      <c r="K416" s="184"/>
      <c r="L416" s="184"/>
      <c r="M416" s="184"/>
      <c r="N416" s="184" t="s">
        <v>844</v>
      </c>
      <c r="O416" s="182" t="s">
        <v>79</v>
      </c>
      <c r="P416" s="182" t="s">
        <v>102</v>
      </c>
      <c r="Q416" s="182">
        <v>280</v>
      </c>
      <c r="R416" s="182"/>
      <c r="S416" s="182">
        <v>2500</v>
      </c>
      <c r="T416" s="182"/>
      <c r="U416" s="182">
        <v>3500</v>
      </c>
      <c r="V416" s="182"/>
      <c r="W416" s="182"/>
      <c r="X416" s="182"/>
      <c r="Y416" s="182"/>
      <c r="Z416" s="182"/>
      <c r="AA416" s="182"/>
      <c r="AB416" s="182"/>
      <c r="AC416" s="182"/>
      <c r="AD416" s="182"/>
      <c r="AE416" s="151"/>
      <c r="AF416" s="182"/>
      <c r="AG416" s="182"/>
      <c r="AH416" s="182"/>
      <c r="AI416" s="182"/>
      <c r="AJ416" s="182"/>
      <c r="AK416" s="182"/>
      <c r="AL416" s="182"/>
      <c r="AM416" s="182"/>
      <c r="AN416" s="182"/>
      <c r="AO416" s="182"/>
      <c r="AP416" s="182"/>
      <c r="AQ416" s="182"/>
      <c r="AR416" s="182"/>
      <c r="AS416" s="182"/>
      <c r="AT416" s="182"/>
      <c r="AU416" s="182"/>
      <c r="AV416" s="182"/>
      <c r="AW416" s="182"/>
      <c r="AX416" s="182"/>
      <c r="AY416" s="182"/>
      <c r="AZ416" s="182"/>
      <c r="BA416" s="182"/>
      <c r="BB416" s="182"/>
      <c r="BC416" s="182"/>
      <c r="BD416" s="182"/>
      <c r="BE416" s="182"/>
      <c r="BF416" s="182"/>
      <c r="BG416" s="182"/>
      <c r="BH416" s="182"/>
      <c r="BI416" s="182"/>
      <c r="BJ416" s="182"/>
      <c r="BK416" s="182"/>
      <c r="BL416" s="182"/>
      <c r="BM416" s="182"/>
      <c r="BN416" s="182"/>
      <c r="BO416" s="182"/>
      <c r="BP416" s="182"/>
      <c r="BQ416" s="182"/>
      <c r="BR416" s="182"/>
      <c r="BS416" s="182"/>
      <c r="BT416" s="182"/>
      <c r="BU416" s="182"/>
      <c r="BV416" s="182"/>
      <c r="BW416" s="182"/>
      <c r="BX416" s="182"/>
      <c r="BY416" s="187"/>
    </row>
    <row r="417" spans="1:77" s="16" customFormat="1" x14ac:dyDescent="0.15">
      <c r="A417" s="180">
        <v>1201020012</v>
      </c>
      <c r="B417" s="181" t="s">
        <v>460</v>
      </c>
      <c r="C417" s="182" t="s">
        <v>89</v>
      </c>
      <c r="D417" s="182"/>
      <c r="E417" s="182" t="s">
        <v>78</v>
      </c>
      <c r="F417" s="182"/>
      <c r="G417" s="182"/>
      <c r="H417" s="182"/>
      <c r="I417" s="182"/>
      <c r="J417" s="184"/>
      <c r="K417" s="184"/>
      <c r="L417" s="184"/>
      <c r="M417" s="184"/>
      <c r="N417" s="184"/>
      <c r="O417" s="182" t="s">
        <v>306</v>
      </c>
      <c r="P417" s="182"/>
      <c r="Q417" s="182">
        <v>75</v>
      </c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  <c r="AC417" s="182"/>
      <c r="AD417" s="182"/>
      <c r="AE417" s="151"/>
      <c r="AF417" s="182"/>
      <c r="AG417" s="182"/>
      <c r="AH417" s="182"/>
      <c r="AI417" s="182"/>
      <c r="AJ417" s="182"/>
      <c r="AK417" s="182"/>
      <c r="AL417" s="182"/>
      <c r="AM417" s="182"/>
      <c r="AN417" s="182"/>
      <c r="AO417" s="182"/>
      <c r="AP417" s="182"/>
      <c r="AQ417" s="182"/>
      <c r="AR417" s="182"/>
      <c r="AS417" s="182"/>
      <c r="AT417" s="182"/>
      <c r="AU417" s="182"/>
      <c r="AV417" s="182"/>
      <c r="AW417" s="182"/>
      <c r="AX417" s="182"/>
      <c r="AY417" s="182"/>
      <c r="AZ417" s="182"/>
      <c r="BA417" s="182"/>
      <c r="BB417" s="182"/>
      <c r="BC417" s="182"/>
      <c r="BD417" s="182"/>
      <c r="BE417" s="182"/>
      <c r="BF417" s="182"/>
      <c r="BG417" s="182"/>
      <c r="BH417" s="182"/>
      <c r="BI417" s="182"/>
      <c r="BJ417" s="182"/>
      <c r="BK417" s="182"/>
      <c r="BL417" s="182"/>
      <c r="BM417" s="182"/>
      <c r="BN417" s="182"/>
      <c r="BO417" s="182"/>
      <c r="BP417" s="182"/>
      <c r="BQ417" s="182"/>
      <c r="BR417" s="182"/>
      <c r="BS417" s="182"/>
      <c r="BT417" s="182"/>
      <c r="BU417" s="182"/>
      <c r="BV417" s="182"/>
      <c r="BW417" s="182"/>
      <c r="BX417" s="182"/>
      <c r="BY417" s="187"/>
    </row>
    <row r="418" spans="1:77" s="16" customFormat="1" x14ac:dyDescent="0.15">
      <c r="A418" s="180">
        <v>1201020022</v>
      </c>
      <c r="B418" s="181" t="s">
        <v>460</v>
      </c>
      <c r="C418" s="182" t="s">
        <v>89</v>
      </c>
      <c r="D418" s="182"/>
      <c r="E418" s="182" t="s">
        <v>78</v>
      </c>
      <c r="F418" s="182"/>
      <c r="G418" s="182"/>
      <c r="H418" s="182"/>
      <c r="I418" s="182"/>
      <c r="J418" s="184"/>
      <c r="K418" s="184"/>
      <c r="L418" s="184"/>
      <c r="M418" s="184"/>
      <c r="N418" s="184"/>
      <c r="O418" s="182" t="s">
        <v>306</v>
      </c>
      <c r="P418" s="182"/>
      <c r="Q418" s="182">
        <v>100</v>
      </c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  <c r="AB418" s="182"/>
      <c r="AC418" s="182"/>
      <c r="AD418" s="182"/>
      <c r="AE418" s="151"/>
      <c r="AF418" s="182"/>
      <c r="AG418" s="182"/>
      <c r="AH418" s="182"/>
      <c r="AI418" s="182"/>
      <c r="AJ418" s="182"/>
      <c r="AK418" s="182"/>
      <c r="AL418" s="182"/>
      <c r="AM418" s="182"/>
      <c r="AN418" s="182"/>
      <c r="AO418" s="182"/>
      <c r="AP418" s="182"/>
      <c r="AQ418" s="182"/>
      <c r="AR418" s="182"/>
      <c r="AS418" s="182"/>
      <c r="AT418" s="182"/>
      <c r="AU418" s="182"/>
      <c r="AV418" s="182"/>
      <c r="AW418" s="182"/>
      <c r="AX418" s="182"/>
      <c r="AY418" s="182"/>
      <c r="AZ418" s="182"/>
      <c r="BA418" s="182"/>
      <c r="BB418" s="182"/>
      <c r="BC418" s="182"/>
      <c r="BD418" s="182"/>
      <c r="BE418" s="182"/>
      <c r="BF418" s="182"/>
      <c r="BG418" s="182"/>
      <c r="BH418" s="182"/>
      <c r="BI418" s="182"/>
      <c r="BJ418" s="182"/>
      <c r="BK418" s="182"/>
      <c r="BL418" s="182"/>
      <c r="BM418" s="182"/>
      <c r="BN418" s="182"/>
      <c r="BO418" s="182"/>
      <c r="BP418" s="182"/>
      <c r="BQ418" s="182"/>
      <c r="BR418" s="182"/>
      <c r="BS418" s="182"/>
      <c r="BT418" s="182"/>
      <c r="BU418" s="182"/>
      <c r="BV418" s="182"/>
      <c r="BW418" s="182"/>
      <c r="BX418" s="182"/>
      <c r="BY418" s="187"/>
    </row>
    <row r="419" spans="1:77" s="16" customFormat="1" x14ac:dyDescent="0.15">
      <c r="A419" s="180">
        <v>1201020032</v>
      </c>
      <c r="B419" s="181" t="s">
        <v>460</v>
      </c>
      <c r="C419" s="182" t="s">
        <v>89</v>
      </c>
      <c r="D419" s="182"/>
      <c r="E419" s="182" t="s">
        <v>78</v>
      </c>
      <c r="F419" s="182"/>
      <c r="G419" s="182"/>
      <c r="H419" s="182"/>
      <c r="I419" s="182"/>
      <c r="J419" s="184"/>
      <c r="K419" s="184"/>
      <c r="L419" s="184"/>
      <c r="M419" s="184"/>
      <c r="N419" s="184"/>
      <c r="O419" s="182" t="s">
        <v>306</v>
      </c>
      <c r="P419" s="182"/>
      <c r="Q419" s="182">
        <v>125</v>
      </c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  <c r="AC419" s="182"/>
      <c r="AD419" s="182"/>
      <c r="AE419" s="151"/>
      <c r="AF419" s="182"/>
      <c r="AG419" s="182"/>
      <c r="AH419" s="182"/>
      <c r="AI419" s="182"/>
      <c r="AJ419" s="182"/>
      <c r="AK419" s="182"/>
      <c r="AL419" s="182"/>
      <c r="AM419" s="182"/>
      <c r="AN419" s="182"/>
      <c r="AO419" s="182"/>
      <c r="AP419" s="182"/>
      <c r="AQ419" s="182"/>
      <c r="AR419" s="182"/>
      <c r="AS419" s="182"/>
      <c r="AT419" s="182"/>
      <c r="AU419" s="182"/>
      <c r="AV419" s="182"/>
      <c r="AW419" s="182"/>
      <c r="AX419" s="182"/>
      <c r="AY419" s="182"/>
      <c r="AZ419" s="182"/>
      <c r="BA419" s="182"/>
      <c r="BB419" s="182"/>
      <c r="BC419" s="182"/>
      <c r="BD419" s="182"/>
      <c r="BE419" s="182"/>
      <c r="BF419" s="182"/>
      <c r="BG419" s="182"/>
      <c r="BH419" s="182"/>
      <c r="BI419" s="182"/>
      <c r="BJ419" s="182"/>
      <c r="BK419" s="182"/>
      <c r="BL419" s="182"/>
      <c r="BM419" s="182"/>
      <c r="BN419" s="182"/>
      <c r="BO419" s="182"/>
      <c r="BP419" s="182"/>
      <c r="BQ419" s="182"/>
      <c r="BR419" s="182"/>
      <c r="BS419" s="182"/>
      <c r="BT419" s="182"/>
      <c r="BU419" s="182"/>
      <c r="BV419" s="182"/>
      <c r="BW419" s="182"/>
      <c r="BX419" s="182"/>
      <c r="BY419" s="187"/>
    </row>
    <row r="420" spans="1:77" s="16" customFormat="1" x14ac:dyDescent="0.15">
      <c r="A420" s="180">
        <v>1201020042</v>
      </c>
      <c r="B420" s="181" t="s">
        <v>460</v>
      </c>
      <c r="C420" s="182" t="s">
        <v>89</v>
      </c>
      <c r="D420" s="182"/>
      <c r="E420" s="182" t="s">
        <v>78</v>
      </c>
      <c r="F420" s="182"/>
      <c r="G420" s="182"/>
      <c r="H420" s="182"/>
      <c r="I420" s="182"/>
      <c r="J420" s="184"/>
      <c r="K420" s="184"/>
      <c r="L420" s="184"/>
      <c r="M420" s="184"/>
      <c r="N420" s="184"/>
      <c r="O420" s="182" t="s">
        <v>306</v>
      </c>
      <c r="P420" s="182"/>
      <c r="Q420" s="182">
        <v>150</v>
      </c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  <c r="AB420" s="182"/>
      <c r="AC420" s="182"/>
      <c r="AD420" s="182"/>
      <c r="AE420" s="151"/>
      <c r="AF420" s="182"/>
      <c r="AG420" s="182"/>
      <c r="AH420" s="182"/>
      <c r="AI420" s="182"/>
      <c r="AJ420" s="182"/>
      <c r="AK420" s="182"/>
      <c r="AL420" s="182"/>
      <c r="AM420" s="182"/>
      <c r="AN420" s="182"/>
      <c r="AO420" s="182"/>
      <c r="AP420" s="182"/>
      <c r="AQ420" s="182"/>
      <c r="AR420" s="182"/>
      <c r="AS420" s="182"/>
      <c r="AT420" s="182"/>
      <c r="AU420" s="182"/>
      <c r="AV420" s="182"/>
      <c r="AW420" s="182"/>
      <c r="AX420" s="182"/>
      <c r="AY420" s="182"/>
      <c r="AZ420" s="182"/>
      <c r="BA420" s="182"/>
      <c r="BB420" s="182"/>
      <c r="BC420" s="182"/>
      <c r="BD420" s="182"/>
      <c r="BE420" s="182"/>
      <c r="BF420" s="182"/>
      <c r="BG420" s="182"/>
      <c r="BH420" s="182"/>
      <c r="BI420" s="182"/>
      <c r="BJ420" s="182"/>
      <c r="BK420" s="182"/>
      <c r="BL420" s="182"/>
      <c r="BM420" s="182"/>
      <c r="BN420" s="182"/>
      <c r="BO420" s="182"/>
      <c r="BP420" s="182"/>
      <c r="BQ420" s="182"/>
      <c r="BR420" s="182"/>
      <c r="BS420" s="182"/>
      <c r="BT420" s="182"/>
      <c r="BU420" s="182"/>
      <c r="BV420" s="182"/>
      <c r="BW420" s="182"/>
      <c r="BX420" s="182"/>
      <c r="BY420" s="187"/>
    </row>
    <row r="421" spans="1:77" s="16" customFormat="1" x14ac:dyDescent="0.15">
      <c r="A421" s="180">
        <v>1201020013</v>
      </c>
      <c r="B421" s="181" t="s">
        <v>461</v>
      </c>
      <c r="C421" s="182" t="s">
        <v>89</v>
      </c>
      <c r="D421" s="182"/>
      <c r="E421" s="182" t="s">
        <v>78</v>
      </c>
      <c r="F421" s="182"/>
      <c r="G421" s="182"/>
      <c r="H421" s="182"/>
      <c r="I421" s="182"/>
      <c r="J421" s="184"/>
      <c r="K421" s="184"/>
      <c r="L421" s="184"/>
      <c r="M421" s="184"/>
      <c r="N421" s="184"/>
      <c r="O421" s="182" t="s">
        <v>90</v>
      </c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  <c r="AC421" s="182"/>
      <c r="AD421" s="182">
        <v>1201020101</v>
      </c>
      <c r="AE421" s="151"/>
      <c r="AF421" s="182"/>
      <c r="AG421" s="182"/>
      <c r="AH421" s="182"/>
      <c r="AI421" s="182"/>
      <c r="AJ421" s="182"/>
      <c r="AK421" s="182"/>
      <c r="AL421" s="182"/>
      <c r="AM421" s="182"/>
      <c r="AN421" s="182"/>
      <c r="AO421" s="182"/>
      <c r="AP421" s="182"/>
      <c r="AQ421" s="182"/>
      <c r="AR421" s="182"/>
      <c r="AS421" s="182"/>
      <c r="AT421" s="182"/>
      <c r="AU421" s="182"/>
      <c r="AV421" s="182"/>
      <c r="AW421" s="182"/>
      <c r="AX421" s="182"/>
      <c r="AY421" s="182"/>
      <c r="AZ421" s="182"/>
      <c r="BA421" s="182"/>
      <c r="BB421" s="182"/>
      <c r="BC421" s="182"/>
      <c r="BD421" s="182"/>
      <c r="BE421" s="182"/>
      <c r="BF421" s="182"/>
      <c r="BG421" s="182"/>
      <c r="BH421" s="182"/>
      <c r="BI421" s="182"/>
      <c r="BJ421" s="182"/>
      <c r="BK421" s="182"/>
      <c r="BL421" s="182"/>
      <c r="BM421" s="182"/>
      <c r="BN421" s="182"/>
      <c r="BO421" s="182"/>
      <c r="BP421" s="182"/>
      <c r="BQ421" s="182"/>
      <c r="BR421" s="182"/>
      <c r="BS421" s="182"/>
      <c r="BT421" s="182"/>
      <c r="BU421" s="182"/>
      <c r="BV421" s="182"/>
      <c r="BW421" s="182"/>
      <c r="BX421" s="182"/>
      <c r="BY421" s="187"/>
    </row>
    <row r="422" spans="1:77" s="16" customFormat="1" x14ac:dyDescent="0.15">
      <c r="A422" s="180">
        <v>1201020023</v>
      </c>
      <c r="B422" s="181" t="s">
        <v>461</v>
      </c>
      <c r="C422" s="182" t="s">
        <v>89</v>
      </c>
      <c r="D422" s="182"/>
      <c r="E422" s="182" t="s">
        <v>78</v>
      </c>
      <c r="F422" s="182"/>
      <c r="G422" s="182"/>
      <c r="H422" s="182"/>
      <c r="I422" s="182"/>
      <c r="J422" s="184"/>
      <c r="K422" s="184"/>
      <c r="L422" s="184"/>
      <c r="M422" s="184"/>
      <c r="N422" s="184"/>
      <c r="O422" s="182" t="s">
        <v>90</v>
      </c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  <c r="AB422" s="182"/>
      <c r="AC422" s="182"/>
      <c r="AD422" s="182">
        <v>1201020102</v>
      </c>
      <c r="AE422" s="151"/>
      <c r="AF422" s="182"/>
      <c r="AG422" s="182"/>
      <c r="AH422" s="182"/>
      <c r="AI422" s="182"/>
      <c r="AJ422" s="182"/>
      <c r="AK422" s="182"/>
      <c r="AL422" s="182"/>
      <c r="AM422" s="182"/>
      <c r="AN422" s="182"/>
      <c r="AO422" s="182"/>
      <c r="AP422" s="182"/>
      <c r="AQ422" s="182"/>
      <c r="AR422" s="182"/>
      <c r="AS422" s="182"/>
      <c r="AT422" s="182"/>
      <c r="AU422" s="182"/>
      <c r="AV422" s="182"/>
      <c r="AW422" s="182"/>
      <c r="AX422" s="182"/>
      <c r="AY422" s="182"/>
      <c r="AZ422" s="182"/>
      <c r="BA422" s="182"/>
      <c r="BB422" s="182"/>
      <c r="BC422" s="182"/>
      <c r="BD422" s="182"/>
      <c r="BE422" s="182"/>
      <c r="BF422" s="182"/>
      <c r="BG422" s="182"/>
      <c r="BH422" s="182"/>
      <c r="BI422" s="182"/>
      <c r="BJ422" s="182"/>
      <c r="BK422" s="182"/>
      <c r="BL422" s="182"/>
      <c r="BM422" s="182"/>
      <c r="BN422" s="182"/>
      <c r="BO422" s="182"/>
      <c r="BP422" s="182"/>
      <c r="BQ422" s="182"/>
      <c r="BR422" s="182"/>
      <c r="BS422" s="182"/>
      <c r="BT422" s="182"/>
      <c r="BU422" s="182"/>
      <c r="BV422" s="182"/>
      <c r="BW422" s="182"/>
      <c r="BX422" s="182"/>
      <c r="BY422" s="187"/>
    </row>
    <row r="423" spans="1:77" s="16" customFormat="1" x14ac:dyDescent="0.15">
      <c r="A423" s="180">
        <v>1201020033</v>
      </c>
      <c r="B423" s="181" t="s">
        <v>461</v>
      </c>
      <c r="C423" s="182" t="s">
        <v>89</v>
      </c>
      <c r="D423" s="182"/>
      <c r="E423" s="182" t="s">
        <v>78</v>
      </c>
      <c r="F423" s="182"/>
      <c r="G423" s="182"/>
      <c r="H423" s="182"/>
      <c r="I423" s="182"/>
      <c r="J423" s="184"/>
      <c r="K423" s="184"/>
      <c r="L423" s="184"/>
      <c r="M423" s="184"/>
      <c r="N423" s="184"/>
      <c r="O423" s="182" t="s">
        <v>90</v>
      </c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  <c r="AC423" s="182"/>
      <c r="AD423" s="182">
        <v>1201020103</v>
      </c>
      <c r="AE423" s="151"/>
      <c r="AF423" s="182"/>
      <c r="AG423" s="182"/>
      <c r="AH423" s="182"/>
      <c r="AI423" s="182"/>
      <c r="AJ423" s="182"/>
      <c r="AK423" s="182"/>
      <c r="AL423" s="182"/>
      <c r="AM423" s="182"/>
      <c r="AN423" s="182"/>
      <c r="AO423" s="182"/>
      <c r="AP423" s="182"/>
      <c r="AQ423" s="182"/>
      <c r="AR423" s="182"/>
      <c r="AS423" s="182"/>
      <c r="AT423" s="182"/>
      <c r="AU423" s="182"/>
      <c r="AV423" s="182"/>
      <c r="AW423" s="182"/>
      <c r="AX423" s="182"/>
      <c r="AY423" s="182"/>
      <c r="AZ423" s="182"/>
      <c r="BA423" s="182"/>
      <c r="BB423" s="182"/>
      <c r="BC423" s="182"/>
      <c r="BD423" s="182"/>
      <c r="BE423" s="182"/>
      <c r="BF423" s="182"/>
      <c r="BG423" s="182"/>
      <c r="BH423" s="182"/>
      <c r="BI423" s="182"/>
      <c r="BJ423" s="182"/>
      <c r="BK423" s="182"/>
      <c r="BL423" s="182"/>
      <c r="BM423" s="182"/>
      <c r="BN423" s="182"/>
      <c r="BO423" s="182"/>
      <c r="BP423" s="182"/>
      <c r="BQ423" s="182"/>
      <c r="BR423" s="182"/>
      <c r="BS423" s="182"/>
      <c r="BT423" s="182"/>
      <c r="BU423" s="182"/>
      <c r="BV423" s="182"/>
      <c r="BW423" s="182"/>
      <c r="BX423" s="182"/>
      <c r="BY423" s="187"/>
    </row>
    <row r="424" spans="1:77" s="16" customFormat="1" x14ac:dyDescent="0.15">
      <c r="A424" s="180">
        <v>1201020043</v>
      </c>
      <c r="B424" s="181" t="s">
        <v>461</v>
      </c>
      <c r="C424" s="182" t="s">
        <v>89</v>
      </c>
      <c r="D424" s="182"/>
      <c r="E424" s="182" t="s">
        <v>78</v>
      </c>
      <c r="F424" s="182"/>
      <c r="G424" s="182"/>
      <c r="H424" s="182"/>
      <c r="I424" s="182"/>
      <c r="J424" s="184"/>
      <c r="K424" s="184"/>
      <c r="L424" s="184"/>
      <c r="M424" s="184"/>
      <c r="N424" s="184"/>
      <c r="O424" s="182" t="s">
        <v>90</v>
      </c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  <c r="AC424" s="182"/>
      <c r="AD424" s="182">
        <v>1201020104</v>
      </c>
      <c r="AE424" s="151"/>
      <c r="AF424" s="182"/>
      <c r="AG424" s="182"/>
      <c r="AH424" s="182"/>
      <c r="AI424" s="182"/>
      <c r="AJ424" s="182"/>
      <c r="AK424" s="182"/>
      <c r="AL424" s="182"/>
      <c r="AM424" s="182"/>
      <c r="AN424" s="182"/>
      <c r="AO424" s="182"/>
      <c r="AP424" s="182"/>
      <c r="AQ424" s="182"/>
      <c r="AR424" s="182"/>
      <c r="AS424" s="182"/>
      <c r="AT424" s="182"/>
      <c r="AU424" s="182"/>
      <c r="AV424" s="182"/>
      <c r="AW424" s="182"/>
      <c r="AX424" s="182"/>
      <c r="AY424" s="182"/>
      <c r="AZ424" s="182"/>
      <c r="BA424" s="182"/>
      <c r="BB424" s="182"/>
      <c r="BC424" s="182"/>
      <c r="BD424" s="182"/>
      <c r="BE424" s="182"/>
      <c r="BF424" s="182"/>
      <c r="BG424" s="182"/>
      <c r="BH424" s="182"/>
      <c r="BI424" s="182"/>
      <c r="BJ424" s="182"/>
      <c r="BK424" s="182"/>
      <c r="BL424" s="182"/>
      <c r="BM424" s="182"/>
      <c r="BN424" s="182"/>
      <c r="BO424" s="182"/>
      <c r="BP424" s="182"/>
      <c r="BQ424" s="182"/>
      <c r="BR424" s="182"/>
      <c r="BS424" s="182"/>
      <c r="BT424" s="182"/>
      <c r="BU424" s="182"/>
      <c r="BV424" s="182"/>
      <c r="BW424" s="182"/>
      <c r="BX424" s="182"/>
      <c r="BY424" s="187"/>
    </row>
    <row r="425" spans="1:77" s="16" customFormat="1" x14ac:dyDescent="0.15">
      <c r="A425" s="180">
        <v>1201040011</v>
      </c>
      <c r="B425" s="181" t="s">
        <v>462</v>
      </c>
      <c r="C425" s="182" t="s">
        <v>100</v>
      </c>
      <c r="D425" s="182"/>
      <c r="E425" s="182" t="s">
        <v>85</v>
      </c>
      <c r="F425" s="182">
        <v>120000</v>
      </c>
      <c r="G425" s="182">
        <v>300000</v>
      </c>
      <c r="H425" s="182"/>
      <c r="I425" s="182"/>
      <c r="J425" s="184"/>
      <c r="K425" s="184"/>
      <c r="L425" s="184"/>
      <c r="M425" s="184" t="s">
        <v>101</v>
      </c>
      <c r="N425" s="184" t="s">
        <v>842</v>
      </c>
      <c r="O425" s="182" t="s">
        <v>79</v>
      </c>
      <c r="P425" s="182" t="s">
        <v>102</v>
      </c>
      <c r="Q425" s="182">
        <v>200</v>
      </c>
      <c r="R425" s="182"/>
      <c r="S425" s="182">
        <v>3000</v>
      </c>
      <c r="T425" s="182"/>
      <c r="U425" s="182">
        <v>3500</v>
      </c>
      <c r="V425" s="182"/>
      <c r="W425" s="182"/>
      <c r="X425" s="182"/>
      <c r="Y425" s="182"/>
      <c r="Z425" s="182"/>
      <c r="AA425" s="182"/>
      <c r="AB425" s="182"/>
      <c r="AC425" s="182"/>
      <c r="AD425" s="182"/>
      <c r="AE425" s="151"/>
      <c r="AF425" s="182"/>
      <c r="AG425" s="182"/>
      <c r="AH425" s="182"/>
      <c r="AI425" s="182"/>
      <c r="AJ425" s="182" t="s">
        <v>90</v>
      </c>
      <c r="AK425" s="182"/>
      <c r="AL425" s="182"/>
      <c r="AM425" s="182"/>
      <c r="AN425" s="182"/>
      <c r="AO425" s="182"/>
      <c r="AP425" s="182"/>
      <c r="AQ425" s="182"/>
      <c r="AR425" s="182"/>
      <c r="AS425" s="182"/>
      <c r="AT425" s="182"/>
      <c r="AU425" s="182"/>
      <c r="AV425" s="182"/>
      <c r="AW425" s="182"/>
      <c r="AX425" s="182">
        <v>1201040201</v>
      </c>
      <c r="AY425" s="182">
        <v>1201040101</v>
      </c>
      <c r="AZ425" s="182"/>
      <c r="BA425" s="182"/>
      <c r="BB425" s="182"/>
      <c r="BC425" s="182"/>
      <c r="BD425" s="182"/>
      <c r="BE425" s="182"/>
      <c r="BF425" s="182"/>
      <c r="BG425" s="182"/>
      <c r="BH425" s="182"/>
      <c r="BI425" s="182"/>
      <c r="BJ425" s="182"/>
      <c r="BK425" s="182"/>
      <c r="BL425" s="182"/>
      <c r="BM425" s="182"/>
      <c r="BN425" s="182"/>
      <c r="BO425" s="182"/>
      <c r="BP425" s="182"/>
      <c r="BQ425" s="182"/>
      <c r="BR425" s="182"/>
      <c r="BS425" s="182"/>
      <c r="BT425" s="182"/>
      <c r="BU425" s="182"/>
      <c r="BV425" s="182"/>
      <c r="BW425" s="182"/>
      <c r="BX425" s="182"/>
      <c r="BY425" s="187"/>
    </row>
    <row r="426" spans="1:77" s="16" customFormat="1" x14ac:dyDescent="0.15">
      <c r="A426" s="180">
        <v>1201040021</v>
      </c>
      <c r="B426" s="181" t="s">
        <v>462</v>
      </c>
      <c r="C426" s="182" t="s">
        <v>100</v>
      </c>
      <c r="D426" s="182"/>
      <c r="E426" s="182" t="s">
        <v>85</v>
      </c>
      <c r="F426" s="182">
        <v>120000</v>
      </c>
      <c r="G426" s="182">
        <v>300000</v>
      </c>
      <c r="H426" s="182"/>
      <c r="I426" s="182"/>
      <c r="J426" s="184"/>
      <c r="K426" s="184"/>
      <c r="L426" s="184"/>
      <c r="M426" s="184" t="s">
        <v>101</v>
      </c>
      <c r="N426" s="184" t="s">
        <v>842</v>
      </c>
      <c r="O426" s="182" t="s">
        <v>79</v>
      </c>
      <c r="P426" s="182" t="s">
        <v>102</v>
      </c>
      <c r="Q426" s="182">
        <v>350</v>
      </c>
      <c r="R426" s="182"/>
      <c r="S426" s="182">
        <v>3000</v>
      </c>
      <c r="T426" s="182"/>
      <c r="U426" s="182">
        <v>3500</v>
      </c>
      <c r="V426" s="182"/>
      <c r="W426" s="182"/>
      <c r="X426" s="182"/>
      <c r="Y426" s="182"/>
      <c r="Z426" s="182"/>
      <c r="AA426" s="182"/>
      <c r="AB426" s="182"/>
      <c r="AC426" s="182"/>
      <c r="AD426" s="182"/>
      <c r="AE426" s="151"/>
      <c r="AF426" s="182"/>
      <c r="AG426" s="182"/>
      <c r="AH426" s="182"/>
      <c r="AI426" s="182"/>
      <c r="AJ426" s="182" t="s">
        <v>90</v>
      </c>
      <c r="AK426" s="182"/>
      <c r="AL426" s="182"/>
      <c r="AM426" s="182"/>
      <c r="AN426" s="182"/>
      <c r="AO426" s="182"/>
      <c r="AP426" s="182"/>
      <c r="AQ426" s="182"/>
      <c r="AR426" s="182"/>
      <c r="AS426" s="182"/>
      <c r="AT426" s="182"/>
      <c r="AU426" s="182"/>
      <c r="AV426" s="182"/>
      <c r="AW426" s="182"/>
      <c r="AX426" s="182">
        <v>1201040201</v>
      </c>
      <c r="AY426" s="182">
        <v>1201040101</v>
      </c>
      <c r="AZ426" s="182"/>
      <c r="BA426" s="182"/>
      <c r="BB426" s="182"/>
      <c r="BC426" s="182"/>
      <c r="BD426" s="182"/>
      <c r="BE426" s="182"/>
      <c r="BF426" s="182"/>
      <c r="BG426" s="182"/>
      <c r="BH426" s="182"/>
      <c r="BI426" s="182"/>
      <c r="BJ426" s="182"/>
      <c r="BK426" s="182"/>
      <c r="BL426" s="182"/>
      <c r="BM426" s="182"/>
      <c r="BN426" s="182"/>
      <c r="BO426" s="182"/>
      <c r="BP426" s="182"/>
      <c r="BQ426" s="182"/>
      <c r="BR426" s="182"/>
      <c r="BS426" s="182"/>
      <c r="BT426" s="182"/>
      <c r="BU426" s="182"/>
      <c r="BV426" s="182"/>
      <c r="BW426" s="182"/>
      <c r="BX426" s="182"/>
      <c r="BY426" s="187"/>
    </row>
    <row r="427" spans="1:77" s="16" customFormat="1" x14ac:dyDescent="0.15">
      <c r="A427" s="180">
        <v>1201040012</v>
      </c>
      <c r="B427" s="181" t="s">
        <v>463</v>
      </c>
      <c r="C427" s="182" t="s">
        <v>89</v>
      </c>
      <c r="D427" s="182"/>
      <c r="E427" s="182" t="s">
        <v>85</v>
      </c>
      <c r="F427" s="182">
        <v>120000</v>
      </c>
      <c r="G427" s="182">
        <v>300000</v>
      </c>
      <c r="H427" s="182"/>
      <c r="I427" s="182"/>
      <c r="J427" s="184"/>
      <c r="K427" s="184"/>
      <c r="L427" s="184"/>
      <c r="M427" s="184"/>
      <c r="N427" s="184"/>
      <c r="O427" s="182" t="s">
        <v>98</v>
      </c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  <c r="AC427" s="182"/>
      <c r="AD427" s="182"/>
      <c r="AE427" s="151">
        <v>120104001</v>
      </c>
      <c r="AF427" s="182"/>
      <c r="AG427" s="182"/>
      <c r="AH427" s="182"/>
      <c r="AI427" s="182"/>
      <c r="AJ427" s="182"/>
      <c r="AK427" s="182"/>
      <c r="AL427" s="182"/>
      <c r="AM427" s="182"/>
      <c r="AN427" s="182"/>
      <c r="AO427" s="182"/>
      <c r="AP427" s="182"/>
      <c r="AQ427" s="182"/>
      <c r="AR427" s="182"/>
      <c r="AS427" s="182"/>
      <c r="AT427" s="182"/>
      <c r="AU427" s="182"/>
      <c r="AV427" s="182"/>
      <c r="AW427" s="182"/>
      <c r="AX427" s="182"/>
      <c r="AY427" s="182"/>
      <c r="AZ427" s="182"/>
      <c r="BA427" s="182"/>
      <c r="BB427" s="182"/>
      <c r="BC427" s="182"/>
      <c r="BD427" s="182"/>
      <c r="BE427" s="182"/>
      <c r="BF427" s="182"/>
      <c r="BG427" s="182"/>
      <c r="BH427" s="182"/>
      <c r="BI427" s="182"/>
      <c r="BJ427" s="182"/>
      <c r="BK427" s="182"/>
      <c r="BL427" s="182"/>
      <c r="BM427" s="182"/>
      <c r="BN427" s="182"/>
      <c r="BO427" s="182"/>
      <c r="BP427" s="182"/>
      <c r="BQ427" s="182"/>
      <c r="BR427" s="182"/>
      <c r="BS427" s="182"/>
      <c r="BT427" s="182"/>
      <c r="BU427" s="182"/>
      <c r="BV427" s="182"/>
      <c r="BW427" s="182"/>
      <c r="BX427" s="182"/>
      <c r="BY427" s="187"/>
    </row>
    <row r="428" spans="1:77" s="16" customFormat="1" x14ac:dyDescent="0.15">
      <c r="A428" s="180">
        <v>1201040022</v>
      </c>
      <c r="B428" s="181" t="s">
        <v>463</v>
      </c>
      <c r="C428" s="182" t="s">
        <v>89</v>
      </c>
      <c r="D428" s="182"/>
      <c r="E428" s="182" t="s">
        <v>85</v>
      </c>
      <c r="F428" s="182">
        <v>120000</v>
      </c>
      <c r="G428" s="182">
        <v>300000</v>
      </c>
      <c r="H428" s="182"/>
      <c r="I428" s="182"/>
      <c r="J428" s="184"/>
      <c r="K428" s="184"/>
      <c r="L428" s="184"/>
      <c r="M428" s="184"/>
      <c r="N428" s="184"/>
      <c r="O428" s="182" t="s">
        <v>98</v>
      </c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  <c r="AB428" s="182"/>
      <c r="AC428" s="182"/>
      <c r="AD428" s="182"/>
      <c r="AE428" s="151">
        <v>120104001</v>
      </c>
      <c r="AF428" s="182"/>
      <c r="AG428" s="182"/>
      <c r="AH428" s="182"/>
      <c r="AI428" s="182"/>
      <c r="AJ428" s="182"/>
      <c r="AK428" s="182"/>
      <c r="AL428" s="182"/>
      <c r="AM428" s="182"/>
      <c r="AN428" s="182"/>
      <c r="AO428" s="182"/>
      <c r="AP428" s="182"/>
      <c r="AQ428" s="182"/>
      <c r="AR428" s="182"/>
      <c r="AS428" s="182"/>
      <c r="AT428" s="182"/>
      <c r="AU428" s="182"/>
      <c r="AV428" s="182"/>
      <c r="AW428" s="182"/>
      <c r="AX428" s="182"/>
      <c r="AY428" s="182"/>
      <c r="AZ428" s="182"/>
      <c r="BA428" s="182"/>
      <c r="BB428" s="182"/>
      <c r="BC428" s="182"/>
      <c r="BD428" s="182"/>
      <c r="BE428" s="182"/>
      <c r="BF428" s="182"/>
      <c r="BG428" s="182"/>
      <c r="BH428" s="182"/>
      <c r="BI428" s="182"/>
      <c r="BJ428" s="182"/>
      <c r="BK428" s="182"/>
      <c r="BL428" s="182"/>
      <c r="BM428" s="182"/>
      <c r="BN428" s="182"/>
      <c r="BO428" s="182"/>
      <c r="BP428" s="182"/>
      <c r="BQ428" s="182"/>
      <c r="BR428" s="182"/>
      <c r="BS428" s="182"/>
      <c r="BT428" s="182"/>
      <c r="BU428" s="182"/>
      <c r="BV428" s="182"/>
      <c r="BW428" s="182"/>
      <c r="BX428" s="182"/>
      <c r="BY428" s="187"/>
    </row>
    <row r="429" spans="1:77" s="18" customFormat="1" x14ac:dyDescent="0.15">
      <c r="A429" s="148">
        <v>1401001011</v>
      </c>
      <c r="B429" s="158" t="s">
        <v>464</v>
      </c>
      <c r="C429" s="150" t="s">
        <v>77</v>
      </c>
      <c r="D429" s="150"/>
      <c r="E429" s="150" t="s">
        <v>78</v>
      </c>
      <c r="F429" s="150"/>
      <c r="G429" s="150"/>
      <c r="H429" s="150"/>
      <c r="I429" s="150"/>
      <c r="J429" s="166"/>
      <c r="K429" s="166"/>
      <c r="L429" s="166"/>
      <c r="M429" s="166"/>
      <c r="N429" s="166"/>
      <c r="O429" s="150" t="s">
        <v>79</v>
      </c>
      <c r="P429" s="167" t="s">
        <v>80</v>
      </c>
      <c r="Q429" s="167"/>
      <c r="R429" s="167">
        <v>10000</v>
      </c>
      <c r="S429" s="167"/>
      <c r="T429" s="167">
        <v>10000</v>
      </c>
      <c r="U429" s="167"/>
      <c r="V429" s="167" t="s">
        <v>101</v>
      </c>
      <c r="W429" s="167"/>
      <c r="X429" s="167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  <c r="AP429" s="167"/>
      <c r="AQ429" s="167"/>
      <c r="AR429" s="167"/>
      <c r="AS429" s="167"/>
      <c r="AT429" s="167"/>
      <c r="AU429" s="167"/>
      <c r="AV429" s="167"/>
      <c r="AW429" s="167"/>
      <c r="AX429" s="167"/>
      <c r="AY429" s="167"/>
      <c r="AZ429" s="167"/>
      <c r="BA429" s="167"/>
      <c r="BB429" s="167"/>
      <c r="BC429" s="167"/>
      <c r="BD429" s="167"/>
      <c r="BE429" s="167"/>
      <c r="BF429" s="167"/>
      <c r="BG429" s="167"/>
      <c r="BH429" s="167"/>
      <c r="BI429" s="167"/>
      <c r="BJ429" s="167"/>
      <c r="BK429" s="167"/>
      <c r="BL429" s="167"/>
      <c r="BM429" s="167"/>
      <c r="BN429" s="167"/>
      <c r="BO429" s="167"/>
      <c r="BP429" s="167"/>
      <c r="BQ429" s="167"/>
      <c r="BR429" s="167"/>
      <c r="BS429" s="167"/>
      <c r="BT429" s="167"/>
      <c r="BU429" s="167"/>
      <c r="BV429" s="167"/>
      <c r="BW429" s="167"/>
      <c r="BX429" s="167"/>
      <c r="BY429" s="175"/>
    </row>
    <row r="430" spans="1:77" s="18" customFormat="1" x14ac:dyDescent="0.15">
      <c r="A430" s="159">
        <v>1401001012</v>
      </c>
      <c r="B430" s="160" t="s">
        <v>465</v>
      </c>
      <c r="C430" s="154" t="s">
        <v>77</v>
      </c>
      <c r="D430" s="154"/>
      <c r="E430" s="154" t="s">
        <v>425</v>
      </c>
      <c r="F430" s="154">
        <v>40000</v>
      </c>
      <c r="G430" s="154">
        <v>1200</v>
      </c>
      <c r="H430" s="154"/>
      <c r="I430" s="154"/>
      <c r="J430" s="164"/>
      <c r="K430" s="164"/>
      <c r="L430" s="164"/>
      <c r="M430" s="164"/>
      <c r="N430" s="164"/>
      <c r="O430" s="154" t="s">
        <v>79</v>
      </c>
      <c r="P430" s="168" t="s">
        <v>80</v>
      </c>
      <c r="Q430" s="168"/>
      <c r="R430" s="168">
        <v>5000</v>
      </c>
      <c r="S430" s="168"/>
      <c r="T430" s="168"/>
      <c r="U430" s="168"/>
      <c r="V430" s="168" t="s">
        <v>101</v>
      </c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  <c r="AT430" s="168"/>
      <c r="AU430" s="168"/>
      <c r="AV430" s="168"/>
      <c r="AW430" s="168"/>
      <c r="AX430" s="168"/>
      <c r="AY430" s="168"/>
      <c r="AZ430" s="168"/>
      <c r="BA430" s="168"/>
      <c r="BB430" s="168"/>
      <c r="BC430" s="168"/>
      <c r="BD430" s="168"/>
      <c r="BE430" s="168"/>
      <c r="BF430" s="168"/>
      <c r="BG430" s="168"/>
      <c r="BH430" s="168"/>
      <c r="BI430" s="168"/>
      <c r="BJ430" s="168"/>
      <c r="BK430" s="168"/>
      <c r="BL430" s="168"/>
      <c r="BM430" s="168"/>
      <c r="BN430" s="168"/>
      <c r="BO430" s="168"/>
      <c r="BP430" s="168"/>
      <c r="BQ430" s="168"/>
      <c r="BR430" s="168"/>
      <c r="BS430" s="168"/>
      <c r="BT430" s="168"/>
      <c r="BU430" s="168"/>
      <c r="BV430" s="168"/>
      <c r="BW430" s="168"/>
      <c r="BX430" s="168"/>
      <c r="BY430" s="176"/>
    </row>
    <row r="431" spans="1:77" s="18" customFormat="1" x14ac:dyDescent="0.15">
      <c r="A431" s="148">
        <v>1401002011</v>
      </c>
      <c r="B431" s="158" t="s">
        <v>466</v>
      </c>
      <c r="C431" s="150" t="s">
        <v>77</v>
      </c>
      <c r="D431" s="150"/>
      <c r="E431" s="150" t="s">
        <v>78</v>
      </c>
      <c r="F431" s="150"/>
      <c r="G431" s="150"/>
      <c r="H431" s="150"/>
      <c r="I431" s="150"/>
      <c r="J431" s="166"/>
      <c r="K431" s="166"/>
      <c r="L431" s="166"/>
      <c r="M431" s="166"/>
      <c r="N431" s="166"/>
      <c r="O431" s="150" t="s">
        <v>79</v>
      </c>
      <c r="P431" s="167" t="s">
        <v>80</v>
      </c>
      <c r="Q431" s="167"/>
      <c r="R431" s="167">
        <v>10000</v>
      </c>
      <c r="S431" s="167"/>
      <c r="T431" s="167">
        <v>10000</v>
      </c>
      <c r="U431" s="167"/>
      <c r="V431" s="167" t="s">
        <v>101</v>
      </c>
      <c r="W431" s="167"/>
      <c r="X431" s="167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  <c r="AP431" s="167"/>
      <c r="AQ431" s="167"/>
      <c r="AR431" s="167"/>
      <c r="AS431" s="167"/>
      <c r="AT431" s="167"/>
      <c r="AU431" s="167"/>
      <c r="AV431" s="167"/>
      <c r="AW431" s="167"/>
      <c r="AX431" s="167"/>
      <c r="AY431" s="167"/>
      <c r="AZ431" s="167"/>
      <c r="BA431" s="167"/>
      <c r="BB431" s="167"/>
      <c r="BC431" s="167"/>
      <c r="BD431" s="167"/>
      <c r="BE431" s="167"/>
      <c r="BF431" s="167"/>
      <c r="BG431" s="167"/>
      <c r="BH431" s="167"/>
      <c r="BI431" s="167"/>
      <c r="BJ431" s="167"/>
      <c r="BK431" s="167"/>
      <c r="BL431" s="167"/>
      <c r="BM431" s="167"/>
      <c r="BN431" s="167"/>
      <c r="BO431" s="167"/>
      <c r="BP431" s="167"/>
      <c r="BQ431" s="167"/>
      <c r="BR431" s="167"/>
      <c r="BS431" s="167"/>
      <c r="BT431" s="167"/>
      <c r="BU431" s="167"/>
      <c r="BV431" s="167"/>
      <c r="BW431" s="167"/>
      <c r="BX431" s="167"/>
      <c r="BY431" s="175"/>
    </row>
    <row r="432" spans="1:77" s="18" customFormat="1" x14ac:dyDescent="0.15">
      <c r="A432" s="148">
        <v>1401200011</v>
      </c>
      <c r="B432" s="158" t="s">
        <v>467</v>
      </c>
      <c r="C432" s="150" t="s">
        <v>89</v>
      </c>
      <c r="D432" s="150"/>
      <c r="E432" s="150" t="s">
        <v>78</v>
      </c>
      <c r="F432" s="150"/>
      <c r="G432" s="150"/>
      <c r="H432" s="150"/>
      <c r="I432" s="150"/>
      <c r="J432" s="166"/>
      <c r="K432" s="166"/>
      <c r="L432" s="166"/>
      <c r="M432" s="166"/>
      <c r="N432" s="166"/>
      <c r="O432" s="150" t="s">
        <v>90</v>
      </c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>
        <v>1401200101</v>
      </c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  <c r="AP432" s="167"/>
      <c r="AQ432" s="167"/>
      <c r="AR432" s="167"/>
      <c r="AS432" s="167"/>
      <c r="AT432" s="167"/>
      <c r="AU432" s="167"/>
      <c r="AV432" s="167"/>
      <c r="AW432" s="167"/>
      <c r="AX432" s="167"/>
      <c r="AY432" s="167"/>
      <c r="AZ432" s="167"/>
      <c r="BA432" s="167"/>
      <c r="BB432" s="167"/>
      <c r="BC432" s="167"/>
      <c r="BD432" s="167"/>
      <c r="BE432" s="167"/>
      <c r="BF432" s="167"/>
      <c r="BG432" s="167"/>
      <c r="BH432" s="167"/>
      <c r="BI432" s="167"/>
      <c r="BJ432" s="167"/>
      <c r="BK432" s="167"/>
      <c r="BL432" s="167"/>
      <c r="BM432" s="167"/>
      <c r="BN432" s="167"/>
      <c r="BO432" s="167"/>
      <c r="BP432" s="167"/>
      <c r="BQ432" s="167"/>
      <c r="BR432" s="167"/>
      <c r="BS432" s="167"/>
      <c r="BT432" s="167"/>
      <c r="BU432" s="167"/>
      <c r="BV432" s="167"/>
      <c r="BW432" s="167"/>
      <c r="BX432" s="167"/>
      <c r="BY432" s="175"/>
    </row>
    <row r="433" spans="1:77" s="18" customFormat="1" x14ac:dyDescent="0.15">
      <c r="A433" s="148">
        <v>1401200021</v>
      </c>
      <c r="B433" s="158" t="s">
        <v>467</v>
      </c>
      <c r="C433" s="150" t="s">
        <v>89</v>
      </c>
      <c r="D433" s="150"/>
      <c r="E433" s="150" t="s">
        <v>78</v>
      </c>
      <c r="F433" s="150"/>
      <c r="G433" s="150"/>
      <c r="H433" s="150"/>
      <c r="I433" s="150"/>
      <c r="J433" s="166"/>
      <c r="K433" s="166"/>
      <c r="L433" s="166"/>
      <c r="M433" s="166"/>
      <c r="N433" s="166"/>
      <c r="O433" s="150" t="s">
        <v>90</v>
      </c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>
        <v>1401200102</v>
      </c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  <c r="AP433" s="167"/>
      <c r="AQ433" s="167"/>
      <c r="AR433" s="167"/>
      <c r="AS433" s="167"/>
      <c r="AT433" s="167"/>
      <c r="AU433" s="167"/>
      <c r="AV433" s="167"/>
      <c r="AW433" s="167"/>
      <c r="AX433" s="167"/>
      <c r="AY433" s="167"/>
      <c r="AZ433" s="167"/>
      <c r="BA433" s="167"/>
      <c r="BB433" s="167"/>
      <c r="BC433" s="167"/>
      <c r="BD433" s="167"/>
      <c r="BE433" s="167"/>
      <c r="BF433" s="167"/>
      <c r="BG433" s="167"/>
      <c r="BH433" s="167"/>
      <c r="BI433" s="167"/>
      <c r="BJ433" s="167"/>
      <c r="BK433" s="167"/>
      <c r="BL433" s="167"/>
      <c r="BM433" s="167"/>
      <c r="BN433" s="167"/>
      <c r="BO433" s="167"/>
      <c r="BP433" s="167"/>
      <c r="BQ433" s="167"/>
      <c r="BR433" s="167"/>
      <c r="BS433" s="167"/>
      <c r="BT433" s="167"/>
      <c r="BU433" s="167"/>
      <c r="BV433" s="167"/>
      <c r="BW433" s="167"/>
      <c r="BX433" s="167"/>
      <c r="BY433" s="175"/>
    </row>
    <row r="434" spans="1:77" s="18" customFormat="1" x14ac:dyDescent="0.15">
      <c r="A434" s="148">
        <v>1401200031</v>
      </c>
      <c r="B434" s="158" t="s">
        <v>467</v>
      </c>
      <c r="C434" s="150" t="s">
        <v>89</v>
      </c>
      <c r="D434" s="150"/>
      <c r="E434" s="150" t="s">
        <v>78</v>
      </c>
      <c r="F434" s="150"/>
      <c r="G434" s="150"/>
      <c r="H434" s="150"/>
      <c r="I434" s="150"/>
      <c r="J434" s="166"/>
      <c r="K434" s="166"/>
      <c r="L434" s="166"/>
      <c r="M434" s="166"/>
      <c r="N434" s="166"/>
      <c r="O434" s="150" t="s">
        <v>90</v>
      </c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>
        <v>1401200103</v>
      </c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  <c r="AP434" s="167"/>
      <c r="AQ434" s="167"/>
      <c r="AR434" s="167"/>
      <c r="AS434" s="167"/>
      <c r="AT434" s="167"/>
      <c r="AU434" s="167"/>
      <c r="AV434" s="167"/>
      <c r="AW434" s="167"/>
      <c r="AX434" s="167"/>
      <c r="AY434" s="167"/>
      <c r="AZ434" s="167"/>
      <c r="BA434" s="167"/>
      <c r="BB434" s="167"/>
      <c r="BC434" s="167"/>
      <c r="BD434" s="167"/>
      <c r="BE434" s="167"/>
      <c r="BF434" s="167"/>
      <c r="BG434" s="167"/>
      <c r="BH434" s="167"/>
      <c r="BI434" s="167"/>
      <c r="BJ434" s="167"/>
      <c r="BK434" s="167"/>
      <c r="BL434" s="167"/>
      <c r="BM434" s="167"/>
      <c r="BN434" s="167"/>
      <c r="BO434" s="167"/>
      <c r="BP434" s="167"/>
      <c r="BQ434" s="167"/>
      <c r="BR434" s="167"/>
      <c r="BS434" s="167"/>
      <c r="BT434" s="167"/>
      <c r="BU434" s="167"/>
      <c r="BV434" s="167"/>
      <c r="BW434" s="167"/>
      <c r="BX434" s="167"/>
      <c r="BY434" s="175"/>
    </row>
    <row r="435" spans="1:77" s="18" customFormat="1" x14ac:dyDescent="0.15">
      <c r="A435" s="148">
        <v>1401010011</v>
      </c>
      <c r="B435" s="158" t="s">
        <v>468</v>
      </c>
      <c r="C435" s="150" t="s">
        <v>100</v>
      </c>
      <c r="D435" s="150"/>
      <c r="E435" s="150" t="s">
        <v>83</v>
      </c>
      <c r="F435" s="150">
        <v>100000</v>
      </c>
      <c r="G435" s="150"/>
      <c r="H435" s="150"/>
      <c r="I435" s="150"/>
      <c r="J435" s="166"/>
      <c r="K435" s="166"/>
      <c r="L435" s="166"/>
      <c r="M435" s="166"/>
      <c r="N435" s="166" t="s">
        <v>842</v>
      </c>
      <c r="O435" s="150" t="s">
        <v>79</v>
      </c>
      <c r="P435" s="167" t="s">
        <v>80</v>
      </c>
      <c r="Q435" s="167">
        <v>220</v>
      </c>
      <c r="R435" s="167">
        <v>3500</v>
      </c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  <c r="AP435" s="167"/>
      <c r="AQ435" s="167"/>
      <c r="AR435" s="167"/>
      <c r="AS435" s="167"/>
      <c r="AT435" s="167"/>
      <c r="AU435" s="167"/>
      <c r="AV435" s="167"/>
      <c r="AW435" s="167"/>
      <c r="AX435" s="167"/>
      <c r="AY435" s="167"/>
      <c r="AZ435" s="167"/>
      <c r="BA435" s="167"/>
      <c r="BB435" s="167"/>
      <c r="BC435" s="167"/>
      <c r="BD435" s="167"/>
      <c r="BE435" s="167"/>
      <c r="BF435" s="167"/>
      <c r="BG435" s="167"/>
      <c r="BH435" s="167"/>
      <c r="BI435" s="167"/>
      <c r="BJ435" s="167"/>
      <c r="BK435" s="167"/>
      <c r="BL435" s="167"/>
      <c r="BM435" s="167"/>
      <c r="BN435" s="167"/>
      <c r="BO435" s="167"/>
      <c r="BP435" s="167"/>
      <c r="BQ435" s="167"/>
      <c r="BR435" s="167"/>
      <c r="BS435" s="167"/>
      <c r="BT435" s="167"/>
      <c r="BU435" s="167"/>
      <c r="BV435" s="167"/>
      <c r="BW435" s="167"/>
      <c r="BX435" s="167"/>
      <c r="BY435" s="175"/>
    </row>
    <row r="436" spans="1:77" s="18" customFormat="1" x14ac:dyDescent="0.15">
      <c r="A436" s="148">
        <v>1401010021</v>
      </c>
      <c r="B436" s="158" t="s">
        <v>468</v>
      </c>
      <c r="C436" s="150" t="s">
        <v>100</v>
      </c>
      <c r="D436" s="150"/>
      <c r="E436" s="150" t="s">
        <v>83</v>
      </c>
      <c r="F436" s="150">
        <v>100000</v>
      </c>
      <c r="G436" s="150"/>
      <c r="H436" s="150"/>
      <c r="I436" s="150"/>
      <c r="J436" s="166"/>
      <c r="K436" s="166"/>
      <c r="L436" s="166"/>
      <c r="M436" s="166"/>
      <c r="N436" s="166" t="s">
        <v>842</v>
      </c>
      <c r="O436" s="150" t="s">
        <v>79</v>
      </c>
      <c r="P436" s="167" t="s">
        <v>80</v>
      </c>
      <c r="Q436" s="167">
        <v>300</v>
      </c>
      <c r="R436" s="167">
        <v>3500</v>
      </c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  <c r="AP436" s="167"/>
      <c r="AQ436" s="167"/>
      <c r="AR436" s="167"/>
      <c r="AS436" s="167"/>
      <c r="AT436" s="167"/>
      <c r="AU436" s="167"/>
      <c r="AV436" s="167"/>
      <c r="AW436" s="167"/>
      <c r="AX436" s="167"/>
      <c r="AY436" s="167"/>
      <c r="AZ436" s="167"/>
      <c r="BA436" s="167"/>
      <c r="BB436" s="167"/>
      <c r="BC436" s="167"/>
      <c r="BD436" s="167"/>
      <c r="BE436" s="167"/>
      <c r="BF436" s="167"/>
      <c r="BG436" s="167"/>
      <c r="BH436" s="167"/>
      <c r="BI436" s="167"/>
      <c r="BJ436" s="167"/>
      <c r="BK436" s="167"/>
      <c r="BL436" s="167"/>
      <c r="BM436" s="167"/>
      <c r="BN436" s="167"/>
      <c r="BO436" s="167"/>
      <c r="BP436" s="167"/>
      <c r="BQ436" s="167"/>
      <c r="BR436" s="167"/>
      <c r="BS436" s="167"/>
      <c r="BT436" s="167"/>
      <c r="BU436" s="167"/>
      <c r="BV436" s="167"/>
      <c r="BW436" s="167"/>
      <c r="BX436" s="167"/>
      <c r="BY436" s="175"/>
    </row>
    <row r="437" spans="1:77" s="18" customFormat="1" x14ac:dyDescent="0.15">
      <c r="A437" s="148">
        <v>1401010031</v>
      </c>
      <c r="B437" s="158" t="s">
        <v>468</v>
      </c>
      <c r="C437" s="150" t="s">
        <v>100</v>
      </c>
      <c r="D437" s="150"/>
      <c r="E437" s="150" t="s">
        <v>83</v>
      </c>
      <c r="F437" s="150">
        <v>100000</v>
      </c>
      <c r="G437" s="150"/>
      <c r="H437" s="150"/>
      <c r="I437" s="150"/>
      <c r="J437" s="166"/>
      <c r="K437" s="166"/>
      <c r="L437" s="166"/>
      <c r="M437" s="166"/>
      <c r="N437" s="166" t="s">
        <v>842</v>
      </c>
      <c r="O437" s="150" t="s">
        <v>79</v>
      </c>
      <c r="P437" s="167" t="s">
        <v>80</v>
      </c>
      <c r="Q437" s="167">
        <v>380</v>
      </c>
      <c r="R437" s="167">
        <v>3500</v>
      </c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  <c r="AP437" s="167"/>
      <c r="AQ437" s="167"/>
      <c r="AR437" s="167"/>
      <c r="AS437" s="167"/>
      <c r="AT437" s="167"/>
      <c r="AU437" s="167"/>
      <c r="AV437" s="167"/>
      <c r="AW437" s="167"/>
      <c r="AX437" s="167"/>
      <c r="AY437" s="167"/>
      <c r="AZ437" s="167"/>
      <c r="BA437" s="167"/>
      <c r="BB437" s="167"/>
      <c r="BC437" s="167"/>
      <c r="BD437" s="167"/>
      <c r="BE437" s="167"/>
      <c r="BF437" s="167"/>
      <c r="BG437" s="167"/>
      <c r="BH437" s="167"/>
      <c r="BI437" s="167"/>
      <c r="BJ437" s="167"/>
      <c r="BK437" s="167"/>
      <c r="BL437" s="167"/>
      <c r="BM437" s="167"/>
      <c r="BN437" s="167"/>
      <c r="BO437" s="167"/>
      <c r="BP437" s="167"/>
      <c r="BQ437" s="167"/>
      <c r="BR437" s="167"/>
      <c r="BS437" s="167"/>
      <c r="BT437" s="167"/>
      <c r="BU437" s="167"/>
      <c r="BV437" s="167"/>
      <c r="BW437" s="167"/>
      <c r="BX437" s="167"/>
      <c r="BY437" s="175"/>
    </row>
    <row r="438" spans="1:77" s="18" customFormat="1" x14ac:dyDescent="0.15">
      <c r="A438" s="148">
        <v>1401010041</v>
      </c>
      <c r="B438" s="158" t="s">
        <v>468</v>
      </c>
      <c r="C438" s="150" t="s">
        <v>100</v>
      </c>
      <c r="D438" s="150"/>
      <c r="E438" s="150" t="s">
        <v>83</v>
      </c>
      <c r="F438" s="150">
        <v>100000</v>
      </c>
      <c r="G438" s="150"/>
      <c r="H438" s="150"/>
      <c r="I438" s="150"/>
      <c r="J438" s="166"/>
      <c r="K438" s="166"/>
      <c r="L438" s="166"/>
      <c r="M438" s="166"/>
      <c r="N438" s="166" t="s">
        <v>842</v>
      </c>
      <c r="O438" s="150" t="s">
        <v>79</v>
      </c>
      <c r="P438" s="167" t="s">
        <v>80</v>
      </c>
      <c r="Q438" s="167">
        <v>460</v>
      </c>
      <c r="R438" s="167">
        <v>3500</v>
      </c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  <c r="AP438" s="167"/>
      <c r="AQ438" s="167"/>
      <c r="AR438" s="167"/>
      <c r="AS438" s="167"/>
      <c r="AT438" s="167"/>
      <c r="AU438" s="167"/>
      <c r="AV438" s="167"/>
      <c r="AW438" s="167"/>
      <c r="AX438" s="167"/>
      <c r="AY438" s="167"/>
      <c r="AZ438" s="167"/>
      <c r="BA438" s="167"/>
      <c r="BB438" s="167"/>
      <c r="BC438" s="167"/>
      <c r="BD438" s="167"/>
      <c r="BE438" s="167"/>
      <c r="BF438" s="167"/>
      <c r="BG438" s="167"/>
      <c r="BH438" s="167"/>
      <c r="BI438" s="167"/>
      <c r="BJ438" s="167"/>
      <c r="BK438" s="167"/>
      <c r="BL438" s="167"/>
      <c r="BM438" s="167"/>
      <c r="BN438" s="167"/>
      <c r="BO438" s="167"/>
      <c r="BP438" s="167"/>
      <c r="BQ438" s="167"/>
      <c r="BR438" s="167"/>
      <c r="BS438" s="167"/>
      <c r="BT438" s="167"/>
      <c r="BU438" s="167"/>
      <c r="BV438" s="167"/>
      <c r="BW438" s="167"/>
      <c r="BX438" s="167"/>
      <c r="BY438" s="175"/>
    </row>
    <row r="439" spans="1:77" s="18" customFormat="1" x14ac:dyDescent="0.15">
      <c r="A439" s="148">
        <v>1401020011</v>
      </c>
      <c r="B439" s="158" t="s">
        <v>469</v>
      </c>
      <c r="C439" s="150" t="s">
        <v>100</v>
      </c>
      <c r="D439" s="150"/>
      <c r="E439" s="150" t="s">
        <v>83</v>
      </c>
      <c r="F439" s="150">
        <v>80000</v>
      </c>
      <c r="G439" s="150"/>
      <c r="H439" s="150"/>
      <c r="I439" s="150"/>
      <c r="J439" s="166"/>
      <c r="K439" s="166"/>
      <c r="L439" s="166"/>
      <c r="M439" s="166" t="s">
        <v>101</v>
      </c>
      <c r="N439" s="166" t="s">
        <v>842</v>
      </c>
      <c r="O439" s="150" t="s">
        <v>79</v>
      </c>
      <c r="P439" s="167" t="s">
        <v>80</v>
      </c>
      <c r="Q439" s="167">
        <v>100</v>
      </c>
      <c r="R439" s="167">
        <v>2000</v>
      </c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 t="s">
        <v>90</v>
      </c>
      <c r="AK439" s="167"/>
      <c r="AL439" s="167"/>
      <c r="AM439" s="167"/>
      <c r="AN439" s="167"/>
      <c r="AO439" s="167"/>
      <c r="AP439" s="167"/>
      <c r="AQ439" s="167"/>
      <c r="AR439" s="167"/>
      <c r="AS439" s="167"/>
      <c r="AT439" s="167"/>
      <c r="AU439" s="167"/>
      <c r="AV439" s="167"/>
      <c r="AW439" s="167"/>
      <c r="AX439" s="167">
        <v>1401020201</v>
      </c>
      <c r="AY439" s="167">
        <v>1401020101</v>
      </c>
      <c r="AZ439" s="167"/>
      <c r="BA439" s="167"/>
      <c r="BB439" s="167"/>
      <c r="BC439" s="167"/>
      <c r="BD439" s="167"/>
      <c r="BE439" s="167"/>
      <c r="BF439" s="167"/>
      <c r="BG439" s="167"/>
      <c r="BH439" s="167"/>
      <c r="BI439" s="167"/>
      <c r="BJ439" s="167"/>
      <c r="BK439" s="167"/>
      <c r="BL439" s="167"/>
      <c r="BM439" s="167"/>
      <c r="BN439" s="167"/>
      <c r="BO439" s="167"/>
      <c r="BP439" s="167"/>
      <c r="BQ439" s="167"/>
      <c r="BR439" s="167"/>
      <c r="BS439" s="167"/>
      <c r="BT439" s="167"/>
      <c r="BU439" s="167"/>
      <c r="BV439" s="167"/>
      <c r="BW439" s="167"/>
      <c r="BX439" s="167"/>
      <c r="BY439" s="175"/>
    </row>
    <row r="440" spans="1:77" s="18" customFormat="1" x14ac:dyDescent="0.15">
      <c r="A440" s="148">
        <v>1401020021</v>
      </c>
      <c r="B440" s="158" t="s">
        <v>469</v>
      </c>
      <c r="C440" s="150" t="s">
        <v>100</v>
      </c>
      <c r="D440" s="150"/>
      <c r="E440" s="150" t="s">
        <v>83</v>
      </c>
      <c r="F440" s="150">
        <v>80000</v>
      </c>
      <c r="G440" s="150"/>
      <c r="H440" s="150"/>
      <c r="I440" s="150"/>
      <c r="J440" s="166"/>
      <c r="K440" s="166"/>
      <c r="L440" s="166"/>
      <c r="M440" s="166" t="s">
        <v>101</v>
      </c>
      <c r="N440" s="166" t="s">
        <v>842</v>
      </c>
      <c r="O440" s="150" t="s">
        <v>79</v>
      </c>
      <c r="P440" s="167" t="s">
        <v>80</v>
      </c>
      <c r="Q440" s="167">
        <v>150</v>
      </c>
      <c r="R440" s="167">
        <v>2000</v>
      </c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 t="s">
        <v>90</v>
      </c>
      <c r="AK440" s="167"/>
      <c r="AL440" s="167"/>
      <c r="AM440" s="167"/>
      <c r="AN440" s="167"/>
      <c r="AO440" s="167"/>
      <c r="AP440" s="167"/>
      <c r="AQ440" s="167"/>
      <c r="AR440" s="167"/>
      <c r="AS440" s="167"/>
      <c r="AT440" s="167"/>
      <c r="AU440" s="167"/>
      <c r="AV440" s="167"/>
      <c r="AW440" s="167"/>
      <c r="AX440" s="167">
        <v>1401020201</v>
      </c>
      <c r="AY440" s="167">
        <v>1401020101</v>
      </c>
      <c r="AZ440" s="167"/>
      <c r="BA440" s="167"/>
      <c r="BB440" s="167"/>
      <c r="BC440" s="167"/>
      <c r="BD440" s="167"/>
      <c r="BE440" s="167"/>
      <c r="BF440" s="167"/>
      <c r="BG440" s="167"/>
      <c r="BH440" s="167"/>
      <c r="BI440" s="167"/>
      <c r="BJ440" s="167"/>
      <c r="BK440" s="167"/>
      <c r="BL440" s="167"/>
      <c r="BM440" s="167"/>
      <c r="BN440" s="167"/>
      <c r="BO440" s="167"/>
      <c r="BP440" s="167"/>
      <c r="BQ440" s="167"/>
      <c r="BR440" s="167"/>
      <c r="BS440" s="167"/>
      <c r="BT440" s="167"/>
      <c r="BU440" s="167"/>
      <c r="BV440" s="167"/>
      <c r="BW440" s="167"/>
      <c r="BX440" s="167"/>
      <c r="BY440" s="175"/>
    </row>
    <row r="441" spans="1:77" s="18" customFormat="1" x14ac:dyDescent="0.15">
      <c r="A441" s="148">
        <v>1401020031</v>
      </c>
      <c r="B441" s="158" t="s">
        <v>469</v>
      </c>
      <c r="C441" s="150" t="s">
        <v>100</v>
      </c>
      <c r="D441" s="150"/>
      <c r="E441" s="150" t="s">
        <v>83</v>
      </c>
      <c r="F441" s="150">
        <v>80000</v>
      </c>
      <c r="G441" s="150"/>
      <c r="H441" s="150"/>
      <c r="I441" s="150"/>
      <c r="J441" s="166"/>
      <c r="K441" s="166"/>
      <c r="L441" s="166"/>
      <c r="M441" s="166" t="s">
        <v>101</v>
      </c>
      <c r="N441" s="166" t="s">
        <v>842</v>
      </c>
      <c r="O441" s="150" t="s">
        <v>79</v>
      </c>
      <c r="P441" s="167" t="s">
        <v>80</v>
      </c>
      <c r="Q441" s="167">
        <v>200</v>
      </c>
      <c r="R441" s="167">
        <v>2000</v>
      </c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 t="s">
        <v>90</v>
      </c>
      <c r="AK441" s="167"/>
      <c r="AL441" s="167"/>
      <c r="AM441" s="167"/>
      <c r="AN441" s="167"/>
      <c r="AO441" s="167"/>
      <c r="AP441" s="167"/>
      <c r="AQ441" s="167"/>
      <c r="AR441" s="167"/>
      <c r="AS441" s="167"/>
      <c r="AT441" s="167"/>
      <c r="AU441" s="167"/>
      <c r="AV441" s="167"/>
      <c r="AW441" s="167"/>
      <c r="AX441" s="167">
        <v>1401020201</v>
      </c>
      <c r="AY441" s="167">
        <v>1401020101</v>
      </c>
      <c r="AZ441" s="167"/>
      <c r="BA441" s="167"/>
      <c r="BB441" s="167"/>
      <c r="BC441" s="167"/>
      <c r="BD441" s="167"/>
      <c r="BE441" s="167"/>
      <c r="BF441" s="167"/>
      <c r="BG441" s="167"/>
      <c r="BH441" s="167"/>
      <c r="BI441" s="167"/>
      <c r="BJ441" s="167"/>
      <c r="BK441" s="167"/>
      <c r="BL441" s="167"/>
      <c r="BM441" s="167"/>
      <c r="BN441" s="167"/>
      <c r="BO441" s="167"/>
      <c r="BP441" s="167"/>
      <c r="BQ441" s="167"/>
      <c r="BR441" s="167"/>
      <c r="BS441" s="167"/>
      <c r="BT441" s="167"/>
      <c r="BU441" s="167"/>
      <c r="BV441" s="167"/>
      <c r="BW441" s="167"/>
      <c r="BX441" s="167"/>
      <c r="BY441" s="175"/>
    </row>
    <row r="442" spans="1:77" s="18" customFormat="1" x14ac:dyDescent="0.15">
      <c r="A442" s="148">
        <v>1401020041</v>
      </c>
      <c r="B442" s="158" t="s">
        <v>469</v>
      </c>
      <c r="C442" s="150" t="s">
        <v>100</v>
      </c>
      <c r="D442" s="150"/>
      <c r="E442" s="150" t="s">
        <v>83</v>
      </c>
      <c r="F442" s="150">
        <v>80000</v>
      </c>
      <c r="G442" s="150"/>
      <c r="H442" s="150"/>
      <c r="I442" s="150"/>
      <c r="J442" s="166"/>
      <c r="K442" s="166"/>
      <c r="L442" s="166"/>
      <c r="M442" s="166" t="s">
        <v>101</v>
      </c>
      <c r="N442" s="166" t="s">
        <v>842</v>
      </c>
      <c r="O442" s="150" t="s">
        <v>79</v>
      </c>
      <c r="P442" s="167" t="s">
        <v>80</v>
      </c>
      <c r="Q442" s="167">
        <v>250</v>
      </c>
      <c r="R442" s="167">
        <v>2000</v>
      </c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 t="s">
        <v>90</v>
      </c>
      <c r="AK442" s="167"/>
      <c r="AL442" s="167"/>
      <c r="AM442" s="167"/>
      <c r="AN442" s="167"/>
      <c r="AO442" s="167"/>
      <c r="AP442" s="167"/>
      <c r="AQ442" s="167"/>
      <c r="AR442" s="167"/>
      <c r="AS442" s="167"/>
      <c r="AT442" s="167"/>
      <c r="AU442" s="167"/>
      <c r="AV442" s="167"/>
      <c r="AW442" s="167"/>
      <c r="AX442" s="167">
        <v>1401020201</v>
      </c>
      <c r="AY442" s="167">
        <v>1401020101</v>
      </c>
      <c r="AZ442" s="167"/>
      <c r="BA442" s="167"/>
      <c r="BB442" s="167"/>
      <c r="BC442" s="167"/>
      <c r="BD442" s="167"/>
      <c r="BE442" s="167"/>
      <c r="BF442" s="167"/>
      <c r="BG442" s="167"/>
      <c r="BH442" s="167"/>
      <c r="BI442" s="167"/>
      <c r="BJ442" s="167"/>
      <c r="BK442" s="167"/>
      <c r="BL442" s="167"/>
      <c r="BM442" s="167"/>
      <c r="BN442" s="167"/>
      <c r="BO442" s="167"/>
      <c r="BP442" s="167"/>
      <c r="BQ442" s="167"/>
      <c r="BR442" s="167"/>
      <c r="BS442" s="167"/>
      <c r="BT442" s="167"/>
      <c r="BU442" s="167"/>
      <c r="BV442" s="167"/>
      <c r="BW442" s="167"/>
      <c r="BX442" s="167"/>
      <c r="BY442" s="175"/>
    </row>
    <row r="443" spans="1:77" s="18" customFormat="1" x14ac:dyDescent="0.15">
      <c r="A443" s="148">
        <v>1401020012</v>
      </c>
      <c r="B443" s="158" t="s">
        <v>470</v>
      </c>
      <c r="C443" s="150" t="s">
        <v>89</v>
      </c>
      <c r="D443" s="150"/>
      <c r="E443" s="150" t="s">
        <v>83</v>
      </c>
      <c r="F443" s="150">
        <v>80000</v>
      </c>
      <c r="G443" s="150"/>
      <c r="H443" s="150"/>
      <c r="I443" s="150"/>
      <c r="J443" s="166"/>
      <c r="K443" s="166"/>
      <c r="L443" s="166"/>
      <c r="M443" s="166"/>
      <c r="N443" s="166"/>
      <c r="O443" s="150" t="s">
        <v>98</v>
      </c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>
        <v>140102001</v>
      </c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  <c r="AP443" s="167"/>
      <c r="AQ443" s="167"/>
      <c r="AR443" s="167"/>
      <c r="AS443" s="167"/>
      <c r="AT443" s="167"/>
      <c r="AU443" s="167"/>
      <c r="AV443" s="167"/>
      <c r="AW443" s="167"/>
      <c r="AX443" s="167"/>
      <c r="AY443" s="167"/>
      <c r="AZ443" s="167"/>
      <c r="BA443" s="167"/>
      <c r="BB443" s="167"/>
      <c r="BC443" s="167"/>
      <c r="BD443" s="167"/>
      <c r="BE443" s="167"/>
      <c r="BF443" s="167"/>
      <c r="BG443" s="167"/>
      <c r="BH443" s="167"/>
      <c r="BI443" s="167"/>
      <c r="BJ443" s="167"/>
      <c r="BK443" s="167"/>
      <c r="BL443" s="167"/>
      <c r="BM443" s="167"/>
      <c r="BN443" s="167"/>
      <c r="BO443" s="167"/>
      <c r="BP443" s="167"/>
      <c r="BQ443" s="167"/>
      <c r="BR443" s="167"/>
      <c r="BS443" s="167"/>
      <c r="BT443" s="167"/>
      <c r="BU443" s="167"/>
      <c r="BV443" s="167"/>
      <c r="BW443" s="167"/>
      <c r="BX443" s="167"/>
      <c r="BY443" s="175"/>
    </row>
    <row r="444" spans="1:77" s="18" customFormat="1" x14ac:dyDescent="0.15">
      <c r="A444" s="148">
        <v>1401020013</v>
      </c>
      <c r="B444" s="158" t="s">
        <v>471</v>
      </c>
      <c r="C444" s="150" t="s">
        <v>100</v>
      </c>
      <c r="D444" s="150"/>
      <c r="E444" s="150" t="s">
        <v>78</v>
      </c>
      <c r="F444" s="150"/>
      <c r="G444" s="150"/>
      <c r="H444" s="150"/>
      <c r="I444" s="150"/>
      <c r="J444" s="166"/>
      <c r="K444" s="166"/>
      <c r="L444" s="166"/>
      <c r="M444" s="166"/>
      <c r="N444" s="166"/>
      <c r="O444" s="150" t="s">
        <v>90</v>
      </c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>
        <v>1401020401</v>
      </c>
      <c r="AD444" s="167">
        <v>1401020301</v>
      </c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  <c r="AP444" s="167"/>
      <c r="AQ444" s="167"/>
      <c r="AR444" s="167"/>
      <c r="AS444" s="167"/>
      <c r="AT444" s="167"/>
      <c r="AU444" s="167"/>
      <c r="AV444" s="167"/>
      <c r="AW444" s="167"/>
      <c r="AX444" s="167"/>
      <c r="AY444" s="167"/>
      <c r="AZ444" s="167"/>
      <c r="BA444" s="167"/>
      <c r="BB444" s="167"/>
      <c r="BC444" s="167"/>
      <c r="BD444" s="167"/>
      <c r="BE444" s="167"/>
      <c r="BF444" s="167"/>
      <c r="BG444" s="167"/>
      <c r="BH444" s="167"/>
      <c r="BI444" s="167"/>
      <c r="BJ444" s="167"/>
      <c r="BK444" s="167"/>
      <c r="BL444" s="167"/>
      <c r="BM444" s="167"/>
      <c r="BN444" s="167"/>
      <c r="BO444" s="167"/>
      <c r="BP444" s="167"/>
      <c r="BQ444" s="167"/>
      <c r="BR444" s="167"/>
      <c r="BS444" s="167"/>
      <c r="BT444" s="167"/>
      <c r="BU444" s="167"/>
      <c r="BV444" s="167"/>
      <c r="BW444" s="167"/>
      <c r="BX444" s="167"/>
      <c r="BY444" s="175"/>
    </row>
    <row r="445" spans="1:77" s="18" customFormat="1" x14ac:dyDescent="0.15">
      <c r="A445" s="148">
        <v>1401040011</v>
      </c>
      <c r="B445" s="158" t="s">
        <v>472</v>
      </c>
      <c r="C445" s="150" t="s">
        <v>100</v>
      </c>
      <c r="D445" s="150"/>
      <c r="E445" s="150" t="s">
        <v>85</v>
      </c>
      <c r="F445" s="150">
        <v>80000</v>
      </c>
      <c r="G445" s="150">
        <v>100000</v>
      </c>
      <c r="H445" s="150"/>
      <c r="I445" s="150">
        <v>50000</v>
      </c>
      <c r="J445" s="166"/>
      <c r="K445" s="166"/>
      <c r="L445" s="166"/>
      <c r="M445" s="166"/>
      <c r="N445" s="166" t="s">
        <v>842</v>
      </c>
      <c r="O445" s="150" t="s">
        <v>79</v>
      </c>
      <c r="P445" s="167" t="s">
        <v>80</v>
      </c>
      <c r="Q445" s="185">
        <v>240</v>
      </c>
      <c r="R445" s="185">
        <v>3000</v>
      </c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 t="s">
        <v>90</v>
      </c>
      <c r="AK445" s="167"/>
      <c r="AL445" s="167"/>
      <c r="AM445" s="167"/>
      <c r="AN445" s="167"/>
      <c r="AO445" s="167"/>
      <c r="AP445" s="167"/>
      <c r="AQ445" s="167"/>
      <c r="AR445" s="167"/>
      <c r="AS445" s="167"/>
      <c r="AT445" s="167"/>
      <c r="AU445" s="167"/>
      <c r="AV445" s="167"/>
      <c r="AW445" s="167"/>
      <c r="AX445" s="167">
        <v>1401040101</v>
      </c>
      <c r="AY445" s="167">
        <v>1401040101</v>
      </c>
      <c r="AZ445" s="167"/>
      <c r="BA445" s="167"/>
      <c r="BB445" s="167"/>
      <c r="BC445" s="167"/>
      <c r="BD445" s="167"/>
      <c r="BE445" s="167"/>
      <c r="BF445" s="167"/>
      <c r="BG445" s="167"/>
      <c r="BH445" s="167"/>
      <c r="BI445" s="167"/>
      <c r="BJ445" s="167"/>
      <c r="BK445" s="167"/>
      <c r="BL445" s="167"/>
      <c r="BM445" s="167"/>
      <c r="BN445" s="167"/>
      <c r="BO445" s="167"/>
      <c r="BP445" s="167"/>
      <c r="BQ445" s="167"/>
      <c r="BR445" s="167"/>
      <c r="BS445" s="167"/>
      <c r="BT445" s="167"/>
      <c r="BU445" s="167"/>
      <c r="BV445" s="167"/>
      <c r="BW445" s="167"/>
      <c r="BX445" s="167"/>
      <c r="BY445" s="175"/>
    </row>
    <row r="446" spans="1:77" s="18" customFormat="1" x14ac:dyDescent="0.15">
      <c r="A446" s="148">
        <v>1401040021</v>
      </c>
      <c r="B446" s="158" t="s">
        <v>472</v>
      </c>
      <c r="C446" s="150" t="s">
        <v>100</v>
      </c>
      <c r="D446" s="150"/>
      <c r="E446" s="150" t="s">
        <v>85</v>
      </c>
      <c r="F446" s="150">
        <v>80000</v>
      </c>
      <c r="G446" s="150">
        <v>100000</v>
      </c>
      <c r="H446" s="150"/>
      <c r="I446" s="150">
        <v>50000</v>
      </c>
      <c r="J446" s="166"/>
      <c r="K446" s="166"/>
      <c r="L446" s="166"/>
      <c r="M446" s="166"/>
      <c r="N446" s="166" t="s">
        <v>842</v>
      </c>
      <c r="O446" s="150" t="s">
        <v>79</v>
      </c>
      <c r="P446" s="167" t="s">
        <v>80</v>
      </c>
      <c r="Q446" s="185">
        <v>360</v>
      </c>
      <c r="R446" s="185">
        <v>3000</v>
      </c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 t="s">
        <v>90</v>
      </c>
      <c r="AK446" s="167"/>
      <c r="AL446" s="167"/>
      <c r="AM446" s="167"/>
      <c r="AN446" s="167"/>
      <c r="AO446" s="167"/>
      <c r="AP446" s="167"/>
      <c r="AQ446" s="167"/>
      <c r="AR446" s="167"/>
      <c r="AS446" s="167"/>
      <c r="AT446" s="167"/>
      <c r="AU446" s="167"/>
      <c r="AV446" s="167"/>
      <c r="AW446" s="167"/>
      <c r="AX446" s="167">
        <v>1401040101</v>
      </c>
      <c r="AY446" s="167">
        <v>1401040101</v>
      </c>
      <c r="AZ446" s="167"/>
      <c r="BA446" s="167"/>
      <c r="BB446" s="167"/>
      <c r="BC446" s="167"/>
      <c r="BD446" s="167"/>
      <c r="BE446" s="167"/>
      <c r="BF446" s="167"/>
      <c r="BG446" s="167"/>
      <c r="BH446" s="167"/>
      <c r="BI446" s="167"/>
      <c r="BJ446" s="167"/>
      <c r="BK446" s="167"/>
      <c r="BL446" s="167"/>
      <c r="BM446" s="167"/>
      <c r="BN446" s="167"/>
      <c r="BO446" s="167"/>
      <c r="BP446" s="167"/>
      <c r="BQ446" s="167"/>
      <c r="BR446" s="167"/>
      <c r="BS446" s="167"/>
      <c r="BT446" s="167"/>
      <c r="BU446" s="167"/>
      <c r="BV446" s="167"/>
      <c r="BW446" s="167"/>
      <c r="BX446" s="167"/>
      <c r="BY446" s="175"/>
    </row>
    <row r="447" spans="1:77" s="18" customFormat="1" x14ac:dyDescent="0.15">
      <c r="A447" s="148">
        <v>1401040012</v>
      </c>
      <c r="B447" s="158" t="s">
        <v>473</v>
      </c>
      <c r="C447" s="150" t="s">
        <v>89</v>
      </c>
      <c r="D447" s="150"/>
      <c r="E447" s="150" t="s">
        <v>78</v>
      </c>
      <c r="F447" s="150"/>
      <c r="G447" s="150"/>
      <c r="H447" s="150"/>
      <c r="I447" s="150"/>
      <c r="J447" s="166"/>
      <c r="K447" s="166"/>
      <c r="L447" s="166"/>
      <c r="M447" s="166"/>
      <c r="N447" s="166"/>
      <c r="O447" s="150" t="s">
        <v>98</v>
      </c>
      <c r="P447" s="167"/>
      <c r="Q447" s="185"/>
      <c r="R447" s="185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  <c r="AE447" s="167">
        <v>140104001</v>
      </c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  <c r="AP447" s="167"/>
      <c r="AQ447" s="167"/>
      <c r="AR447" s="167"/>
      <c r="AS447" s="167"/>
      <c r="AT447" s="167"/>
      <c r="AU447" s="167"/>
      <c r="AV447" s="167"/>
      <c r="AW447" s="167"/>
      <c r="AX447" s="167"/>
      <c r="AY447" s="167"/>
      <c r="AZ447" s="167"/>
      <c r="BA447" s="167"/>
      <c r="BB447" s="167"/>
      <c r="BC447" s="167"/>
      <c r="BD447" s="167"/>
      <c r="BE447" s="167"/>
      <c r="BF447" s="167"/>
      <c r="BG447" s="167"/>
      <c r="BH447" s="167"/>
      <c r="BI447" s="167"/>
      <c r="BJ447" s="167"/>
      <c r="BK447" s="167"/>
      <c r="BL447" s="167"/>
      <c r="BM447" s="167"/>
      <c r="BN447" s="167"/>
      <c r="BO447" s="167"/>
      <c r="BP447" s="167"/>
      <c r="BQ447" s="167"/>
      <c r="BR447" s="167"/>
      <c r="BS447" s="167"/>
      <c r="BT447" s="167"/>
      <c r="BU447" s="167"/>
      <c r="BV447" s="167"/>
      <c r="BW447" s="167"/>
      <c r="BX447" s="167"/>
      <c r="BY447" s="175"/>
    </row>
    <row r="448" spans="1:77" s="18" customFormat="1" x14ac:dyDescent="0.15">
      <c r="A448" s="148">
        <v>1401040022</v>
      </c>
      <c r="B448" s="158" t="s">
        <v>473</v>
      </c>
      <c r="C448" s="150" t="s">
        <v>89</v>
      </c>
      <c r="D448" s="150"/>
      <c r="E448" s="150" t="s">
        <v>78</v>
      </c>
      <c r="F448" s="150"/>
      <c r="G448" s="150"/>
      <c r="H448" s="150"/>
      <c r="I448" s="150"/>
      <c r="J448" s="166"/>
      <c r="K448" s="166"/>
      <c r="L448" s="166"/>
      <c r="M448" s="166"/>
      <c r="N448" s="166"/>
      <c r="O448" s="150" t="s">
        <v>98</v>
      </c>
      <c r="P448" s="167"/>
      <c r="Q448" s="185"/>
      <c r="R448" s="185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  <c r="AE448" s="167">
        <v>140104002</v>
      </c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  <c r="AP448" s="167"/>
      <c r="AQ448" s="167"/>
      <c r="AR448" s="167"/>
      <c r="AS448" s="167"/>
      <c r="AT448" s="167"/>
      <c r="AU448" s="167"/>
      <c r="AV448" s="167"/>
      <c r="AW448" s="167"/>
      <c r="AX448" s="167"/>
      <c r="AY448" s="167"/>
      <c r="AZ448" s="167"/>
      <c r="BA448" s="167"/>
      <c r="BB448" s="167"/>
      <c r="BC448" s="167"/>
      <c r="BD448" s="167"/>
      <c r="BE448" s="167"/>
      <c r="BF448" s="167"/>
      <c r="BG448" s="167"/>
      <c r="BH448" s="167"/>
      <c r="BI448" s="167"/>
      <c r="BJ448" s="167"/>
      <c r="BK448" s="167"/>
      <c r="BL448" s="167"/>
      <c r="BM448" s="167"/>
      <c r="BN448" s="167"/>
      <c r="BO448" s="167"/>
      <c r="BP448" s="167"/>
      <c r="BQ448" s="167"/>
      <c r="BR448" s="167"/>
      <c r="BS448" s="167"/>
      <c r="BT448" s="167"/>
      <c r="BU448" s="167"/>
      <c r="BV448" s="167"/>
      <c r="BW448" s="167"/>
      <c r="BX448" s="167"/>
      <c r="BY448" s="175"/>
    </row>
    <row r="449" spans="1:77" s="18" customFormat="1" x14ac:dyDescent="0.15">
      <c r="A449" s="148">
        <v>1401040013</v>
      </c>
      <c r="B449" s="158" t="s">
        <v>474</v>
      </c>
      <c r="C449" s="150" t="s">
        <v>100</v>
      </c>
      <c r="D449" s="150"/>
      <c r="E449" s="150" t="s">
        <v>78</v>
      </c>
      <c r="F449" s="150"/>
      <c r="G449" s="150"/>
      <c r="H449" s="150"/>
      <c r="I449" s="150"/>
      <c r="J449" s="166"/>
      <c r="K449" s="166"/>
      <c r="L449" s="166"/>
      <c r="M449" s="166" t="s">
        <v>101</v>
      </c>
      <c r="N449" s="166"/>
      <c r="O449" s="150" t="s">
        <v>79</v>
      </c>
      <c r="P449" s="167" t="s">
        <v>80</v>
      </c>
      <c r="Q449" s="185">
        <v>48</v>
      </c>
      <c r="R449" s="185">
        <v>1000</v>
      </c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  <c r="AP449" s="167"/>
      <c r="AQ449" s="167"/>
      <c r="AR449" s="167"/>
      <c r="AS449" s="167"/>
      <c r="AT449" s="167"/>
      <c r="AU449" s="167"/>
      <c r="AV449" s="167"/>
      <c r="AW449" s="167"/>
      <c r="AX449" s="167"/>
      <c r="AY449" s="167"/>
      <c r="AZ449" s="167"/>
      <c r="BA449" s="167"/>
      <c r="BB449" s="167"/>
      <c r="BC449" s="167"/>
      <c r="BD449" s="167"/>
      <c r="BE449" s="167"/>
      <c r="BF449" s="167"/>
      <c r="BG449" s="167"/>
      <c r="BH449" s="167"/>
      <c r="BI449" s="167"/>
      <c r="BJ449" s="167"/>
      <c r="BK449" s="167"/>
      <c r="BL449" s="167"/>
      <c r="BM449" s="167"/>
      <c r="BN449" s="167"/>
      <c r="BO449" s="167"/>
      <c r="BP449" s="167"/>
      <c r="BQ449" s="167"/>
      <c r="BR449" s="167"/>
      <c r="BS449" s="167"/>
      <c r="BT449" s="167"/>
      <c r="BU449" s="167"/>
      <c r="BV449" s="167"/>
      <c r="BW449" s="167"/>
      <c r="BX449" s="167"/>
      <c r="BY449" s="175"/>
    </row>
    <row r="450" spans="1:77" s="18" customFormat="1" x14ac:dyDescent="0.15">
      <c r="A450" s="148">
        <v>1401040023</v>
      </c>
      <c r="B450" s="158" t="s">
        <v>474</v>
      </c>
      <c r="C450" s="150" t="s">
        <v>100</v>
      </c>
      <c r="D450" s="150"/>
      <c r="E450" s="150" t="s">
        <v>78</v>
      </c>
      <c r="F450" s="150"/>
      <c r="G450" s="150"/>
      <c r="H450" s="150"/>
      <c r="I450" s="150"/>
      <c r="J450" s="166"/>
      <c r="K450" s="166"/>
      <c r="L450" s="166"/>
      <c r="M450" s="166" t="s">
        <v>101</v>
      </c>
      <c r="N450" s="166"/>
      <c r="O450" s="150" t="s">
        <v>79</v>
      </c>
      <c r="P450" s="167" t="s">
        <v>80</v>
      </c>
      <c r="Q450" s="185">
        <v>72</v>
      </c>
      <c r="R450" s="185">
        <v>1000</v>
      </c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  <c r="AP450" s="167"/>
      <c r="AQ450" s="167"/>
      <c r="AR450" s="167"/>
      <c r="AS450" s="167"/>
      <c r="AT450" s="167"/>
      <c r="AU450" s="167"/>
      <c r="AV450" s="167"/>
      <c r="AW450" s="167"/>
      <c r="AX450" s="167"/>
      <c r="AY450" s="167"/>
      <c r="AZ450" s="167"/>
      <c r="BA450" s="167"/>
      <c r="BB450" s="167"/>
      <c r="BC450" s="167"/>
      <c r="BD450" s="167"/>
      <c r="BE450" s="167"/>
      <c r="BF450" s="167"/>
      <c r="BG450" s="167"/>
      <c r="BH450" s="167"/>
      <c r="BI450" s="167"/>
      <c r="BJ450" s="167"/>
      <c r="BK450" s="167"/>
      <c r="BL450" s="167"/>
      <c r="BM450" s="167"/>
      <c r="BN450" s="167"/>
      <c r="BO450" s="167"/>
      <c r="BP450" s="167"/>
      <c r="BQ450" s="167"/>
      <c r="BR450" s="167"/>
      <c r="BS450" s="167"/>
      <c r="BT450" s="167"/>
      <c r="BU450" s="167"/>
      <c r="BV450" s="167"/>
      <c r="BW450" s="167"/>
      <c r="BX450" s="167"/>
      <c r="BY450" s="175"/>
    </row>
    <row r="451" spans="1:77" s="18" customFormat="1" x14ac:dyDescent="0.15">
      <c r="A451" s="148">
        <v>1401040014</v>
      </c>
      <c r="B451" s="158" t="s">
        <v>475</v>
      </c>
      <c r="C451" s="150" t="s">
        <v>100</v>
      </c>
      <c r="D451" s="150"/>
      <c r="E451" s="150" t="s">
        <v>83</v>
      </c>
      <c r="F451" s="150">
        <v>40000</v>
      </c>
      <c r="G451" s="150"/>
      <c r="H451" s="150"/>
      <c r="I451" s="150">
        <v>-40000</v>
      </c>
      <c r="J451" s="166"/>
      <c r="K451" s="166"/>
      <c r="L451" s="166"/>
      <c r="M451" s="166" t="s">
        <v>101</v>
      </c>
      <c r="N451" s="166" t="s">
        <v>842</v>
      </c>
      <c r="O451" s="150" t="s">
        <v>79</v>
      </c>
      <c r="P451" s="167" t="s">
        <v>80</v>
      </c>
      <c r="Q451" s="185">
        <v>360</v>
      </c>
      <c r="R451" s="185">
        <v>5000</v>
      </c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  <c r="AP451" s="167"/>
      <c r="AQ451" s="167"/>
      <c r="AR451" s="167"/>
      <c r="AS451" s="167"/>
      <c r="AT451" s="167"/>
      <c r="AU451" s="167"/>
      <c r="AV451" s="167"/>
      <c r="AW451" s="167"/>
      <c r="AX451" s="167"/>
      <c r="AY451" s="167"/>
      <c r="AZ451" s="167"/>
      <c r="BA451" s="167"/>
      <c r="BB451" s="167"/>
      <c r="BC451" s="167"/>
      <c r="BD451" s="167"/>
      <c r="BE451" s="167"/>
      <c r="BF451" s="167"/>
      <c r="BG451" s="167"/>
      <c r="BH451" s="167"/>
      <c r="BI451" s="167"/>
      <c r="BJ451" s="167"/>
      <c r="BK451" s="167"/>
      <c r="BL451" s="167"/>
      <c r="BM451" s="167"/>
      <c r="BN451" s="167"/>
      <c r="BO451" s="167"/>
      <c r="BP451" s="167"/>
      <c r="BQ451" s="167"/>
      <c r="BR451" s="167"/>
      <c r="BS451" s="167"/>
      <c r="BT451" s="167"/>
      <c r="BU451" s="167"/>
      <c r="BV451" s="167"/>
      <c r="BW451" s="167"/>
      <c r="BX451" s="167"/>
      <c r="BY451" s="175"/>
    </row>
    <row r="452" spans="1:77" s="18" customFormat="1" x14ac:dyDescent="0.15">
      <c r="A452" s="148">
        <v>1401040024</v>
      </c>
      <c r="B452" s="158" t="s">
        <v>475</v>
      </c>
      <c r="C452" s="150" t="s">
        <v>100</v>
      </c>
      <c r="D452" s="150"/>
      <c r="E452" s="150" t="s">
        <v>83</v>
      </c>
      <c r="F452" s="150">
        <v>40000</v>
      </c>
      <c r="G452" s="150"/>
      <c r="H452" s="150"/>
      <c r="I452" s="150">
        <v>-40000</v>
      </c>
      <c r="J452" s="166"/>
      <c r="K452" s="166"/>
      <c r="L452" s="166"/>
      <c r="M452" s="166" t="s">
        <v>101</v>
      </c>
      <c r="N452" s="166" t="s">
        <v>842</v>
      </c>
      <c r="O452" s="150" t="s">
        <v>79</v>
      </c>
      <c r="P452" s="167" t="s">
        <v>80</v>
      </c>
      <c r="Q452" s="185">
        <v>480</v>
      </c>
      <c r="R452" s="185">
        <v>5000</v>
      </c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  <c r="AP452" s="167"/>
      <c r="AQ452" s="167"/>
      <c r="AR452" s="167"/>
      <c r="AS452" s="167"/>
      <c r="AT452" s="167"/>
      <c r="AU452" s="167"/>
      <c r="AV452" s="167"/>
      <c r="AW452" s="167"/>
      <c r="AX452" s="167"/>
      <c r="AY452" s="167"/>
      <c r="AZ452" s="167"/>
      <c r="BA452" s="167"/>
      <c r="BB452" s="167"/>
      <c r="BC452" s="167"/>
      <c r="BD452" s="167"/>
      <c r="BE452" s="167"/>
      <c r="BF452" s="167"/>
      <c r="BG452" s="167"/>
      <c r="BH452" s="167"/>
      <c r="BI452" s="167"/>
      <c r="BJ452" s="167"/>
      <c r="BK452" s="167"/>
      <c r="BL452" s="167"/>
      <c r="BM452" s="167"/>
      <c r="BN452" s="167"/>
      <c r="BO452" s="167"/>
      <c r="BP452" s="167"/>
      <c r="BQ452" s="167"/>
      <c r="BR452" s="167"/>
      <c r="BS452" s="167"/>
      <c r="BT452" s="167"/>
      <c r="BU452" s="167"/>
      <c r="BV452" s="167"/>
      <c r="BW452" s="167"/>
      <c r="BX452" s="167"/>
      <c r="BY452" s="175"/>
    </row>
    <row r="453" spans="1:77" s="18" customFormat="1" x14ac:dyDescent="0.15">
      <c r="A453" s="148">
        <v>1401040015</v>
      </c>
      <c r="B453" s="158" t="s">
        <v>476</v>
      </c>
      <c r="C453" s="150" t="s">
        <v>89</v>
      </c>
      <c r="D453" s="150"/>
      <c r="E453" s="150" t="s">
        <v>83</v>
      </c>
      <c r="F453" s="150">
        <v>40000</v>
      </c>
      <c r="G453" s="150"/>
      <c r="H453" s="150"/>
      <c r="I453" s="150"/>
      <c r="J453" s="166"/>
      <c r="K453" s="166"/>
      <c r="L453" s="166"/>
      <c r="M453" s="166"/>
      <c r="N453" s="166"/>
      <c r="O453" s="150" t="s">
        <v>98</v>
      </c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7">
        <v>140104003</v>
      </c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  <c r="AP453" s="167"/>
      <c r="AQ453" s="167"/>
      <c r="AR453" s="167"/>
      <c r="AS453" s="167"/>
      <c r="AT453" s="167"/>
      <c r="AU453" s="167"/>
      <c r="AV453" s="167"/>
      <c r="AW453" s="167"/>
      <c r="AX453" s="167"/>
      <c r="AY453" s="167"/>
      <c r="AZ453" s="167"/>
      <c r="BA453" s="167"/>
      <c r="BB453" s="167"/>
      <c r="BC453" s="167"/>
      <c r="BD453" s="167"/>
      <c r="BE453" s="167"/>
      <c r="BF453" s="167"/>
      <c r="BG453" s="167"/>
      <c r="BH453" s="167"/>
      <c r="BI453" s="167"/>
      <c r="BJ453" s="167"/>
      <c r="BK453" s="167"/>
      <c r="BL453" s="167"/>
      <c r="BM453" s="167"/>
      <c r="BN453" s="167"/>
      <c r="BO453" s="167"/>
      <c r="BP453" s="167"/>
      <c r="BQ453" s="167"/>
      <c r="BR453" s="167"/>
      <c r="BS453" s="167"/>
      <c r="BT453" s="167"/>
      <c r="BU453" s="167"/>
      <c r="BV453" s="167"/>
      <c r="BW453" s="167"/>
      <c r="BX453" s="167"/>
      <c r="BY453" s="175"/>
    </row>
    <row r="454" spans="1:77" s="18" customFormat="1" x14ac:dyDescent="0.15">
      <c r="A454" s="148">
        <v>1401040025</v>
      </c>
      <c r="B454" s="158" t="s">
        <v>476</v>
      </c>
      <c r="C454" s="150" t="s">
        <v>89</v>
      </c>
      <c r="D454" s="150"/>
      <c r="E454" s="150" t="s">
        <v>83</v>
      </c>
      <c r="F454" s="150">
        <v>40000</v>
      </c>
      <c r="G454" s="150"/>
      <c r="H454" s="150"/>
      <c r="I454" s="150"/>
      <c r="J454" s="166"/>
      <c r="K454" s="166"/>
      <c r="L454" s="166"/>
      <c r="M454" s="166"/>
      <c r="N454" s="166"/>
      <c r="O454" s="150" t="s">
        <v>98</v>
      </c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7">
        <v>140104003</v>
      </c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  <c r="AP454" s="167"/>
      <c r="AQ454" s="167"/>
      <c r="AR454" s="167"/>
      <c r="AS454" s="167"/>
      <c r="AT454" s="167"/>
      <c r="AU454" s="167"/>
      <c r="AV454" s="167"/>
      <c r="AW454" s="167"/>
      <c r="AX454" s="167"/>
      <c r="AY454" s="167"/>
      <c r="AZ454" s="167"/>
      <c r="BA454" s="167"/>
      <c r="BB454" s="167"/>
      <c r="BC454" s="167"/>
      <c r="BD454" s="167"/>
      <c r="BE454" s="167"/>
      <c r="BF454" s="167"/>
      <c r="BG454" s="167"/>
      <c r="BH454" s="167"/>
      <c r="BI454" s="167"/>
      <c r="BJ454" s="167"/>
      <c r="BK454" s="167"/>
      <c r="BL454" s="167"/>
      <c r="BM454" s="167"/>
      <c r="BN454" s="167"/>
      <c r="BO454" s="167"/>
      <c r="BP454" s="167"/>
      <c r="BQ454" s="167"/>
      <c r="BR454" s="167"/>
      <c r="BS454" s="167"/>
      <c r="BT454" s="167"/>
      <c r="BU454" s="167"/>
      <c r="BV454" s="167"/>
      <c r="BW454" s="167"/>
      <c r="BX454" s="167"/>
      <c r="BY454" s="175"/>
    </row>
    <row r="455" spans="1:77" s="18" customFormat="1" x14ac:dyDescent="0.15">
      <c r="A455" s="148">
        <v>1401040016</v>
      </c>
      <c r="B455" s="158" t="s">
        <v>477</v>
      </c>
      <c r="C455" s="150" t="s">
        <v>89</v>
      </c>
      <c r="D455" s="150"/>
      <c r="E455" s="150" t="s">
        <v>78</v>
      </c>
      <c r="F455" s="150"/>
      <c r="G455" s="150"/>
      <c r="H455" s="150"/>
      <c r="I455" s="150"/>
      <c r="J455" s="166"/>
      <c r="K455" s="166"/>
      <c r="L455" s="166"/>
      <c r="M455" s="166"/>
      <c r="N455" s="166"/>
      <c r="O455" s="150" t="s">
        <v>90</v>
      </c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>
        <v>1401040201</v>
      </c>
      <c r="AE455" s="167"/>
      <c r="AF455" s="167"/>
      <c r="AG455" s="167"/>
      <c r="AH455" s="167"/>
      <c r="AI455" s="167"/>
      <c r="AJ455" s="150" t="s">
        <v>90</v>
      </c>
      <c r="AK455" s="167"/>
      <c r="AL455" s="167"/>
      <c r="AM455" s="167"/>
      <c r="AN455" s="167"/>
      <c r="AO455" s="167"/>
      <c r="AP455" s="167"/>
      <c r="AQ455" s="167"/>
      <c r="AR455" s="167"/>
      <c r="AS455" s="167"/>
      <c r="AT455" s="167"/>
      <c r="AU455" s="167"/>
      <c r="AV455" s="167"/>
      <c r="AW455" s="167"/>
      <c r="AX455" s="167"/>
      <c r="AY455" s="167">
        <v>1401040301</v>
      </c>
      <c r="AZ455" s="167"/>
      <c r="BA455" s="167"/>
      <c r="BB455" s="167"/>
      <c r="BC455" s="167"/>
      <c r="BD455" s="167"/>
      <c r="BE455" s="167"/>
      <c r="BF455" s="167"/>
      <c r="BG455" s="167"/>
      <c r="BH455" s="167"/>
      <c r="BI455" s="167"/>
      <c r="BJ455" s="167"/>
      <c r="BK455" s="167"/>
      <c r="BL455" s="167"/>
      <c r="BM455" s="167"/>
      <c r="BN455" s="167"/>
      <c r="BO455" s="167"/>
      <c r="BP455" s="167"/>
      <c r="BQ455" s="167"/>
      <c r="BR455" s="167"/>
      <c r="BS455" s="167"/>
      <c r="BT455" s="167"/>
      <c r="BU455" s="167"/>
      <c r="BV455" s="167"/>
      <c r="BW455" s="167"/>
      <c r="BX455" s="167"/>
      <c r="BY455" s="175"/>
    </row>
    <row r="456" spans="1:77" s="14" customFormat="1" x14ac:dyDescent="0.15">
      <c r="A456" s="151">
        <v>1406200011</v>
      </c>
      <c r="B456" s="152" t="s">
        <v>478</v>
      </c>
      <c r="C456" s="153" t="s">
        <v>89</v>
      </c>
      <c r="D456" s="153"/>
      <c r="E456" s="153" t="s">
        <v>78</v>
      </c>
      <c r="F456" s="153"/>
      <c r="G456" s="153"/>
      <c r="H456" s="153"/>
      <c r="I456" s="153"/>
      <c r="J456" s="162"/>
      <c r="K456" s="162"/>
      <c r="L456" s="162"/>
      <c r="M456" s="162"/>
      <c r="N456" s="162"/>
      <c r="O456" s="153" t="s">
        <v>90</v>
      </c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>
        <v>1406200101</v>
      </c>
      <c r="AE456" s="163"/>
      <c r="AF456" s="163"/>
      <c r="AG456" s="163"/>
      <c r="AH456" s="163"/>
      <c r="AI456" s="163"/>
      <c r="AJ456" s="163"/>
      <c r="AK456" s="163"/>
      <c r="AL456" s="163"/>
      <c r="AM456" s="163"/>
      <c r="AN456" s="163"/>
      <c r="AO456" s="163"/>
      <c r="AP456" s="163"/>
      <c r="AQ456" s="163"/>
      <c r="AR456" s="163"/>
      <c r="AS456" s="163"/>
      <c r="AT456" s="163"/>
      <c r="AU456" s="163"/>
      <c r="AV456" s="163"/>
      <c r="AW456" s="163"/>
      <c r="AX456" s="163"/>
      <c r="AY456" s="163"/>
      <c r="AZ456" s="163"/>
      <c r="BA456" s="163"/>
      <c r="BB456" s="163"/>
      <c r="BC456" s="163"/>
      <c r="BD456" s="163"/>
      <c r="BE456" s="163"/>
      <c r="BF456" s="163"/>
      <c r="BG456" s="163"/>
      <c r="BH456" s="163"/>
      <c r="BI456" s="163"/>
      <c r="BJ456" s="163"/>
      <c r="BK456" s="163"/>
      <c r="BL456" s="163"/>
      <c r="BM456" s="163"/>
      <c r="BN456" s="163"/>
      <c r="BO456" s="163"/>
      <c r="BP456" s="163"/>
      <c r="BQ456" s="163"/>
      <c r="BR456" s="163"/>
      <c r="BS456" s="163"/>
      <c r="BT456" s="163"/>
      <c r="BU456" s="163"/>
      <c r="BV456" s="163"/>
      <c r="BW456" s="163"/>
      <c r="BX456" s="163"/>
      <c r="BY456" s="171"/>
    </row>
    <row r="457" spans="1:77" s="14" customFormat="1" x14ac:dyDescent="0.15">
      <c r="A457" s="151">
        <v>1406200021</v>
      </c>
      <c r="B457" s="152" t="s">
        <v>478</v>
      </c>
      <c r="C457" s="153" t="s">
        <v>89</v>
      </c>
      <c r="D457" s="153"/>
      <c r="E457" s="153" t="s">
        <v>78</v>
      </c>
      <c r="F457" s="153"/>
      <c r="G457" s="153"/>
      <c r="H457" s="153"/>
      <c r="I457" s="153"/>
      <c r="J457" s="162"/>
      <c r="K457" s="162"/>
      <c r="L457" s="162"/>
      <c r="M457" s="162"/>
      <c r="N457" s="162"/>
      <c r="O457" s="153" t="s">
        <v>90</v>
      </c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>
        <v>1406200102</v>
      </c>
      <c r="AE457" s="163"/>
      <c r="AF457" s="163"/>
      <c r="AG457" s="163"/>
      <c r="AH457" s="163"/>
      <c r="AI457" s="163"/>
      <c r="AJ457" s="163"/>
      <c r="AK457" s="163"/>
      <c r="AL457" s="163"/>
      <c r="AM457" s="163"/>
      <c r="AN457" s="163"/>
      <c r="AO457" s="163"/>
      <c r="AP457" s="163"/>
      <c r="AQ457" s="163"/>
      <c r="AR457" s="163"/>
      <c r="AS457" s="163"/>
      <c r="AT457" s="163"/>
      <c r="AU457" s="163"/>
      <c r="AV457" s="163"/>
      <c r="AW457" s="163"/>
      <c r="AX457" s="163"/>
      <c r="AY457" s="163"/>
      <c r="AZ457" s="163"/>
      <c r="BA457" s="163"/>
      <c r="BB457" s="163"/>
      <c r="BC457" s="163"/>
      <c r="BD457" s="163"/>
      <c r="BE457" s="163"/>
      <c r="BF457" s="163"/>
      <c r="BG457" s="163"/>
      <c r="BH457" s="163"/>
      <c r="BI457" s="163"/>
      <c r="BJ457" s="163"/>
      <c r="BK457" s="163"/>
      <c r="BL457" s="163"/>
      <c r="BM457" s="163"/>
      <c r="BN457" s="163"/>
      <c r="BO457" s="163"/>
      <c r="BP457" s="163"/>
      <c r="BQ457" s="163"/>
      <c r="BR457" s="163"/>
      <c r="BS457" s="163"/>
      <c r="BT457" s="163"/>
      <c r="BU457" s="163"/>
      <c r="BV457" s="163"/>
      <c r="BW457" s="163"/>
      <c r="BX457" s="163"/>
      <c r="BY457" s="171"/>
    </row>
    <row r="458" spans="1:77" s="14" customFormat="1" x14ac:dyDescent="0.15">
      <c r="A458" s="151">
        <v>1406200031</v>
      </c>
      <c r="B458" s="152" t="s">
        <v>478</v>
      </c>
      <c r="C458" s="153" t="s">
        <v>89</v>
      </c>
      <c r="D458" s="153"/>
      <c r="E458" s="153" t="s">
        <v>78</v>
      </c>
      <c r="F458" s="153"/>
      <c r="G458" s="153"/>
      <c r="H458" s="153"/>
      <c r="I458" s="153"/>
      <c r="J458" s="162"/>
      <c r="K458" s="162"/>
      <c r="L458" s="162"/>
      <c r="M458" s="162"/>
      <c r="N458" s="162"/>
      <c r="O458" s="153" t="s">
        <v>90</v>
      </c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>
        <v>1406200103</v>
      </c>
      <c r="AE458" s="163"/>
      <c r="AF458" s="163"/>
      <c r="AG458" s="163"/>
      <c r="AH458" s="163"/>
      <c r="AI458" s="163"/>
      <c r="AJ458" s="163"/>
      <c r="AK458" s="163"/>
      <c r="AL458" s="163"/>
      <c r="AM458" s="163"/>
      <c r="AN458" s="163"/>
      <c r="AO458" s="163"/>
      <c r="AP458" s="163"/>
      <c r="AQ458" s="163"/>
      <c r="AR458" s="163"/>
      <c r="AS458" s="163"/>
      <c r="AT458" s="163"/>
      <c r="AU458" s="163"/>
      <c r="AV458" s="163"/>
      <c r="AW458" s="163"/>
      <c r="AX458" s="163"/>
      <c r="AY458" s="163"/>
      <c r="AZ458" s="163"/>
      <c r="BA458" s="163"/>
      <c r="BB458" s="163"/>
      <c r="BC458" s="163"/>
      <c r="BD458" s="163"/>
      <c r="BE458" s="163"/>
      <c r="BF458" s="163"/>
      <c r="BG458" s="163"/>
      <c r="BH458" s="163"/>
      <c r="BI458" s="163"/>
      <c r="BJ458" s="163"/>
      <c r="BK458" s="163"/>
      <c r="BL458" s="163"/>
      <c r="BM458" s="163"/>
      <c r="BN458" s="163"/>
      <c r="BO458" s="163"/>
      <c r="BP458" s="163"/>
      <c r="BQ458" s="163"/>
      <c r="BR458" s="163"/>
      <c r="BS458" s="163"/>
      <c r="BT458" s="163"/>
      <c r="BU458" s="163"/>
      <c r="BV458" s="163"/>
      <c r="BW458" s="163"/>
      <c r="BX458" s="163"/>
      <c r="BY458" s="171"/>
    </row>
    <row r="459" spans="1:77" s="14" customFormat="1" x14ac:dyDescent="0.15">
      <c r="A459" s="151">
        <v>1406001011</v>
      </c>
      <c r="B459" s="152" t="s">
        <v>479</v>
      </c>
      <c r="C459" s="153" t="s">
        <v>77</v>
      </c>
      <c r="D459" s="153"/>
      <c r="E459" s="153" t="s">
        <v>78</v>
      </c>
      <c r="F459" s="153"/>
      <c r="G459" s="153"/>
      <c r="H459" s="153"/>
      <c r="I459" s="153"/>
      <c r="J459" s="162"/>
      <c r="K459" s="162"/>
      <c r="L459" s="162"/>
      <c r="M459" s="162"/>
      <c r="N459" s="162"/>
      <c r="O459" s="153" t="s">
        <v>79</v>
      </c>
      <c r="P459" s="163" t="s">
        <v>80</v>
      </c>
      <c r="Q459" s="163"/>
      <c r="R459" s="163">
        <v>10000</v>
      </c>
      <c r="S459" s="163"/>
      <c r="T459" s="163">
        <v>10000</v>
      </c>
      <c r="U459" s="163"/>
      <c r="V459" s="163" t="s">
        <v>101</v>
      </c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3"/>
      <c r="AJ459" s="163"/>
      <c r="AK459" s="163"/>
      <c r="AL459" s="163"/>
      <c r="AM459" s="163"/>
      <c r="AN459" s="163"/>
      <c r="AO459" s="163"/>
      <c r="AP459" s="163"/>
      <c r="AQ459" s="163"/>
      <c r="AR459" s="163"/>
      <c r="AS459" s="163"/>
      <c r="AT459" s="163"/>
      <c r="AU459" s="163"/>
      <c r="AV459" s="163"/>
      <c r="AW459" s="163"/>
      <c r="AX459" s="163"/>
      <c r="AY459" s="163"/>
      <c r="AZ459" s="163"/>
      <c r="BA459" s="163"/>
      <c r="BB459" s="163"/>
      <c r="BC459" s="163"/>
      <c r="BD459" s="163"/>
      <c r="BE459" s="163"/>
      <c r="BF459" s="163"/>
      <c r="BG459" s="163"/>
      <c r="BH459" s="163"/>
      <c r="BI459" s="163"/>
      <c r="BJ459" s="163"/>
      <c r="BK459" s="163"/>
      <c r="BL459" s="163"/>
      <c r="BM459" s="163"/>
      <c r="BN459" s="163"/>
      <c r="BO459" s="163"/>
      <c r="BP459" s="163"/>
      <c r="BQ459" s="163"/>
      <c r="BR459" s="163"/>
      <c r="BS459" s="163"/>
      <c r="BT459" s="163"/>
      <c r="BU459" s="163"/>
      <c r="BV459" s="163"/>
      <c r="BW459" s="163"/>
      <c r="BX459" s="163"/>
      <c r="BY459" s="171"/>
    </row>
    <row r="460" spans="1:77" s="14" customFormat="1" x14ac:dyDescent="0.15">
      <c r="A460" s="151">
        <v>1406001012</v>
      </c>
      <c r="B460" s="152" t="s">
        <v>480</v>
      </c>
      <c r="C460" s="153" t="s">
        <v>77</v>
      </c>
      <c r="D460" s="153"/>
      <c r="E460" s="153" t="s">
        <v>425</v>
      </c>
      <c r="F460" s="153">
        <v>40000</v>
      </c>
      <c r="G460" s="153">
        <v>1200</v>
      </c>
      <c r="H460" s="153"/>
      <c r="I460" s="153"/>
      <c r="J460" s="162"/>
      <c r="K460" s="162"/>
      <c r="L460" s="162"/>
      <c r="M460" s="162"/>
      <c r="N460" s="162"/>
      <c r="O460" s="153" t="s">
        <v>79</v>
      </c>
      <c r="P460" s="163" t="s">
        <v>80</v>
      </c>
      <c r="Q460" s="163"/>
      <c r="R460" s="163">
        <v>5000</v>
      </c>
      <c r="S460" s="163"/>
      <c r="T460" s="163"/>
      <c r="U460" s="163"/>
      <c r="V460" s="163" t="s">
        <v>101</v>
      </c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3"/>
      <c r="AL460" s="163"/>
      <c r="AM460" s="163"/>
      <c r="AN460" s="163"/>
      <c r="AO460" s="163"/>
      <c r="AP460" s="163"/>
      <c r="AQ460" s="163"/>
      <c r="AR460" s="163"/>
      <c r="AS460" s="163"/>
      <c r="AT460" s="163"/>
      <c r="AU460" s="163"/>
      <c r="AV460" s="163"/>
      <c r="AW460" s="163"/>
      <c r="AX460" s="163"/>
      <c r="AY460" s="163"/>
      <c r="AZ460" s="163"/>
      <c r="BA460" s="163"/>
      <c r="BB460" s="163"/>
      <c r="BC460" s="163"/>
      <c r="BD460" s="163"/>
      <c r="BE460" s="163"/>
      <c r="BF460" s="163"/>
      <c r="BG460" s="163"/>
      <c r="BH460" s="163"/>
      <c r="BI460" s="163"/>
      <c r="BJ460" s="163"/>
      <c r="BK460" s="163"/>
      <c r="BL460" s="163"/>
      <c r="BM460" s="163"/>
      <c r="BN460" s="163"/>
      <c r="BO460" s="163"/>
      <c r="BP460" s="163"/>
      <c r="BQ460" s="163"/>
      <c r="BR460" s="163"/>
      <c r="BS460" s="163"/>
      <c r="BT460" s="163"/>
      <c r="BU460" s="163"/>
      <c r="BV460" s="163"/>
      <c r="BW460" s="163"/>
      <c r="BX460" s="163"/>
      <c r="BY460" s="171"/>
    </row>
    <row r="461" spans="1:77" s="14" customFormat="1" x14ac:dyDescent="0.15">
      <c r="A461" s="151">
        <v>1406002011</v>
      </c>
      <c r="B461" s="152" t="s">
        <v>481</v>
      </c>
      <c r="C461" s="153" t="s">
        <v>77</v>
      </c>
      <c r="D461" s="153"/>
      <c r="E461" s="153" t="s">
        <v>78</v>
      </c>
      <c r="F461" s="153"/>
      <c r="G461" s="153"/>
      <c r="H461" s="153"/>
      <c r="I461" s="153"/>
      <c r="J461" s="162"/>
      <c r="K461" s="162"/>
      <c r="L461" s="162"/>
      <c r="M461" s="162"/>
      <c r="N461" s="162"/>
      <c r="O461" s="153" t="s">
        <v>79</v>
      </c>
      <c r="P461" s="163" t="s">
        <v>80</v>
      </c>
      <c r="Q461" s="163"/>
      <c r="R461" s="163">
        <v>10000</v>
      </c>
      <c r="S461" s="163"/>
      <c r="T461" s="163">
        <v>10000</v>
      </c>
      <c r="U461" s="163"/>
      <c r="V461" s="163" t="s">
        <v>101</v>
      </c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  <c r="AG461" s="163"/>
      <c r="AH461" s="163"/>
      <c r="AI461" s="163"/>
      <c r="AJ461" s="163"/>
      <c r="AK461" s="163"/>
      <c r="AL461" s="163"/>
      <c r="AM461" s="163"/>
      <c r="AN461" s="163"/>
      <c r="AO461" s="163"/>
      <c r="AP461" s="163"/>
      <c r="AQ461" s="163"/>
      <c r="AR461" s="163"/>
      <c r="AS461" s="163"/>
      <c r="AT461" s="163"/>
      <c r="AU461" s="163"/>
      <c r="AV461" s="163"/>
      <c r="AW461" s="163"/>
      <c r="AX461" s="163"/>
      <c r="AY461" s="163"/>
      <c r="AZ461" s="163"/>
      <c r="BA461" s="163"/>
      <c r="BB461" s="163"/>
      <c r="BC461" s="163"/>
      <c r="BD461" s="163"/>
      <c r="BE461" s="163"/>
      <c r="BF461" s="163"/>
      <c r="BG461" s="163"/>
      <c r="BH461" s="163"/>
      <c r="BI461" s="163"/>
      <c r="BJ461" s="163"/>
      <c r="BK461" s="163"/>
      <c r="BL461" s="163"/>
      <c r="BM461" s="163"/>
      <c r="BN461" s="163"/>
      <c r="BO461" s="163"/>
      <c r="BP461" s="163"/>
      <c r="BQ461" s="163"/>
      <c r="BR461" s="163"/>
      <c r="BS461" s="163"/>
      <c r="BT461" s="163"/>
      <c r="BU461" s="163"/>
      <c r="BV461" s="163"/>
      <c r="BW461" s="163"/>
      <c r="BX461" s="163"/>
      <c r="BY461" s="171"/>
    </row>
    <row r="462" spans="1:77" s="14" customFormat="1" x14ac:dyDescent="0.15">
      <c r="A462" s="151">
        <v>1406010011</v>
      </c>
      <c r="B462" s="152" t="s">
        <v>482</v>
      </c>
      <c r="C462" s="153" t="s">
        <v>100</v>
      </c>
      <c r="D462" s="153"/>
      <c r="E462" s="153" t="s">
        <v>425</v>
      </c>
      <c r="F462" s="153">
        <v>100000</v>
      </c>
      <c r="G462" s="153">
        <v>900</v>
      </c>
      <c r="H462" s="153"/>
      <c r="I462" s="153"/>
      <c r="J462" s="162"/>
      <c r="K462" s="162"/>
      <c r="L462" s="162"/>
      <c r="M462" s="162" t="s">
        <v>101</v>
      </c>
      <c r="N462" s="162" t="s">
        <v>845</v>
      </c>
      <c r="O462" s="153" t="s">
        <v>79</v>
      </c>
      <c r="P462" s="163" t="s">
        <v>80</v>
      </c>
      <c r="Q462" s="163">
        <v>140</v>
      </c>
      <c r="R462" s="163">
        <v>2500</v>
      </c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 t="s">
        <v>90</v>
      </c>
      <c r="AK462" s="163"/>
      <c r="AL462" s="163"/>
      <c r="AM462" s="163"/>
      <c r="AN462" s="163"/>
      <c r="AO462" s="163"/>
      <c r="AP462" s="163"/>
      <c r="AQ462" s="163"/>
      <c r="AR462" s="163"/>
      <c r="AS462" s="163"/>
      <c r="AT462" s="163"/>
      <c r="AU462" s="163"/>
      <c r="AV462" s="163"/>
      <c r="AW462" s="163"/>
      <c r="AX462" s="163">
        <v>1406010201</v>
      </c>
      <c r="AY462" s="163">
        <v>1406010101</v>
      </c>
      <c r="AZ462" s="163"/>
      <c r="BA462" s="163"/>
      <c r="BB462" s="163"/>
      <c r="BC462" s="163"/>
      <c r="BD462" s="163"/>
      <c r="BE462" s="163"/>
      <c r="BF462" s="163"/>
      <c r="BG462" s="163"/>
      <c r="BH462" s="163"/>
      <c r="BI462" s="163"/>
      <c r="BJ462" s="163"/>
      <c r="BK462" s="163"/>
      <c r="BL462" s="163"/>
      <c r="BM462" s="163"/>
      <c r="BN462" s="163"/>
      <c r="BO462" s="163"/>
      <c r="BP462" s="163"/>
      <c r="BQ462" s="163"/>
      <c r="BR462" s="163"/>
      <c r="BS462" s="163"/>
      <c r="BT462" s="163"/>
      <c r="BU462" s="163"/>
      <c r="BV462" s="163"/>
      <c r="BW462" s="163"/>
      <c r="BX462" s="163"/>
      <c r="BY462" s="171"/>
    </row>
    <row r="463" spans="1:77" s="14" customFormat="1" x14ac:dyDescent="0.15">
      <c r="A463" s="151">
        <v>1406010021</v>
      </c>
      <c r="B463" s="152" t="s">
        <v>482</v>
      </c>
      <c r="C463" s="153" t="s">
        <v>100</v>
      </c>
      <c r="D463" s="153"/>
      <c r="E463" s="153" t="s">
        <v>425</v>
      </c>
      <c r="F463" s="153">
        <v>100000</v>
      </c>
      <c r="G463" s="153">
        <v>900</v>
      </c>
      <c r="H463" s="153"/>
      <c r="I463" s="153"/>
      <c r="J463" s="162"/>
      <c r="K463" s="162"/>
      <c r="L463" s="162"/>
      <c r="M463" s="162" t="s">
        <v>101</v>
      </c>
      <c r="N463" s="162" t="s">
        <v>845</v>
      </c>
      <c r="O463" s="153" t="s">
        <v>79</v>
      </c>
      <c r="P463" s="163" t="s">
        <v>80</v>
      </c>
      <c r="Q463" s="163">
        <v>185</v>
      </c>
      <c r="R463" s="163">
        <v>2500</v>
      </c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  <c r="AG463" s="163"/>
      <c r="AH463" s="163"/>
      <c r="AI463" s="163"/>
      <c r="AJ463" s="163" t="s">
        <v>90</v>
      </c>
      <c r="AK463" s="163"/>
      <c r="AL463" s="163"/>
      <c r="AM463" s="163"/>
      <c r="AN463" s="163"/>
      <c r="AO463" s="163"/>
      <c r="AP463" s="163"/>
      <c r="AQ463" s="163"/>
      <c r="AR463" s="163"/>
      <c r="AS463" s="163"/>
      <c r="AT463" s="163"/>
      <c r="AU463" s="163"/>
      <c r="AV463" s="163"/>
      <c r="AW463" s="163"/>
      <c r="AX463" s="163">
        <v>1406010201</v>
      </c>
      <c r="AY463" s="163">
        <v>1406010101</v>
      </c>
      <c r="AZ463" s="163"/>
      <c r="BA463" s="163"/>
      <c r="BB463" s="163"/>
      <c r="BC463" s="163"/>
      <c r="BD463" s="163"/>
      <c r="BE463" s="163"/>
      <c r="BF463" s="163"/>
      <c r="BG463" s="163"/>
      <c r="BH463" s="163"/>
      <c r="BI463" s="163"/>
      <c r="BJ463" s="163"/>
      <c r="BK463" s="163"/>
      <c r="BL463" s="163"/>
      <c r="BM463" s="163"/>
      <c r="BN463" s="163"/>
      <c r="BO463" s="163"/>
      <c r="BP463" s="163"/>
      <c r="BQ463" s="163"/>
      <c r="BR463" s="163"/>
      <c r="BS463" s="163"/>
      <c r="BT463" s="163"/>
      <c r="BU463" s="163"/>
      <c r="BV463" s="163"/>
      <c r="BW463" s="163"/>
      <c r="BX463" s="163"/>
      <c r="BY463" s="171"/>
    </row>
    <row r="464" spans="1:77" s="14" customFormat="1" x14ac:dyDescent="0.15">
      <c r="A464" s="151">
        <v>1406010031</v>
      </c>
      <c r="B464" s="152" t="s">
        <v>482</v>
      </c>
      <c r="C464" s="153" t="s">
        <v>100</v>
      </c>
      <c r="D464" s="153"/>
      <c r="E464" s="153" t="s">
        <v>425</v>
      </c>
      <c r="F464" s="153">
        <v>100000</v>
      </c>
      <c r="G464" s="153">
        <v>900</v>
      </c>
      <c r="H464" s="153"/>
      <c r="I464" s="153"/>
      <c r="J464" s="162"/>
      <c r="K464" s="162"/>
      <c r="L464" s="162"/>
      <c r="M464" s="162" t="s">
        <v>101</v>
      </c>
      <c r="N464" s="162" t="s">
        <v>845</v>
      </c>
      <c r="O464" s="153" t="s">
        <v>79</v>
      </c>
      <c r="P464" s="163" t="s">
        <v>80</v>
      </c>
      <c r="Q464" s="163">
        <v>230</v>
      </c>
      <c r="R464" s="163">
        <v>2500</v>
      </c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 t="s">
        <v>90</v>
      </c>
      <c r="AK464" s="163"/>
      <c r="AL464" s="163"/>
      <c r="AM464" s="163"/>
      <c r="AN464" s="163"/>
      <c r="AO464" s="163"/>
      <c r="AP464" s="163"/>
      <c r="AQ464" s="163"/>
      <c r="AR464" s="163"/>
      <c r="AS464" s="163"/>
      <c r="AT464" s="163"/>
      <c r="AU464" s="163"/>
      <c r="AV464" s="163"/>
      <c r="AW464" s="163"/>
      <c r="AX464" s="163">
        <v>1406010201</v>
      </c>
      <c r="AY464" s="163">
        <v>1406010101</v>
      </c>
      <c r="AZ464" s="163"/>
      <c r="BA464" s="163"/>
      <c r="BB464" s="163"/>
      <c r="BC464" s="163"/>
      <c r="BD464" s="163"/>
      <c r="BE464" s="163"/>
      <c r="BF464" s="163"/>
      <c r="BG464" s="163"/>
      <c r="BH464" s="163"/>
      <c r="BI464" s="163"/>
      <c r="BJ464" s="163"/>
      <c r="BK464" s="163"/>
      <c r="BL464" s="163"/>
      <c r="BM464" s="163"/>
      <c r="BN464" s="163"/>
      <c r="BO464" s="163"/>
      <c r="BP464" s="163"/>
      <c r="BQ464" s="163"/>
      <c r="BR464" s="163"/>
      <c r="BS464" s="163"/>
      <c r="BT464" s="163"/>
      <c r="BU464" s="163"/>
      <c r="BV464" s="163"/>
      <c r="BW464" s="163"/>
      <c r="BX464" s="163"/>
      <c r="BY464" s="171"/>
    </row>
    <row r="465" spans="1:77" s="14" customFormat="1" x14ac:dyDescent="0.15">
      <c r="A465" s="151">
        <v>1406010041</v>
      </c>
      <c r="B465" s="152" t="s">
        <v>482</v>
      </c>
      <c r="C465" s="153" t="s">
        <v>100</v>
      </c>
      <c r="D465" s="153"/>
      <c r="E465" s="153" t="s">
        <v>425</v>
      </c>
      <c r="F465" s="153">
        <v>100000</v>
      </c>
      <c r="G465" s="153">
        <v>900</v>
      </c>
      <c r="H465" s="153"/>
      <c r="I465" s="153"/>
      <c r="J465" s="162"/>
      <c r="K465" s="162"/>
      <c r="L465" s="162"/>
      <c r="M465" s="162" t="s">
        <v>101</v>
      </c>
      <c r="N465" s="162" t="s">
        <v>845</v>
      </c>
      <c r="O465" s="153" t="s">
        <v>79</v>
      </c>
      <c r="P465" s="163" t="s">
        <v>80</v>
      </c>
      <c r="Q465" s="163">
        <v>275</v>
      </c>
      <c r="R465" s="163">
        <v>2500</v>
      </c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  <c r="AG465" s="163"/>
      <c r="AH465" s="163"/>
      <c r="AI465" s="163"/>
      <c r="AJ465" s="163" t="s">
        <v>90</v>
      </c>
      <c r="AK465" s="163"/>
      <c r="AL465" s="163"/>
      <c r="AM465" s="163"/>
      <c r="AN465" s="163"/>
      <c r="AO465" s="163"/>
      <c r="AP465" s="163"/>
      <c r="AQ465" s="163"/>
      <c r="AR465" s="163"/>
      <c r="AS465" s="163"/>
      <c r="AT465" s="163"/>
      <c r="AU465" s="163"/>
      <c r="AV465" s="163"/>
      <c r="AW465" s="163"/>
      <c r="AX465" s="163">
        <v>1406010201</v>
      </c>
      <c r="AY465" s="163">
        <v>1406010101</v>
      </c>
      <c r="AZ465" s="163"/>
      <c r="BA465" s="163"/>
      <c r="BB465" s="163"/>
      <c r="BC465" s="163"/>
      <c r="BD465" s="163"/>
      <c r="BE465" s="163"/>
      <c r="BF465" s="163"/>
      <c r="BG465" s="163"/>
      <c r="BH465" s="163"/>
      <c r="BI465" s="163"/>
      <c r="BJ465" s="163"/>
      <c r="BK465" s="163"/>
      <c r="BL465" s="163"/>
      <c r="BM465" s="163"/>
      <c r="BN465" s="163"/>
      <c r="BO465" s="163"/>
      <c r="BP465" s="163"/>
      <c r="BQ465" s="163"/>
      <c r="BR465" s="163"/>
      <c r="BS465" s="163"/>
      <c r="BT465" s="163"/>
      <c r="BU465" s="163"/>
      <c r="BV465" s="163"/>
      <c r="BW465" s="163"/>
      <c r="BX465" s="163"/>
      <c r="BY465" s="171"/>
    </row>
    <row r="466" spans="1:77" s="14" customFormat="1" x14ac:dyDescent="0.15">
      <c r="A466" s="151">
        <v>1406010012</v>
      </c>
      <c r="B466" s="152" t="s">
        <v>483</v>
      </c>
      <c r="C466" s="153" t="s">
        <v>89</v>
      </c>
      <c r="D466" s="153"/>
      <c r="E466" s="153" t="s">
        <v>78</v>
      </c>
      <c r="F466" s="153"/>
      <c r="G466" s="153"/>
      <c r="H466" s="153"/>
      <c r="I466" s="153"/>
      <c r="J466" s="162"/>
      <c r="K466" s="162"/>
      <c r="L466" s="162"/>
      <c r="M466" s="162"/>
      <c r="N466" s="162"/>
      <c r="O466" s="153" t="s">
        <v>90</v>
      </c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>
        <v>1406010301</v>
      </c>
      <c r="AE466" s="163"/>
      <c r="AF466" s="163"/>
      <c r="AG466" s="163"/>
      <c r="AH466" s="163"/>
      <c r="AI466" s="163"/>
      <c r="AJ466" s="163"/>
      <c r="AK466" s="163"/>
      <c r="AL466" s="163"/>
      <c r="AM466" s="163"/>
      <c r="AN466" s="163"/>
      <c r="AO466" s="163"/>
      <c r="AP466" s="163"/>
      <c r="AQ466" s="163"/>
      <c r="AR466" s="163"/>
      <c r="AS466" s="163"/>
      <c r="AT466" s="163"/>
      <c r="AU466" s="163"/>
      <c r="AV466" s="163"/>
      <c r="AW466" s="163"/>
      <c r="AX466" s="163"/>
      <c r="AY466" s="163"/>
      <c r="AZ466" s="163"/>
      <c r="BA466" s="163"/>
      <c r="BB466" s="163"/>
      <c r="BC466" s="163"/>
      <c r="BD466" s="163"/>
      <c r="BE466" s="163"/>
      <c r="BF466" s="163"/>
      <c r="BG466" s="163"/>
      <c r="BH466" s="163"/>
      <c r="BI466" s="163"/>
      <c r="BJ466" s="163"/>
      <c r="BK466" s="163"/>
      <c r="BL466" s="163"/>
      <c r="BM466" s="163"/>
      <c r="BN466" s="163"/>
      <c r="BO466" s="163"/>
      <c r="BP466" s="163"/>
      <c r="BQ466" s="163"/>
      <c r="BR466" s="163"/>
      <c r="BS466" s="163"/>
      <c r="BT466" s="163"/>
      <c r="BU466" s="163"/>
      <c r="BV466" s="163"/>
      <c r="BW466" s="163"/>
      <c r="BX466" s="163"/>
      <c r="BY466" s="171"/>
    </row>
    <row r="467" spans="1:77" s="14" customFormat="1" x14ac:dyDescent="0.15">
      <c r="A467" s="151">
        <v>1406010022</v>
      </c>
      <c r="B467" s="152" t="s">
        <v>483</v>
      </c>
      <c r="C467" s="153" t="s">
        <v>89</v>
      </c>
      <c r="D467" s="153"/>
      <c r="E467" s="153" t="s">
        <v>78</v>
      </c>
      <c r="F467" s="153"/>
      <c r="G467" s="153"/>
      <c r="H467" s="153"/>
      <c r="I467" s="153"/>
      <c r="J467" s="162"/>
      <c r="K467" s="162"/>
      <c r="L467" s="162"/>
      <c r="M467" s="162"/>
      <c r="N467" s="162"/>
      <c r="O467" s="153" t="s">
        <v>90</v>
      </c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>
        <v>1406010301</v>
      </c>
      <c r="AE467" s="163"/>
      <c r="AF467" s="163"/>
      <c r="AG467" s="163"/>
      <c r="AH467" s="163"/>
      <c r="AI467" s="163"/>
      <c r="AJ467" s="163"/>
      <c r="AK467" s="163"/>
      <c r="AL467" s="163"/>
      <c r="AM467" s="163"/>
      <c r="AN467" s="163"/>
      <c r="AO467" s="163"/>
      <c r="AP467" s="163"/>
      <c r="AQ467" s="163"/>
      <c r="AR467" s="163"/>
      <c r="AS467" s="163"/>
      <c r="AT467" s="163"/>
      <c r="AU467" s="163"/>
      <c r="AV467" s="163"/>
      <c r="AW467" s="163"/>
      <c r="AX467" s="163"/>
      <c r="AY467" s="163"/>
      <c r="AZ467" s="163"/>
      <c r="BA467" s="163"/>
      <c r="BB467" s="163"/>
      <c r="BC467" s="163"/>
      <c r="BD467" s="163"/>
      <c r="BE467" s="163"/>
      <c r="BF467" s="163"/>
      <c r="BG467" s="163"/>
      <c r="BH467" s="163"/>
      <c r="BI467" s="163"/>
      <c r="BJ467" s="163"/>
      <c r="BK467" s="163"/>
      <c r="BL467" s="163"/>
      <c r="BM467" s="163"/>
      <c r="BN467" s="163"/>
      <c r="BO467" s="163"/>
      <c r="BP467" s="163"/>
      <c r="BQ467" s="163"/>
      <c r="BR467" s="163"/>
      <c r="BS467" s="163"/>
      <c r="BT467" s="163"/>
      <c r="BU467" s="163"/>
      <c r="BV467" s="163"/>
      <c r="BW467" s="163"/>
      <c r="BX467" s="163"/>
      <c r="BY467" s="171"/>
    </row>
    <row r="468" spans="1:77" s="14" customFormat="1" x14ac:dyDescent="0.15">
      <c r="A468" s="151">
        <v>1406010032</v>
      </c>
      <c r="B468" s="152" t="s">
        <v>483</v>
      </c>
      <c r="C468" s="153" t="s">
        <v>89</v>
      </c>
      <c r="D468" s="153"/>
      <c r="E468" s="153" t="s">
        <v>78</v>
      </c>
      <c r="F468" s="153"/>
      <c r="G468" s="153"/>
      <c r="H468" s="153"/>
      <c r="I468" s="153"/>
      <c r="J468" s="162"/>
      <c r="K468" s="162"/>
      <c r="L468" s="162"/>
      <c r="M468" s="162"/>
      <c r="N468" s="162"/>
      <c r="O468" s="153" t="s">
        <v>90</v>
      </c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>
        <v>1406010301</v>
      </c>
      <c r="AE468" s="163"/>
      <c r="AF468" s="163"/>
      <c r="AG468" s="163"/>
      <c r="AH468" s="163"/>
      <c r="AI468" s="163"/>
      <c r="AJ468" s="163"/>
      <c r="AK468" s="163"/>
      <c r="AL468" s="163"/>
      <c r="AM468" s="163"/>
      <c r="AN468" s="163"/>
      <c r="AO468" s="163"/>
      <c r="AP468" s="163"/>
      <c r="AQ468" s="163"/>
      <c r="AR468" s="163"/>
      <c r="AS468" s="163"/>
      <c r="AT468" s="163"/>
      <c r="AU468" s="163"/>
      <c r="AV468" s="163"/>
      <c r="AW468" s="163"/>
      <c r="AX468" s="163"/>
      <c r="AY468" s="163"/>
      <c r="AZ468" s="163"/>
      <c r="BA468" s="163"/>
      <c r="BB468" s="163"/>
      <c r="BC468" s="163"/>
      <c r="BD468" s="163"/>
      <c r="BE468" s="163"/>
      <c r="BF468" s="163"/>
      <c r="BG468" s="163"/>
      <c r="BH468" s="163"/>
      <c r="BI468" s="163"/>
      <c r="BJ468" s="163"/>
      <c r="BK468" s="163"/>
      <c r="BL468" s="163"/>
      <c r="BM468" s="163"/>
      <c r="BN468" s="163"/>
      <c r="BO468" s="163"/>
      <c r="BP468" s="163"/>
      <c r="BQ468" s="163"/>
      <c r="BR468" s="163"/>
      <c r="BS468" s="163"/>
      <c r="BT468" s="163"/>
      <c r="BU468" s="163"/>
      <c r="BV468" s="163"/>
      <c r="BW468" s="163"/>
      <c r="BX468" s="163"/>
      <c r="BY468" s="171"/>
    </row>
    <row r="469" spans="1:77" s="14" customFormat="1" x14ac:dyDescent="0.15">
      <c r="A469" s="151">
        <v>1406010042</v>
      </c>
      <c r="B469" s="152" t="s">
        <v>483</v>
      </c>
      <c r="C469" s="153" t="s">
        <v>89</v>
      </c>
      <c r="D469" s="153"/>
      <c r="E469" s="153" t="s">
        <v>78</v>
      </c>
      <c r="F469" s="153"/>
      <c r="G469" s="153"/>
      <c r="H469" s="153"/>
      <c r="I469" s="153"/>
      <c r="J469" s="162"/>
      <c r="K469" s="162"/>
      <c r="L469" s="162"/>
      <c r="M469" s="162"/>
      <c r="N469" s="162"/>
      <c r="O469" s="153" t="s">
        <v>90</v>
      </c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>
        <v>1406010301</v>
      </c>
      <c r="AE469" s="163"/>
      <c r="AF469" s="163"/>
      <c r="AG469" s="163"/>
      <c r="AH469" s="163"/>
      <c r="AI469" s="163"/>
      <c r="AJ469" s="163"/>
      <c r="AK469" s="163"/>
      <c r="AL469" s="163"/>
      <c r="AM469" s="163"/>
      <c r="AN469" s="163"/>
      <c r="AO469" s="163"/>
      <c r="AP469" s="163"/>
      <c r="AQ469" s="163"/>
      <c r="AR469" s="163"/>
      <c r="AS469" s="163"/>
      <c r="AT469" s="163"/>
      <c r="AU469" s="163"/>
      <c r="AV469" s="163"/>
      <c r="AW469" s="163"/>
      <c r="AX469" s="163"/>
      <c r="AY469" s="163"/>
      <c r="AZ469" s="163"/>
      <c r="BA469" s="163"/>
      <c r="BB469" s="163"/>
      <c r="BC469" s="163"/>
      <c r="BD469" s="163"/>
      <c r="BE469" s="163"/>
      <c r="BF469" s="163"/>
      <c r="BG469" s="163"/>
      <c r="BH469" s="163"/>
      <c r="BI469" s="163"/>
      <c r="BJ469" s="163"/>
      <c r="BK469" s="163"/>
      <c r="BL469" s="163"/>
      <c r="BM469" s="163"/>
      <c r="BN469" s="163"/>
      <c r="BO469" s="163"/>
      <c r="BP469" s="163"/>
      <c r="BQ469" s="163"/>
      <c r="BR469" s="163"/>
      <c r="BS469" s="163"/>
      <c r="BT469" s="163"/>
      <c r="BU469" s="163"/>
      <c r="BV469" s="163"/>
      <c r="BW469" s="163"/>
      <c r="BX469" s="163"/>
      <c r="BY469" s="171"/>
    </row>
    <row r="470" spans="1:77" s="14" customFormat="1" x14ac:dyDescent="0.15">
      <c r="A470" s="151">
        <v>1406020011</v>
      </c>
      <c r="B470" s="152" t="s">
        <v>484</v>
      </c>
      <c r="C470" s="153" t="s">
        <v>89</v>
      </c>
      <c r="D470" s="153"/>
      <c r="E470" s="153" t="s">
        <v>83</v>
      </c>
      <c r="F470" s="153">
        <v>60000</v>
      </c>
      <c r="G470" s="153"/>
      <c r="H470" s="153"/>
      <c r="I470" s="153"/>
      <c r="J470" s="162"/>
      <c r="K470" s="162"/>
      <c r="L470" s="162"/>
      <c r="M470" s="162"/>
      <c r="N470" s="162"/>
      <c r="O470" s="163" t="s">
        <v>98</v>
      </c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>
        <v>140602001</v>
      </c>
      <c r="AF470" s="163"/>
      <c r="AG470" s="163"/>
      <c r="AH470" s="163"/>
      <c r="AI470" s="163"/>
      <c r="AJ470" s="163"/>
      <c r="AK470" s="163"/>
      <c r="AL470" s="163"/>
      <c r="AM470" s="163"/>
      <c r="AN470" s="163"/>
      <c r="AO470" s="163"/>
      <c r="AP470" s="163"/>
      <c r="AQ470" s="163"/>
      <c r="AR470" s="163"/>
      <c r="AS470" s="163"/>
      <c r="AT470" s="163"/>
      <c r="AU470" s="163"/>
      <c r="AV470" s="163"/>
      <c r="AW470" s="163"/>
      <c r="AX470" s="163"/>
      <c r="AY470" s="163"/>
      <c r="AZ470" s="163"/>
      <c r="BA470" s="163"/>
      <c r="BB470" s="163"/>
      <c r="BC470" s="163"/>
      <c r="BD470" s="163"/>
      <c r="BE470" s="163"/>
      <c r="BF470" s="163"/>
      <c r="BG470" s="163"/>
      <c r="BH470" s="163"/>
      <c r="BI470" s="163"/>
      <c r="BJ470" s="163"/>
      <c r="BK470" s="163"/>
      <c r="BL470" s="163"/>
      <c r="BM470" s="163"/>
      <c r="BN470" s="163"/>
      <c r="BO470" s="163"/>
      <c r="BP470" s="163"/>
      <c r="BQ470" s="163"/>
      <c r="BR470" s="163"/>
      <c r="BS470" s="163"/>
      <c r="BT470" s="163"/>
      <c r="BU470" s="163"/>
      <c r="BV470" s="163"/>
      <c r="BW470" s="163"/>
      <c r="BX470" s="163"/>
      <c r="BY470" s="171"/>
    </row>
    <row r="471" spans="1:77" s="14" customFormat="1" x14ac:dyDescent="0.15">
      <c r="A471" s="151">
        <v>1406020021</v>
      </c>
      <c r="B471" s="152" t="s">
        <v>484</v>
      </c>
      <c r="C471" s="153" t="s">
        <v>89</v>
      </c>
      <c r="D471" s="153"/>
      <c r="E471" s="153" t="s">
        <v>83</v>
      </c>
      <c r="F471" s="153">
        <v>60000</v>
      </c>
      <c r="G471" s="153"/>
      <c r="H471" s="153"/>
      <c r="I471" s="153"/>
      <c r="J471" s="162"/>
      <c r="K471" s="162"/>
      <c r="L471" s="162"/>
      <c r="M471" s="162"/>
      <c r="N471" s="162"/>
      <c r="O471" s="163" t="s">
        <v>98</v>
      </c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>
        <v>140602002</v>
      </c>
      <c r="AF471" s="163"/>
      <c r="AG471" s="163"/>
      <c r="AH471" s="163"/>
      <c r="AI471" s="163"/>
      <c r="AJ471" s="163"/>
      <c r="AK471" s="163"/>
      <c r="AL471" s="163"/>
      <c r="AM471" s="163"/>
      <c r="AN471" s="163"/>
      <c r="AO471" s="163"/>
      <c r="AP471" s="163"/>
      <c r="AQ471" s="163"/>
      <c r="AR471" s="163"/>
      <c r="AS471" s="163"/>
      <c r="AT471" s="163"/>
      <c r="AU471" s="163"/>
      <c r="AV471" s="163"/>
      <c r="AW471" s="163"/>
      <c r="AX471" s="163"/>
      <c r="AY471" s="163"/>
      <c r="AZ471" s="163"/>
      <c r="BA471" s="163"/>
      <c r="BB471" s="163"/>
      <c r="BC471" s="163"/>
      <c r="BD471" s="163"/>
      <c r="BE471" s="163"/>
      <c r="BF471" s="163"/>
      <c r="BG471" s="163"/>
      <c r="BH471" s="163"/>
      <c r="BI471" s="163"/>
      <c r="BJ471" s="163"/>
      <c r="BK471" s="163"/>
      <c r="BL471" s="163"/>
      <c r="BM471" s="163"/>
      <c r="BN471" s="163"/>
      <c r="BO471" s="163"/>
      <c r="BP471" s="163"/>
      <c r="BQ471" s="163"/>
      <c r="BR471" s="163"/>
      <c r="BS471" s="163"/>
      <c r="BT471" s="163"/>
      <c r="BU471" s="163"/>
      <c r="BV471" s="163"/>
      <c r="BW471" s="163"/>
      <c r="BX471" s="163"/>
      <c r="BY471" s="171"/>
    </row>
    <row r="472" spans="1:77" s="14" customFormat="1" x14ac:dyDescent="0.15">
      <c r="A472" s="151">
        <v>1406020031</v>
      </c>
      <c r="B472" s="152" t="s">
        <v>484</v>
      </c>
      <c r="C472" s="153" t="s">
        <v>89</v>
      </c>
      <c r="D472" s="153"/>
      <c r="E472" s="153" t="s">
        <v>83</v>
      </c>
      <c r="F472" s="153">
        <v>60000</v>
      </c>
      <c r="G472" s="153"/>
      <c r="H472" s="153"/>
      <c r="I472" s="153"/>
      <c r="J472" s="162"/>
      <c r="K472" s="162"/>
      <c r="L472" s="162"/>
      <c r="M472" s="162"/>
      <c r="N472" s="162"/>
      <c r="O472" s="163" t="s">
        <v>98</v>
      </c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>
        <v>140602003</v>
      </c>
      <c r="AF472" s="163"/>
      <c r="AG472" s="163"/>
      <c r="AH472" s="163"/>
      <c r="AI472" s="163"/>
      <c r="AJ472" s="163"/>
      <c r="AK472" s="163"/>
      <c r="AL472" s="163"/>
      <c r="AM472" s="163"/>
      <c r="AN472" s="163"/>
      <c r="AO472" s="163"/>
      <c r="AP472" s="163"/>
      <c r="AQ472" s="163"/>
      <c r="AR472" s="163"/>
      <c r="AS472" s="163"/>
      <c r="AT472" s="163"/>
      <c r="AU472" s="163"/>
      <c r="AV472" s="163"/>
      <c r="AW472" s="163"/>
      <c r="AX472" s="163"/>
      <c r="AY472" s="163"/>
      <c r="AZ472" s="163"/>
      <c r="BA472" s="163"/>
      <c r="BB472" s="163"/>
      <c r="BC472" s="163"/>
      <c r="BD472" s="163"/>
      <c r="BE472" s="163"/>
      <c r="BF472" s="163"/>
      <c r="BG472" s="163"/>
      <c r="BH472" s="163"/>
      <c r="BI472" s="163"/>
      <c r="BJ472" s="163"/>
      <c r="BK472" s="163"/>
      <c r="BL472" s="163"/>
      <c r="BM472" s="163"/>
      <c r="BN472" s="163"/>
      <c r="BO472" s="163"/>
      <c r="BP472" s="163"/>
      <c r="BQ472" s="163"/>
      <c r="BR472" s="163"/>
      <c r="BS472" s="163"/>
      <c r="BT472" s="163"/>
      <c r="BU472" s="163"/>
      <c r="BV472" s="163"/>
      <c r="BW472" s="163"/>
      <c r="BX472" s="163"/>
      <c r="BY472" s="171"/>
    </row>
    <row r="473" spans="1:77" s="14" customFormat="1" x14ac:dyDescent="0.15">
      <c r="A473" s="151">
        <v>1406020041</v>
      </c>
      <c r="B473" s="152" t="s">
        <v>484</v>
      </c>
      <c r="C473" s="153" t="s">
        <v>89</v>
      </c>
      <c r="D473" s="153"/>
      <c r="E473" s="153" t="s">
        <v>83</v>
      </c>
      <c r="F473" s="153">
        <v>60000</v>
      </c>
      <c r="G473" s="153"/>
      <c r="H473" s="153"/>
      <c r="I473" s="153"/>
      <c r="J473" s="162"/>
      <c r="K473" s="162"/>
      <c r="L473" s="162"/>
      <c r="M473" s="162"/>
      <c r="N473" s="162"/>
      <c r="O473" s="163" t="s">
        <v>98</v>
      </c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>
        <v>140602004</v>
      </c>
      <c r="AF473" s="163"/>
      <c r="AG473" s="163"/>
      <c r="AH473" s="163"/>
      <c r="AI473" s="163"/>
      <c r="AJ473" s="163"/>
      <c r="AK473" s="163"/>
      <c r="AL473" s="163"/>
      <c r="AM473" s="163"/>
      <c r="AN473" s="163"/>
      <c r="AO473" s="163"/>
      <c r="AP473" s="163"/>
      <c r="AQ473" s="163"/>
      <c r="AR473" s="163"/>
      <c r="AS473" s="163"/>
      <c r="AT473" s="163"/>
      <c r="AU473" s="163"/>
      <c r="AV473" s="163"/>
      <c r="AW473" s="163"/>
      <c r="AX473" s="163"/>
      <c r="AY473" s="163"/>
      <c r="AZ473" s="163"/>
      <c r="BA473" s="163"/>
      <c r="BB473" s="163"/>
      <c r="BC473" s="163"/>
      <c r="BD473" s="163"/>
      <c r="BE473" s="163"/>
      <c r="BF473" s="163"/>
      <c r="BG473" s="163"/>
      <c r="BH473" s="163"/>
      <c r="BI473" s="163"/>
      <c r="BJ473" s="163"/>
      <c r="BK473" s="163"/>
      <c r="BL473" s="163"/>
      <c r="BM473" s="163"/>
      <c r="BN473" s="163"/>
      <c r="BO473" s="163"/>
      <c r="BP473" s="163"/>
      <c r="BQ473" s="163"/>
      <c r="BR473" s="163"/>
      <c r="BS473" s="163"/>
      <c r="BT473" s="163"/>
      <c r="BU473" s="163"/>
      <c r="BV473" s="163"/>
      <c r="BW473" s="163"/>
      <c r="BX473" s="163"/>
      <c r="BY473" s="171"/>
    </row>
    <row r="474" spans="1:77" s="14" customFormat="1" x14ac:dyDescent="0.15">
      <c r="A474" s="151">
        <v>1406020012</v>
      </c>
      <c r="B474" s="152" t="s">
        <v>485</v>
      </c>
      <c r="C474" s="153" t="s">
        <v>100</v>
      </c>
      <c r="D474" s="153"/>
      <c r="E474" s="153" t="s">
        <v>78</v>
      </c>
      <c r="F474" s="153"/>
      <c r="G474" s="153"/>
      <c r="H474" s="153"/>
      <c r="I474" s="153"/>
      <c r="J474" s="162"/>
      <c r="K474" s="162"/>
      <c r="L474" s="162"/>
      <c r="M474" s="162"/>
      <c r="N474" s="162"/>
      <c r="O474" s="153" t="s">
        <v>90</v>
      </c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>
        <v>1406020301</v>
      </c>
      <c r="AD474" s="163">
        <v>1406020201</v>
      </c>
      <c r="AE474" s="163"/>
      <c r="AF474" s="163"/>
      <c r="AG474" s="163"/>
      <c r="AH474" s="163"/>
      <c r="AI474" s="163"/>
      <c r="AJ474" s="163"/>
      <c r="AK474" s="163"/>
      <c r="AL474" s="163"/>
      <c r="AM474" s="163"/>
      <c r="AN474" s="163"/>
      <c r="AO474" s="163"/>
      <c r="AP474" s="163"/>
      <c r="AQ474" s="163"/>
      <c r="AR474" s="163"/>
      <c r="AS474" s="163"/>
      <c r="AT474" s="163"/>
      <c r="AU474" s="163"/>
      <c r="AV474" s="163"/>
      <c r="AW474" s="163"/>
      <c r="AX474" s="163"/>
      <c r="AY474" s="163"/>
      <c r="AZ474" s="163"/>
      <c r="BA474" s="163"/>
      <c r="BB474" s="163"/>
      <c r="BC474" s="163"/>
      <c r="BD474" s="163"/>
      <c r="BE474" s="163"/>
      <c r="BF474" s="163"/>
      <c r="BG474" s="163"/>
      <c r="BH474" s="163"/>
      <c r="BI474" s="163"/>
      <c r="BJ474" s="163"/>
      <c r="BK474" s="163"/>
      <c r="BL474" s="163"/>
      <c r="BM474" s="163"/>
      <c r="BN474" s="163"/>
      <c r="BO474" s="163"/>
      <c r="BP474" s="163"/>
      <c r="BQ474" s="163"/>
      <c r="BR474" s="163"/>
      <c r="BS474" s="163"/>
      <c r="BT474" s="163"/>
      <c r="BU474" s="163"/>
      <c r="BV474" s="163"/>
      <c r="BW474" s="163"/>
      <c r="BX474" s="163"/>
      <c r="BY474" s="171"/>
    </row>
    <row r="475" spans="1:77" s="14" customFormat="1" x14ac:dyDescent="0.15">
      <c r="A475" s="151">
        <v>1406020022</v>
      </c>
      <c r="B475" s="152" t="s">
        <v>485</v>
      </c>
      <c r="C475" s="153" t="s">
        <v>100</v>
      </c>
      <c r="D475" s="153"/>
      <c r="E475" s="153" t="s">
        <v>78</v>
      </c>
      <c r="F475" s="153"/>
      <c r="G475" s="153"/>
      <c r="H475" s="153"/>
      <c r="I475" s="153"/>
      <c r="J475" s="162"/>
      <c r="K475" s="162"/>
      <c r="L475" s="162"/>
      <c r="M475" s="162"/>
      <c r="N475" s="162"/>
      <c r="O475" s="153" t="s">
        <v>90</v>
      </c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>
        <v>1406020301</v>
      </c>
      <c r="AD475" s="163">
        <v>1406020201</v>
      </c>
      <c r="AE475" s="163"/>
      <c r="AF475" s="163"/>
      <c r="AG475" s="163"/>
      <c r="AH475" s="163"/>
      <c r="AI475" s="163"/>
      <c r="AJ475" s="163"/>
      <c r="AK475" s="163"/>
      <c r="AL475" s="163"/>
      <c r="AM475" s="163"/>
      <c r="AN475" s="163"/>
      <c r="AO475" s="163"/>
      <c r="AP475" s="163"/>
      <c r="AQ475" s="163"/>
      <c r="AR475" s="163"/>
      <c r="AS475" s="163"/>
      <c r="AT475" s="163"/>
      <c r="AU475" s="163"/>
      <c r="AV475" s="163"/>
      <c r="AW475" s="163"/>
      <c r="AX475" s="163"/>
      <c r="AY475" s="163"/>
      <c r="AZ475" s="163"/>
      <c r="BA475" s="163"/>
      <c r="BB475" s="163"/>
      <c r="BC475" s="163"/>
      <c r="BD475" s="163"/>
      <c r="BE475" s="163"/>
      <c r="BF475" s="163"/>
      <c r="BG475" s="163"/>
      <c r="BH475" s="163"/>
      <c r="BI475" s="163"/>
      <c r="BJ475" s="163"/>
      <c r="BK475" s="163"/>
      <c r="BL475" s="163"/>
      <c r="BM475" s="163"/>
      <c r="BN475" s="163"/>
      <c r="BO475" s="163"/>
      <c r="BP475" s="163"/>
      <c r="BQ475" s="163"/>
      <c r="BR475" s="163"/>
      <c r="BS475" s="163"/>
      <c r="BT475" s="163"/>
      <c r="BU475" s="163"/>
      <c r="BV475" s="163"/>
      <c r="BW475" s="163"/>
      <c r="BX475" s="163"/>
      <c r="BY475" s="171"/>
    </row>
    <row r="476" spans="1:77" s="14" customFormat="1" x14ac:dyDescent="0.15">
      <c r="A476" s="151">
        <v>1406020032</v>
      </c>
      <c r="B476" s="152" t="s">
        <v>485</v>
      </c>
      <c r="C476" s="153" t="s">
        <v>100</v>
      </c>
      <c r="D476" s="153"/>
      <c r="E476" s="153" t="s">
        <v>78</v>
      </c>
      <c r="F476" s="153"/>
      <c r="G476" s="153"/>
      <c r="H476" s="153"/>
      <c r="I476" s="153"/>
      <c r="J476" s="162"/>
      <c r="K476" s="162"/>
      <c r="L476" s="162"/>
      <c r="M476" s="162"/>
      <c r="N476" s="162"/>
      <c r="O476" s="153" t="s">
        <v>90</v>
      </c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>
        <v>1406020301</v>
      </c>
      <c r="AD476" s="163">
        <v>1406020201</v>
      </c>
      <c r="AE476" s="163"/>
      <c r="AF476" s="163"/>
      <c r="AG476" s="163"/>
      <c r="AH476" s="163"/>
      <c r="AI476" s="163"/>
      <c r="AJ476" s="163"/>
      <c r="AK476" s="163"/>
      <c r="AL476" s="163"/>
      <c r="AM476" s="163"/>
      <c r="AN476" s="163"/>
      <c r="AO476" s="163"/>
      <c r="AP476" s="163"/>
      <c r="AQ476" s="163"/>
      <c r="AR476" s="163"/>
      <c r="AS476" s="163"/>
      <c r="AT476" s="163"/>
      <c r="AU476" s="163"/>
      <c r="AV476" s="163"/>
      <c r="AW476" s="163"/>
      <c r="AX476" s="163"/>
      <c r="AY476" s="163"/>
      <c r="AZ476" s="163"/>
      <c r="BA476" s="163"/>
      <c r="BB476" s="163"/>
      <c r="BC476" s="163"/>
      <c r="BD476" s="163"/>
      <c r="BE476" s="163"/>
      <c r="BF476" s="163"/>
      <c r="BG476" s="163"/>
      <c r="BH476" s="163"/>
      <c r="BI476" s="163"/>
      <c r="BJ476" s="163"/>
      <c r="BK476" s="163"/>
      <c r="BL476" s="163"/>
      <c r="BM476" s="163"/>
      <c r="BN476" s="163"/>
      <c r="BO476" s="163"/>
      <c r="BP476" s="163"/>
      <c r="BQ476" s="163"/>
      <c r="BR476" s="163"/>
      <c r="BS476" s="163"/>
      <c r="BT476" s="163"/>
      <c r="BU476" s="163"/>
      <c r="BV476" s="163"/>
      <c r="BW476" s="163"/>
      <c r="BX476" s="163"/>
      <c r="BY476" s="171"/>
    </row>
    <row r="477" spans="1:77" s="14" customFormat="1" x14ac:dyDescent="0.15">
      <c r="A477" s="151">
        <v>1406020042</v>
      </c>
      <c r="B477" s="152" t="s">
        <v>485</v>
      </c>
      <c r="C477" s="153" t="s">
        <v>100</v>
      </c>
      <c r="D477" s="153"/>
      <c r="E477" s="153" t="s">
        <v>78</v>
      </c>
      <c r="F477" s="153"/>
      <c r="G477" s="153"/>
      <c r="H477" s="153"/>
      <c r="I477" s="153"/>
      <c r="J477" s="162"/>
      <c r="K477" s="162"/>
      <c r="L477" s="162"/>
      <c r="M477" s="162"/>
      <c r="N477" s="162"/>
      <c r="O477" s="153" t="s">
        <v>90</v>
      </c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>
        <v>1406020301</v>
      </c>
      <c r="AD477" s="163">
        <v>1406020201</v>
      </c>
      <c r="AE477" s="163"/>
      <c r="AF477" s="163"/>
      <c r="AG477" s="163"/>
      <c r="AH477" s="163"/>
      <c r="AI477" s="163"/>
      <c r="AJ477" s="163"/>
      <c r="AK477" s="163"/>
      <c r="AL477" s="163"/>
      <c r="AM477" s="163"/>
      <c r="AN477" s="163"/>
      <c r="AO477" s="163"/>
      <c r="AP477" s="163"/>
      <c r="AQ477" s="163"/>
      <c r="AR477" s="163"/>
      <c r="AS477" s="163"/>
      <c r="AT477" s="163"/>
      <c r="AU477" s="163"/>
      <c r="AV477" s="163"/>
      <c r="AW477" s="163"/>
      <c r="AX477" s="163"/>
      <c r="AY477" s="163"/>
      <c r="AZ477" s="163"/>
      <c r="BA477" s="163"/>
      <c r="BB477" s="163"/>
      <c r="BC477" s="163"/>
      <c r="BD477" s="163"/>
      <c r="BE477" s="163"/>
      <c r="BF477" s="163"/>
      <c r="BG477" s="163"/>
      <c r="BH477" s="163"/>
      <c r="BI477" s="163"/>
      <c r="BJ477" s="163"/>
      <c r="BK477" s="163"/>
      <c r="BL477" s="163"/>
      <c r="BM477" s="163"/>
      <c r="BN477" s="163"/>
      <c r="BO477" s="163"/>
      <c r="BP477" s="163"/>
      <c r="BQ477" s="163"/>
      <c r="BR477" s="163"/>
      <c r="BS477" s="163"/>
      <c r="BT477" s="163"/>
      <c r="BU477" s="163"/>
      <c r="BV477" s="163"/>
      <c r="BW477" s="163"/>
      <c r="BX477" s="163"/>
      <c r="BY477" s="171"/>
    </row>
    <row r="478" spans="1:77" s="14" customFormat="1" x14ac:dyDescent="0.15">
      <c r="A478" s="151">
        <v>1406020013</v>
      </c>
      <c r="B478" s="152" t="s">
        <v>486</v>
      </c>
      <c r="C478" s="153" t="s">
        <v>100</v>
      </c>
      <c r="D478" s="153"/>
      <c r="E478" s="153" t="s">
        <v>78</v>
      </c>
      <c r="F478" s="153"/>
      <c r="G478" s="153"/>
      <c r="H478" s="153"/>
      <c r="I478" s="153"/>
      <c r="J478" s="162"/>
      <c r="K478" s="162"/>
      <c r="L478" s="162"/>
      <c r="M478" s="162"/>
      <c r="N478" s="162" t="s">
        <v>845</v>
      </c>
      <c r="O478" s="153" t="s">
        <v>79</v>
      </c>
      <c r="P478" s="163" t="s">
        <v>102</v>
      </c>
      <c r="Q478" s="163">
        <v>40</v>
      </c>
      <c r="R478" s="163">
        <v>500</v>
      </c>
      <c r="S478" s="163"/>
      <c r="T478" s="188"/>
      <c r="U478" s="163">
        <v>5000</v>
      </c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  <c r="AL478" s="163"/>
      <c r="AM478" s="163"/>
      <c r="AN478" s="163"/>
      <c r="AO478" s="163"/>
      <c r="AP478" s="163"/>
      <c r="AQ478" s="163"/>
      <c r="AR478" s="163"/>
      <c r="AS478" s="163"/>
      <c r="AT478" s="163"/>
      <c r="AU478" s="163"/>
      <c r="AV478" s="163"/>
      <c r="AW478" s="163"/>
      <c r="AX478" s="163"/>
      <c r="AY478" s="163"/>
      <c r="AZ478" s="163"/>
      <c r="BA478" s="163"/>
      <c r="BB478" s="163"/>
      <c r="BC478" s="163"/>
      <c r="BD478" s="163"/>
      <c r="BE478" s="163"/>
      <c r="BF478" s="163"/>
      <c r="BG478" s="163"/>
      <c r="BH478" s="163"/>
      <c r="BI478" s="163"/>
      <c r="BJ478" s="163"/>
      <c r="BK478" s="163"/>
      <c r="BL478" s="163"/>
      <c r="BM478" s="163"/>
      <c r="BN478" s="163"/>
      <c r="BO478" s="163"/>
      <c r="BP478" s="163"/>
      <c r="BQ478" s="163"/>
      <c r="BR478" s="163"/>
      <c r="BS478" s="163"/>
      <c r="BT478" s="163"/>
      <c r="BU478" s="163"/>
      <c r="BV478" s="163"/>
      <c r="BW478" s="163"/>
      <c r="BX478" s="163"/>
      <c r="BY478" s="171"/>
    </row>
    <row r="479" spans="1:77" s="14" customFormat="1" x14ac:dyDescent="0.15">
      <c r="A479" s="151">
        <v>1406020023</v>
      </c>
      <c r="B479" s="152" t="s">
        <v>486</v>
      </c>
      <c r="C479" s="153" t="s">
        <v>100</v>
      </c>
      <c r="D479" s="153"/>
      <c r="E479" s="153" t="s">
        <v>78</v>
      </c>
      <c r="F479" s="153"/>
      <c r="G479" s="153"/>
      <c r="H479" s="153"/>
      <c r="I479" s="153"/>
      <c r="J479" s="162"/>
      <c r="K479" s="162"/>
      <c r="L479" s="162"/>
      <c r="M479" s="162"/>
      <c r="N479" s="162" t="s">
        <v>845</v>
      </c>
      <c r="O479" s="153" t="s">
        <v>79</v>
      </c>
      <c r="P479" s="163" t="s">
        <v>102</v>
      </c>
      <c r="Q479" s="163">
        <v>60</v>
      </c>
      <c r="R479" s="163">
        <v>500</v>
      </c>
      <c r="S479" s="163"/>
      <c r="T479" s="188"/>
      <c r="U479" s="163">
        <v>5000</v>
      </c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3"/>
      <c r="AJ479" s="163"/>
      <c r="AK479" s="163"/>
      <c r="AL479" s="163"/>
      <c r="AM479" s="163"/>
      <c r="AN479" s="163"/>
      <c r="AO479" s="163"/>
      <c r="AP479" s="163"/>
      <c r="AQ479" s="163"/>
      <c r="AR479" s="163"/>
      <c r="AS479" s="163"/>
      <c r="AT479" s="163"/>
      <c r="AU479" s="163"/>
      <c r="AV479" s="163"/>
      <c r="AW479" s="163"/>
      <c r="AX479" s="163"/>
      <c r="AY479" s="163"/>
      <c r="AZ479" s="163"/>
      <c r="BA479" s="163"/>
      <c r="BB479" s="163"/>
      <c r="BC479" s="163"/>
      <c r="BD479" s="163"/>
      <c r="BE479" s="163"/>
      <c r="BF479" s="163"/>
      <c r="BG479" s="163"/>
      <c r="BH479" s="163"/>
      <c r="BI479" s="163"/>
      <c r="BJ479" s="163"/>
      <c r="BK479" s="163"/>
      <c r="BL479" s="163"/>
      <c r="BM479" s="163"/>
      <c r="BN479" s="163"/>
      <c r="BO479" s="163"/>
      <c r="BP479" s="163"/>
      <c r="BQ479" s="163"/>
      <c r="BR479" s="163"/>
      <c r="BS479" s="163"/>
      <c r="BT479" s="163"/>
      <c r="BU479" s="163"/>
      <c r="BV479" s="163"/>
      <c r="BW479" s="163"/>
      <c r="BX479" s="163"/>
      <c r="BY479" s="171"/>
    </row>
    <row r="480" spans="1:77" s="14" customFormat="1" x14ac:dyDescent="0.15">
      <c r="A480" s="151">
        <v>1406020033</v>
      </c>
      <c r="B480" s="152" t="s">
        <v>486</v>
      </c>
      <c r="C480" s="153" t="s">
        <v>100</v>
      </c>
      <c r="D480" s="153"/>
      <c r="E480" s="153" t="s">
        <v>78</v>
      </c>
      <c r="F480" s="153"/>
      <c r="G480" s="153"/>
      <c r="H480" s="153"/>
      <c r="I480" s="153"/>
      <c r="J480" s="162"/>
      <c r="K480" s="162"/>
      <c r="L480" s="162"/>
      <c r="M480" s="162"/>
      <c r="N480" s="162" t="s">
        <v>845</v>
      </c>
      <c r="O480" s="153" t="s">
        <v>79</v>
      </c>
      <c r="P480" s="163" t="s">
        <v>102</v>
      </c>
      <c r="Q480" s="163">
        <v>80</v>
      </c>
      <c r="R480" s="163">
        <v>500</v>
      </c>
      <c r="S480" s="163"/>
      <c r="T480" s="188"/>
      <c r="U480" s="163">
        <v>5000</v>
      </c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/>
      <c r="AL480" s="163"/>
      <c r="AM480" s="163"/>
      <c r="AN480" s="163"/>
      <c r="AO480" s="163"/>
      <c r="AP480" s="163"/>
      <c r="AQ480" s="163"/>
      <c r="AR480" s="163"/>
      <c r="AS480" s="163"/>
      <c r="AT480" s="163"/>
      <c r="AU480" s="163"/>
      <c r="AV480" s="163"/>
      <c r="AW480" s="163"/>
      <c r="AX480" s="163"/>
      <c r="AY480" s="163"/>
      <c r="AZ480" s="163"/>
      <c r="BA480" s="163"/>
      <c r="BB480" s="163"/>
      <c r="BC480" s="163"/>
      <c r="BD480" s="163"/>
      <c r="BE480" s="163"/>
      <c r="BF480" s="163"/>
      <c r="BG480" s="163"/>
      <c r="BH480" s="163"/>
      <c r="BI480" s="163"/>
      <c r="BJ480" s="163"/>
      <c r="BK480" s="163"/>
      <c r="BL480" s="163"/>
      <c r="BM480" s="163"/>
      <c r="BN480" s="163"/>
      <c r="BO480" s="163"/>
      <c r="BP480" s="163"/>
      <c r="BQ480" s="163"/>
      <c r="BR480" s="163"/>
      <c r="BS480" s="163"/>
      <c r="BT480" s="163"/>
      <c r="BU480" s="163"/>
      <c r="BV480" s="163"/>
      <c r="BW480" s="163"/>
      <c r="BX480" s="163"/>
      <c r="BY480" s="171"/>
    </row>
    <row r="481" spans="1:77" s="14" customFormat="1" x14ac:dyDescent="0.15">
      <c r="A481" s="151">
        <v>1406020043</v>
      </c>
      <c r="B481" s="152" t="s">
        <v>486</v>
      </c>
      <c r="C481" s="153" t="s">
        <v>100</v>
      </c>
      <c r="D481" s="153"/>
      <c r="E481" s="153" t="s">
        <v>78</v>
      </c>
      <c r="F481" s="153"/>
      <c r="G481" s="153"/>
      <c r="H481" s="153"/>
      <c r="I481" s="153"/>
      <c r="J481" s="162"/>
      <c r="K481" s="162"/>
      <c r="L481" s="162"/>
      <c r="M481" s="162"/>
      <c r="N481" s="162" t="s">
        <v>845</v>
      </c>
      <c r="O481" s="153" t="s">
        <v>79</v>
      </c>
      <c r="P481" s="163" t="s">
        <v>102</v>
      </c>
      <c r="Q481" s="163">
        <v>100</v>
      </c>
      <c r="R481" s="163">
        <v>500</v>
      </c>
      <c r="S481" s="163"/>
      <c r="T481" s="188"/>
      <c r="U481" s="163">
        <v>5000</v>
      </c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3"/>
      <c r="AJ481" s="163"/>
      <c r="AK481" s="163"/>
      <c r="AL481" s="163"/>
      <c r="AM481" s="163"/>
      <c r="AN481" s="163"/>
      <c r="AO481" s="163"/>
      <c r="AP481" s="163"/>
      <c r="AQ481" s="163"/>
      <c r="AR481" s="163"/>
      <c r="AS481" s="163"/>
      <c r="AT481" s="163"/>
      <c r="AU481" s="163"/>
      <c r="AV481" s="163"/>
      <c r="AW481" s="163"/>
      <c r="AX481" s="163"/>
      <c r="AY481" s="163"/>
      <c r="AZ481" s="163"/>
      <c r="BA481" s="163"/>
      <c r="BB481" s="163"/>
      <c r="BC481" s="163"/>
      <c r="BD481" s="163"/>
      <c r="BE481" s="163"/>
      <c r="BF481" s="163"/>
      <c r="BG481" s="163"/>
      <c r="BH481" s="163"/>
      <c r="BI481" s="163"/>
      <c r="BJ481" s="163"/>
      <c r="BK481" s="163"/>
      <c r="BL481" s="163"/>
      <c r="BM481" s="163"/>
      <c r="BN481" s="163"/>
      <c r="BO481" s="163"/>
      <c r="BP481" s="163"/>
      <c r="BQ481" s="163"/>
      <c r="BR481" s="163"/>
      <c r="BS481" s="163"/>
      <c r="BT481" s="163"/>
      <c r="BU481" s="163"/>
      <c r="BV481" s="163"/>
      <c r="BW481" s="163"/>
      <c r="BX481" s="163"/>
      <c r="BY481" s="171"/>
    </row>
    <row r="482" spans="1:77" s="14" customFormat="1" x14ac:dyDescent="0.15">
      <c r="A482" s="151">
        <v>1406020014</v>
      </c>
      <c r="B482" s="152" t="s">
        <v>487</v>
      </c>
      <c r="C482" s="153" t="s">
        <v>100</v>
      </c>
      <c r="D482" s="153"/>
      <c r="E482" s="153" t="s">
        <v>83</v>
      </c>
      <c r="F482" s="153">
        <v>60000</v>
      </c>
      <c r="G482" s="153"/>
      <c r="H482" s="153"/>
      <c r="I482" s="153"/>
      <c r="J482" s="162"/>
      <c r="K482" s="162"/>
      <c r="L482" s="162"/>
      <c r="M482" s="162"/>
      <c r="N482" s="162"/>
      <c r="O482" s="15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  <c r="AL482" s="163"/>
      <c r="AM482" s="163"/>
      <c r="AN482" s="163"/>
      <c r="AO482" s="163"/>
      <c r="AP482" s="163"/>
      <c r="AQ482" s="163"/>
      <c r="AR482" s="163"/>
      <c r="AS482" s="163"/>
      <c r="AT482" s="163"/>
      <c r="AU482" s="163"/>
      <c r="AV482" s="163"/>
      <c r="AW482" s="163"/>
      <c r="AX482" s="163"/>
      <c r="AY482" s="163"/>
      <c r="AZ482" s="163"/>
      <c r="BA482" s="163"/>
      <c r="BB482" s="163"/>
      <c r="BC482" s="163"/>
      <c r="BD482" s="163"/>
      <c r="BE482" s="163"/>
      <c r="BF482" s="163"/>
      <c r="BG482" s="163"/>
      <c r="BH482" s="163"/>
      <c r="BI482" s="163"/>
      <c r="BJ482" s="163"/>
      <c r="BK482" s="163"/>
      <c r="BL482" s="163"/>
      <c r="BM482" s="163"/>
      <c r="BN482" s="163"/>
      <c r="BO482" s="163"/>
      <c r="BP482" s="163"/>
      <c r="BQ482" s="163"/>
      <c r="BR482" s="163"/>
      <c r="BS482" s="163"/>
      <c r="BT482" s="163"/>
      <c r="BU482" s="163"/>
      <c r="BV482" s="163"/>
      <c r="BW482" s="163"/>
      <c r="BX482" s="163"/>
      <c r="BY482" s="171"/>
    </row>
    <row r="483" spans="1:77" s="14" customFormat="1" x14ac:dyDescent="0.15">
      <c r="A483" s="151">
        <v>1406040011</v>
      </c>
      <c r="B483" s="152" t="s">
        <v>488</v>
      </c>
      <c r="C483" s="153" t="s">
        <v>100</v>
      </c>
      <c r="D483" s="153"/>
      <c r="E483" s="153" t="s">
        <v>83</v>
      </c>
      <c r="F483" s="153">
        <v>50000</v>
      </c>
      <c r="G483" s="153"/>
      <c r="H483" s="153"/>
      <c r="I483" s="153"/>
      <c r="J483" s="162"/>
      <c r="K483" s="162"/>
      <c r="L483" s="162"/>
      <c r="M483" s="162" t="s">
        <v>101</v>
      </c>
      <c r="N483" s="162" t="s">
        <v>845</v>
      </c>
      <c r="O483" s="153" t="s">
        <v>79</v>
      </c>
      <c r="P483" s="163" t="s">
        <v>80</v>
      </c>
      <c r="Q483" s="163">
        <v>280</v>
      </c>
      <c r="R483" s="163">
        <v>4000</v>
      </c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3"/>
      <c r="AJ483" s="163" t="s">
        <v>90</v>
      </c>
      <c r="AK483" s="163"/>
      <c r="AL483" s="163"/>
      <c r="AM483" s="163"/>
      <c r="AN483" s="163"/>
      <c r="AO483" s="163"/>
      <c r="AP483" s="163"/>
      <c r="AQ483" s="163"/>
      <c r="AR483" s="163"/>
      <c r="AS483" s="163"/>
      <c r="AT483" s="163"/>
      <c r="AU483" s="163"/>
      <c r="AV483" s="163"/>
      <c r="AW483" s="163"/>
      <c r="AX483" s="163">
        <v>100004301</v>
      </c>
      <c r="AY483" s="163">
        <v>100004301</v>
      </c>
      <c r="AZ483" s="163"/>
      <c r="BA483" s="163"/>
      <c r="BB483" s="163"/>
      <c r="BC483" s="163"/>
      <c r="BD483" s="163"/>
      <c r="BE483" s="163"/>
      <c r="BF483" s="163"/>
      <c r="BG483" s="163"/>
      <c r="BH483" s="163"/>
      <c r="BI483" s="163"/>
      <c r="BJ483" s="163"/>
      <c r="BK483" s="163"/>
      <c r="BL483" s="163"/>
      <c r="BM483" s="163"/>
      <c r="BN483" s="163"/>
      <c r="BO483" s="163"/>
      <c r="BP483" s="163"/>
      <c r="BQ483" s="163"/>
      <c r="BR483" s="163"/>
      <c r="BS483" s="163"/>
      <c r="BT483" s="163"/>
      <c r="BU483" s="163"/>
      <c r="BV483" s="163"/>
      <c r="BW483" s="163"/>
      <c r="BX483" s="163"/>
      <c r="BY483" s="171"/>
    </row>
    <row r="484" spans="1:77" s="14" customFormat="1" x14ac:dyDescent="0.15">
      <c r="A484" s="151">
        <v>1406040021</v>
      </c>
      <c r="B484" s="152" t="s">
        <v>488</v>
      </c>
      <c r="C484" s="153" t="s">
        <v>100</v>
      </c>
      <c r="D484" s="153"/>
      <c r="E484" s="153" t="s">
        <v>83</v>
      </c>
      <c r="F484" s="153">
        <v>50000</v>
      </c>
      <c r="G484" s="153"/>
      <c r="H484" s="153"/>
      <c r="I484" s="153"/>
      <c r="J484" s="162"/>
      <c r="K484" s="162"/>
      <c r="L484" s="162"/>
      <c r="M484" s="162" t="s">
        <v>101</v>
      </c>
      <c r="N484" s="162" t="s">
        <v>845</v>
      </c>
      <c r="O484" s="153" t="s">
        <v>79</v>
      </c>
      <c r="P484" s="163" t="s">
        <v>80</v>
      </c>
      <c r="Q484" s="163">
        <v>400</v>
      </c>
      <c r="R484" s="163">
        <v>4000</v>
      </c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 t="s">
        <v>90</v>
      </c>
      <c r="AK484" s="163"/>
      <c r="AL484" s="163"/>
      <c r="AM484" s="163"/>
      <c r="AN484" s="163"/>
      <c r="AO484" s="163"/>
      <c r="AP484" s="163"/>
      <c r="AQ484" s="163"/>
      <c r="AR484" s="163"/>
      <c r="AS484" s="163"/>
      <c r="AT484" s="163"/>
      <c r="AU484" s="163"/>
      <c r="AV484" s="163"/>
      <c r="AW484" s="163"/>
      <c r="AX484" s="163">
        <v>100004301</v>
      </c>
      <c r="AY484" s="163">
        <v>100004301</v>
      </c>
      <c r="AZ484" s="163"/>
      <c r="BA484" s="163"/>
      <c r="BB484" s="163"/>
      <c r="BC484" s="163"/>
      <c r="BD484" s="163"/>
      <c r="BE484" s="163"/>
      <c r="BF484" s="163"/>
      <c r="BG484" s="163"/>
      <c r="BH484" s="163"/>
      <c r="BI484" s="163"/>
      <c r="BJ484" s="163"/>
      <c r="BK484" s="163"/>
      <c r="BL484" s="163"/>
      <c r="BM484" s="163"/>
      <c r="BN484" s="163"/>
      <c r="BO484" s="163"/>
      <c r="BP484" s="163"/>
      <c r="BQ484" s="163"/>
      <c r="BR484" s="163"/>
      <c r="BS484" s="163"/>
      <c r="BT484" s="163"/>
      <c r="BU484" s="163"/>
      <c r="BV484" s="163"/>
      <c r="BW484" s="163"/>
      <c r="BX484" s="163"/>
      <c r="BY484" s="171"/>
    </row>
    <row r="485" spans="1:77" s="18" customFormat="1" x14ac:dyDescent="0.15">
      <c r="A485" s="148">
        <v>1405001011</v>
      </c>
      <c r="B485" s="158" t="s">
        <v>489</v>
      </c>
      <c r="C485" s="154" t="s">
        <v>77</v>
      </c>
      <c r="D485" s="150"/>
      <c r="E485" s="150" t="s">
        <v>78</v>
      </c>
      <c r="F485" s="150"/>
      <c r="G485" s="150"/>
      <c r="H485" s="150"/>
      <c r="I485" s="150"/>
      <c r="J485" s="166"/>
      <c r="K485" s="166"/>
      <c r="L485" s="166"/>
      <c r="M485" s="166"/>
      <c r="N485" s="166"/>
      <c r="O485" s="150" t="s">
        <v>79</v>
      </c>
      <c r="P485" s="167" t="s">
        <v>80</v>
      </c>
      <c r="Q485" s="167"/>
      <c r="R485" s="167">
        <v>10000</v>
      </c>
      <c r="S485" s="167"/>
      <c r="T485" s="167">
        <v>10000</v>
      </c>
      <c r="U485" s="167"/>
      <c r="V485" s="167" t="s">
        <v>101</v>
      </c>
      <c r="W485" s="167"/>
      <c r="X485" s="167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  <c r="AP485" s="167"/>
      <c r="AQ485" s="167"/>
      <c r="AR485" s="167"/>
      <c r="AS485" s="167"/>
      <c r="AT485" s="167"/>
      <c r="AU485" s="167"/>
      <c r="AV485" s="167"/>
      <c r="AW485" s="167"/>
      <c r="AX485" s="167"/>
      <c r="AY485" s="167"/>
      <c r="AZ485" s="167"/>
      <c r="BA485" s="167"/>
      <c r="BB485" s="167"/>
      <c r="BC485" s="167"/>
      <c r="BD485" s="167"/>
      <c r="BE485" s="167"/>
      <c r="BF485" s="167"/>
      <c r="BG485" s="167"/>
      <c r="BH485" s="167"/>
      <c r="BI485" s="167"/>
      <c r="BJ485" s="167"/>
      <c r="BK485" s="167"/>
      <c r="BL485" s="167"/>
      <c r="BM485" s="167"/>
      <c r="BN485" s="167"/>
      <c r="BO485" s="167"/>
      <c r="BP485" s="167"/>
      <c r="BQ485" s="167"/>
      <c r="BR485" s="167"/>
      <c r="BS485" s="167"/>
      <c r="BT485" s="167"/>
      <c r="BU485" s="167"/>
      <c r="BV485" s="167"/>
      <c r="BW485" s="167"/>
      <c r="BX485" s="167"/>
      <c r="BY485" s="175"/>
    </row>
    <row r="486" spans="1:77" s="18" customFormat="1" x14ac:dyDescent="0.15">
      <c r="A486" s="148">
        <v>1405200011</v>
      </c>
      <c r="B486" s="158" t="s">
        <v>490</v>
      </c>
      <c r="C486" s="154" t="s">
        <v>89</v>
      </c>
      <c r="D486" s="150"/>
      <c r="E486" s="150" t="s">
        <v>78</v>
      </c>
      <c r="F486" s="150"/>
      <c r="G486" s="150"/>
      <c r="H486" s="150"/>
      <c r="I486" s="150"/>
      <c r="J486" s="166"/>
      <c r="K486" s="166"/>
      <c r="L486" s="166"/>
      <c r="M486" s="166"/>
      <c r="N486" s="166"/>
      <c r="O486" s="150" t="s">
        <v>491</v>
      </c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  <c r="AE486" s="167" t="s">
        <v>171</v>
      </c>
      <c r="AF486" s="167">
        <v>1</v>
      </c>
      <c r="AG486" s="167"/>
      <c r="AH486" s="167"/>
      <c r="AI486" s="167"/>
      <c r="AJ486" s="167"/>
      <c r="AK486" s="167"/>
      <c r="AL486" s="167"/>
      <c r="AM486" s="167"/>
      <c r="AN486" s="167"/>
      <c r="AO486" s="167"/>
      <c r="AP486" s="167"/>
      <c r="AQ486" s="167"/>
      <c r="AR486" s="167"/>
      <c r="AS486" s="167"/>
      <c r="AT486" s="167"/>
      <c r="AU486" s="167"/>
      <c r="AV486" s="167"/>
      <c r="AW486" s="167"/>
      <c r="AX486" s="167"/>
      <c r="AY486" s="167"/>
      <c r="AZ486" s="167"/>
      <c r="BA486" s="167"/>
      <c r="BB486" s="167"/>
      <c r="BC486" s="167"/>
      <c r="BD486" s="167"/>
      <c r="BE486" s="167"/>
      <c r="BF486" s="167"/>
      <c r="BG486" s="167"/>
      <c r="BH486" s="167"/>
      <c r="BI486" s="167"/>
      <c r="BJ486" s="167"/>
      <c r="BK486" s="167"/>
      <c r="BL486" s="167"/>
      <c r="BM486" s="167"/>
      <c r="BN486" s="167"/>
      <c r="BO486" s="167"/>
      <c r="BP486" s="167"/>
      <c r="BQ486" s="167"/>
      <c r="BR486" s="167"/>
      <c r="BS486" s="167"/>
      <c r="BT486" s="167"/>
      <c r="BU486" s="167"/>
      <c r="BV486" s="167"/>
      <c r="BW486" s="167"/>
      <c r="BX486" s="167"/>
      <c r="BY486" s="175"/>
    </row>
    <row r="487" spans="1:77" s="18" customFormat="1" x14ac:dyDescent="0.15">
      <c r="A487" s="148">
        <v>1405200012</v>
      </c>
      <c r="B487" s="158" t="s">
        <v>492</v>
      </c>
      <c r="C487" s="154" t="s">
        <v>89</v>
      </c>
      <c r="D487" s="150"/>
      <c r="E487" s="150" t="s">
        <v>78</v>
      </c>
      <c r="F487" s="150"/>
      <c r="G487" s="150"/>
      <c r="H487" s="150"/>
      <c r="I487" s="150"/>
      <c r="J487" s="166"/>
      <c r="K487" s="166"/>
      <c r="L487" s="166"/>
      <c r="M487" s="166"/>
      <c r="N487" s="166"/>
      <c r="O487" s="150" t="s">
        <v>90</v>
      </c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>
        <v>1405200101</v>
      </c>
      <c r="AE487" s="167"/>
      <c r="AF487" s="167" t="s">
        <v>493</v>
      </c>
      <c r="AG487" s="167">
        <v>3</v>
      </c>
      <c r="AH487" s="167"/>
      <c r="AI487" s="167"/>
      <c r="AJ487" s="167"/>
      <c r="AK487" s="167"/>
      <c r="AL487" s="167"/>
      <c r="AM487" s="167"/>
      <c r="AN487" s="167"/>
      <c r="AO487" s="167"/>
      <c r="AP487" s="167"/>
      <c r="AQ487" s="167"/>
      <c r="AR487" s="167"/>
      <c r="AS487" s="167"/>
      <c r="AT487" s="167"/>
      <c r="AU487" s="167"/>
      <c r="AV487" s="167"/>
      <c r="AW487" s="167"/>
      <c r="AX487" s="167"/>
      <c r="AY487" s="167"/>
      <c r="AZ487" s="167"/>
      <c r="BA487" s="167"/>
      <c r="BB487" s="167"/>
      <c r="BC487" s="167"/>
      <c r="BD487" s="167"/>
      <c r="BE487" s="167"/>
      <c r="BF487" s="167"/>
      <c r="BG487" s="167"/>
      <c r="BH487" s="167"/>
      <c r="BI487" s="167"/>
      <c r="BJ487" s="167"/>
      <c r="BK487" s="167"/>
      <c r="BL487" s="167"/>
      <c r="BM487" s="167"/>
      <c r="BN487" s="167"/>
      <c r="BO487" s="167"/>
      <c r="BP487" s="167"/>
      <c r="BQ487" s="167"/>
      <c r="BR487" s="167"/>
      <c r="BS487" s="167"/>
      <c r="BT487" s="167"/>
      <c r="BU487" s="167"/>
      <c r="BV487" s="167"/>
      <c r="BW487" s="167"/>
      <c r="BX487" s="167"/>
      <c r="BY487" s="175"/>
    </row>
    <row r="488" spans="1:77" s="18" customFormat="1" x14ac:dyDescent="0.15">
      <c r="A488" s="148">
        <v>1405100011</v>
      </c>
      <c r="B488" s="158" t="s">
        <v>494</v>
      </c>
      <c r="C488" s="154" t="s">
        <v>89</v>
      </c>
      <c r="D488" s="150"/>
      <c r="E488" s="150" t="s">
        <v>78</v>
      </c>
      <c r="F488" s="150"/>
      <c r="G488" s="150"/>
      <c r="H488" s="150"/>
      <c r="I488" s="150"/>
      <c r="J488" s="166"/>
      <c r="K488" s="166"/>
      <c r="L488" s="166"/>
      <c r="M488" s="166"/>
      <c r="N488" s="166"/>
      <c r="O488" s="150" t="s">
        <v>277</v>
      </c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>
        <v>14052001</v>
      </c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  <c r="AP488" s="167"/>
      <c r="AQ488" s="167"/>
      <c r="AR488" s="167"/>
      <c r="AS488" s="167"/>
      <c r="AT488" s="167"/>
      <c r="AU488" s="167"/>
      <c r="AV488" s="167"/>
      <c r="AW488" s="167"/>
      <c r="AX488" s="167"/>
      <c r="AY488" s="167"/>
      <c r="AZ488" s="167"/>
      <c r="BA488" s="167"/>
      <c r="BB488" s="167"/>
      <c r="BC488" s="167"/>
      <c r="BD488" s="167"/>
      <c r="BE488" s="167"/>
      <c r="BF488" s="167"/>
      <c r="BG488" s="167"/>
      <c r="BH488" s="167"/>
      <c r="BI488" s="167"/>
      <c r="BJ488" s="167"/>
      <c r="BK488" s="167"/>
      <c r="BL488" s="167"/>
      <c r="BM488" s="167"/>
      <c r="BN488" s="167"/>
      <c r="BO488" s="167"/>
      <c r="BP488" s="167"/>
      <c r="BQ488" s="167"/>
      <c r="BR488" s="167"/>
      <c r="BS488" s="167"/>
      <c r="BT488" s="167"/>
      <c r="BU488" s="167"/>
      <c r="BV488" s="167"/>
      <c r="BW488" s="167"/>
      <c r="BX488" s="167"/>
      <c r="BY488" s="175"/>
    </row>
    <row r="489" spans="1:77" s="18" customFormat="1" x14ac:dyDescent="0.15">
      <c r="A489" s="148">
        <v>1405010012</v>
      </c>
      <c r="B489" s="158" t="s">
        <v>495</v>
      </c>
      <c r="C489" s="154" t="s">
        <v>100</v>
      </c>
      <c r="D489" s="150"/>
      <c r="E489" s="150" t="s">
        <v>425</v>
      </c>
      <c r="F489" s="150">
        <v>180000</v>
      </c>
      <c r="G489" s="150">
        <v>600</v>
      </c>
      <c r="H489" s="150"/>
      <c r="I489" s="150"/>
      <c r="J489" s="166"/>
      <c r="K489" s="166"/>
      <c r="L489" s="166"/>
      <c r="M489" s="166" t="s">
        <v>101</v>
      </c>
      <c r="N489" s="166" t="s">
        <v>846</v>
      </c>
      <c r="O489" s="150" t="s">
        <v>79</v>
      </c>
      <c r="P489" s="167" t="s">
        <v>102</v>
      </c>
      <c r="Q489" s="167">
        <v>160</v>
      </c>
      <c r="R489" s="167"/>
      <c r="S489" s="167">
        <v>3500</v>
      </c>
      <c r="T489" s="167"/>
      <c r="U489" s="167">
        <v>3500</v>
      </c>
      <c r="V489" s="167"/>
      <c r="W489" s="167"/>
      <c r="X489" s="167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  <c r="AP489" s="167"/>
      <c r="AQ489" s="167"/>
      <c r="AR489" s="167"/>
      <c r="AS489" s="167"/>
      <c r="AT489" s="167"/>
      <c r="AU489" s="167"/>
      <c r="AV489" s="167"/>
      <c r="AW489" s="167"/>
      <c r="AX489" s="167"/>
      <c r="AY489" s="167"/>
      <c r="AZ489" s="167"/>
      <c r="BA489" s="167"/>
      <c r="BB489" s="167"/>
      <c r="BC489" s="167"/>
      <c r="BD489" s="167"/>
      <c r="BE489" s="167"/>
      <c r="BF489" s="167"/>
      <c r="BG489" s="167"/>
      <c r="BH489" s="167"/>
      <c r="BI489" s="167"/>
      <c r="BJ489" s="167"/>
      <c r="BK489" s="167"/>
      <c r="BL489" s="167"/>
      <c r="BM489" s="167"/>
      <c r="BN489" s="167"/>
      <c r="BO489" s="167"/>
      <c r="BP489" s="167"/>
      <c r="BQ489" s="167"/>
      <c r="BR489" s="167"/>
      <c r="BS489" s="167"/>
      <c r="BT489" s="167"/>
      <c r="BU489" s="167"/>
      <c r="BV489" s="167"/>
      <c r="BW489" s="167"/>
      <c r="BX489" s="167"/>
      <c r="BY489" s="175"/>
    </row>
    <row r="490" spans="1:77" s="18" customFormat="1" x14ac:dyDescent="0.15">
      <c r="A490" s="148">
        <v>1405010022</v>
      </c>
      <c r="B490" s="158" t="s">
        <v>495</v>
      </c>
      <c r="C490" s="154" t="s">
        <v>100</v>
      </c>
      <c r="D490" s="150"/>
      <c r="E490" s="150" t="s">
        <v>425</v>
      </c>
      <c r="F490" s="150">
        <v>180000</v>
      </c>
      <c r="G490" s="150">
        <v>600</v>
      </c>
      <c r="H490" s="150"/>
      <c r="I490" s="150"/>
      <c r="J490" s="166"/>
      <c r="K490" s="166"/>
      <c r="L490" s="166"/>
      <c r="M490" s="166" t="s">
        <v>101</v>
      </c>
      <c r="N490" s="166" t="s">
        <v>846</v>
      </c>
      <c r="O490" s="150" t="s">
        <v>79</v>
      </c>
      <c r="P490" s="167" t="s">
        <v>102</v>
      </c>
      <c r="Q490" s="167">
        <v>250</v>
      </c>
      <c r="R490" s="167"/>
      <c r="S490" s="167">
        <v>3500</v>
      </c>
      <c r="T490" s="167"/>
      <c r="U490" s="167">
        <v>3500</v>
      </c>
      <c r="V490" s="167"/>
      <c r="W490" s="167"/>
      <c r="X490" s="167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  <c r="AP490" s="167"/>
      <c r="AQ490" s="167"/>
      <c r="AR490" s="167"/>
      <c r="AS490" s="167"/>
      <c r="AT490" s="167"/>
      <c r="AU490" s="167"/>
      <c r="AV490" s="167"/>
      <c r="AW490" s="167"/>
      <c r="AX490" s="167"/>
      <c r="AY490" s="167"/>
      <c r="AZ490" s="167"/>
      <c r="BA490" s="167"/>
      <c r="BB490" s="167"/>
      <c r="BC490" s="167"/>
      <c r="BD490" s="167"/>
      <c r="BE490" s="167"/>
      <c r="BF490" s="167"/>
      <c r="BG490" s="167"/>
      <c r="BH490" s="167"/>
      <c r="BI490" s="167"/>
      <c r="BJ490" s="167"/>
      <c r="BK490" s="167"/>
      <c r="BL490" s="167"/>
      <c r="BM490" s="167"/>
      <c r="BN490" s="167"/>
      <c r="BO490" s="167"/>
      <c r="BP490" s="167"/>
      <c r="BQ490" s="167"/>
      <c r="BR490" s="167"/>
      <c r="BS490" s="167"/>
      <c r="BT490" s="167"/>
      <c r="BU490" s="167"/>
      <c r="BV490" s="167"/>
      <c r="BW490" s="167"/>
      <c r="BX490" s="167"/>
      <c r="BY490" s="175"/>
    </row>
    <row r="491" spans="1:77" s="18" customFormat="1" x14ac:dyDescent="0.15">
      <c r="A491" s="148">
        <v>1405010032</v>
      </c>
      <c r="B491" s="158" t="s">
        <v>495</v>
      </c>
      <c r="C491" s="154" t="s">
        <v>100</v>
      </c>
      <c r="D491" s="150"/>
      <c r="E491" s="150" t="s">
        <v>425</v>
      </c>
      <c r="F491" s="150">
        <v>180000</v>
      </c>
      <c r="G491" s="150">
        <v>600</v>
      </c>
      <c r="H491" s="150"/>
      <c r="I491" s="150"/>
      <c r="J491" s="166"/>
      <c r="K491" s="166"/>
      <c r="L491" s="166"/>
      <c r="M491" s="166" t="s">
        <v>101</v>
      </c>
      <c r="N491" s="166" t="s">
        <v>846</v>
      </c>
      <c r="O491" s="150" t="s">
        <v>79</v>
      </c>
      <c r="P491" s="167" t="s">
        <v>102</v>
      </c>
      <c r="Q491" s="167">
        <v>340</v>
      </c>
      <c r="R491" s="167"/>
      <c r="S491" s="167">
        <v>3500</v>
      </c>
      <c r="T491" s="167"/>
      <c r="U491" s="167">
        <v>3500</v>
      </c>
      <c r="V491" s="167"/>
      <c r="W491" s="167"/>
      <c r="X491" s="167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  <c r="AP491" s="167"/>
      <c r="AQ491" s="167"/>
      <c r="AR491" s="167"/>
      <c r="AS491" s="167"/>
      <c r="AT491" s="167"/>
      <c r="AU491" s="167"/>
      <c r="AV491" s="167"/>
      <c r="AW491" s="167"/>
      <c r="AX491" s="167"/>
      <c r="AY491" s="167"/>
      <c r="AZ491" s="167"/>
      <c r="BA491" s="167"/>
      <c r="BB491" s="167"/>
      <c r="BC491" s="167"/>
      <c r="BD491" s="167"/>
      <c r="BE491" s="167"/>
      <c r="BF491" s="167"/>
      <c r="BG491" s="167"/>
      <c r="BH491" s="167"/>
      <c r="BI491" s="167"/>
      <c r="BJ491" s="167"/>
      <c r="BK491" s="167"/>
      <c r="BL491" s="167"/>
      <c r="BM491" s="167"/>
      <c r="BN491" s="167"/>
      <c r="BO491" s="167"/>
      <c r="BP491" s="167"/>
      <c r="BQ491" s="167"/>
      <c r="BR491" s="167"/>
      <c r="BS491" s="167"/>
      <c r="BT491" s="167"/>
      <c r="BU491" s="167"/>
      <c r="BV491" s="167"/>
      <c r="BW491" s="167"/>
      <c r="BX491" s="167"/>
      <c r="BY491" s="175"/>
    </row>
    <row r="492" spans="1:77" s="18" customFormat="1" x14ac:dyDescent="0.15">
      <c r="A492" s="148">
        <v>1405010042</v>
      </c>
      <c r="B492" s="158" t="s">
        <v>495</v>
      </c>
      <c r="C492" s="154" t="s">
        <v>100</v>
      </c>
      <c r="D492" s="150"/>
      <c r="E492" s="150" t="s">
        <v>425</v>
      </c>
      <c r="F492" s="150">
        <v>180000</v>
      </c>
      <c r="G492" s="150">
        <v>600</v>
      </c>
      <c r="H492" s="150"/>
      <c r="I492" s="150"/>
      <c r="J492" s="166"/>
      <c r="K492" s="166"/>
      <c r="L492" s="166"/>
      <c r="M492" s="166" t="s">
        <v>101</v>
      </c>
      <c r="N492" s="166" t="s">
        <v>846</v>
      </c>
      <c r="O492" s="150" t="s">
        <v>79</v>
      </c>
      <c r="P492" s="167" t="s">
        <v>102</v>
      </c>
      <c r="Q492" s="167">
        <v>430</v>
      </c>
      <c r="R492" s="167"/>
      <c r="S492" s="167">
        <v>3500</v>
      </c>
      <c r="T492" s="167"/>
      <c r="U492" s="167">
        <v>3500</v>
      </c>
      <c r="V492" s="167"/>
      <c r="W492" s="167"/>
      <c r="X492" s="167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  <c r="AP492" s="167"/>
      <c r="AQ492" s="167"/>
      <c r="AR492" s="167"/>
      <c r="AS492" s="167"/>
      <c r="AT492" s="167"/>
      <c r="AU492" s="167"/>
      <c r="AV492" s="167"/>
      <c r="AW492" s="167"/>
      <c r="AX492" s="167"/>
      <c r="AY492" s="167"/>
      <c r="AZ492" s="167"/>
      <c r="BA492" s="167"/>
      <c r="BB492" s="167"/>
      <c r="BC492" s="167"/>
      <c r="BD492" s="167"/>
      <c r="BE492" s="167"/>
      <c r="BF492" s="167"/>
      <c r="BG492" s="167"/>
      <c r="BH492" s="167"/>
      <c r="BI492" s="167"/>
      <c r="BJ492" s="167"/>
      <c r="BK492" s="167"/>
      <c r="BL492" s="167"/>
      <c r="BM492" s="167"/>
      <c r="BN492" s="167"/>
      <c r="BO492" s="167"/>
      <c r="BP492" s="167"/>
      <c r="BQ492" s="167"/>
      <c r="BR492" s="167"/>
      <c r="BS492" s="167"/>
      <c r="BT492" s="167"/>
      <c r="BU492" s="167"/>
      <c r="BV492" s="167"/>
      <c r="BW492" s="167"/>
      <c r="BX492" s="167"/>
      <c r="BY492" s="175"/>
    </row>
    <row r="493" spans="1:77" s="18" customFormat="1" x14ac:dyDescent="0.15">
      <c r="A493" s="148">
        <v>1405010011</v>
      </c>
      <c r="B493" s="158" t="s">
        <v>496</v>
      </c>
      <c r="C493" s="154" t="s">
        <v>100</v>
      </c>
      <c r="D493" s="150"/>
      <c r="E493" s="150" t="s">
        <v>425</v>
      </c>
      <c r="F493" s="150">
        <v>180000</v>
      </c>
      <c r="G493" s="150">
        <v>600</v>
      </c>
      <c r="H493" s="150"/>
      <c r="I493" s="150"/>
      <c r="J493" s="166"/>
      <c r="K493" s="166"/>
      <c r="L493" s="166"/>
      <c r="M493" s="166" t="s">
        <v>101</v>
      </c>
      <c r="N493" s="166" t="s">
        <v>846</v>
      </c>
      <c r="O493" s="150" t="s">
        <v>90</v>
      </c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>
        <v>100001101</v>
      </c>
      <c r="AD493" s="167">
        <v>100001101</v>
      </c>
      <c r="AE493" s="167"/>
      <c r="AF493" s="167" t="s">
        <v>493</v>
      </c>
      <c r="AG493" s="167">
        <v>4</v>
      </c>
      <c r="AH493" s="167"/>
      <c r="AI493" s="167"/>
      <c r="AJ493" s="167"/>
      <c r="AK493" s="167"/>
      <c r="AL493" s="167"/>
      <c r="AM493" s="167"/>
      <c r="AN493" s="167"/>
      <c r="AO493" s="167"/>
      <c r="AP493" s="167"/>
      <c r="AQ493" s="167"/>
      <c r="AR493" s="167"/>
      <c r="AS493" s="167"/>
      <c r="AT493" s="167"/>
      <c r="AU493" s="167"/>
      <c r="AV493" s="167"/>
      <c r="AW493" s="167"/>
      <c r="AX493" s="167"/>
      <c r="AY493" s="167"/>
      <c r="AZ493" s="167"/>
      <c r="BA493" s="167"/>
      <c r="BB493" s="167"/>
      <c r="BC493" s="167"/>
      <c r="BD493" s="167"/>
      <c r="BE493" s="167"/>
      <c r="BF493" s="167"/>
      <c r="BG493" s="167"/>
      <c r="BH493" s="167"/>
      <c r="BI493" s="167"/>
      <c r="BJ493" s="167"/>
      <c r="BK493" s="167"/>
      <c r="BL493" s="167"/>
      <c r="BM493" s="167"/>
      <c r="BN493" s="167"/>
      <c r="BO493" s="167"/>
      <c r="BP493" s="167"/>
      <c r="BQ493" s="167"/>
      <c r="BR493" s="167"/>
      <c r="BS493" s="167"/>
      <c r="BT493" s="167"/>
      <c r="BU493" s="167"/>
      <c r="BV493" s="167"/>
      <c r="BW493" s="167"/>
      <c r="BX493" s="167"/>
      <c r="BY493" s="175"/>
    </row>
    <row r="494" spans="1:77" s="18" customFormat="1" x14ac:dyDescent="0.15">
      <c r="A494" s="148">
        <v>1405010021</v>
      </c>
      <c r="B494" s="158" t="s">
        <v>496</v>
      </c>
      <c r="C494" s="154" t="s">
        <v>100</v>
      </c>
      <c r="D494" s="150"/>
      <c r="E494" s="150" t="s">
        <v>425</v>
      </c>
      <c r="F494" s="150">
        <v>180000</v>
      </c>
      <c r="G494" s="150">
        <v>600</v>
      </c>
      <c r="H494" s="150"/>
      <c r="I494" s="150"/>
      <c r="J494" s="166"/>
      <c r="K494" s="166"/>
      <c r="L494" s="166"/>
      <c r="M494" s="166" t="s">
        <v>101</v>
      </c>
      <c r="N494" s="166" t="s">
        <v>846</v>
      </c>
      <c r="O494" s="150" t="s">
        <v>90</v>
      </c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>
        <v>100001101</v>
      </c>
      <c r="AD494" s="167">
        <v>100001101</v>
      </c>
      <c r="AE494" s="167"/>
      <c r="AF494" s="167" t="s">
        <v>493</v>
      </c>
      <c r="AG494" s="167">
        <v>4</v>
      </c>
      <c r="AH494" s="167"/>
      <c r="AI494" s="167"/>
      <c r="AJ494" s="167"/>
      <c r="AK494" s="167"/>
      <c r="AL494" s="167"/>
      <c r="AM494" s="167"/>
      <c r="AN494" s="167"/>
      <c r="AO494" s="167"/>
      <c r="AP494" s="167"/>
      <c r="AQ494" s="167"/>
      <c r="AR494" s="167"/>
      <c r="AS494" s="167"/>
      <c r="AT494" s="167"/>
      <c r="AU494" s="167"/>
      <c r="AV494" s="167"/>
      <c r="AW494" s="167"/>
      <c r="AX494" s="167"/>
      <c r="AY494" s="167"/>
      <c r="AZ494" s="167"/>
      <c r="BA494" s="167"/>
      <c r="BB494" s="167"/>
      <c r="BC494" s="167"/>
      <c r="BD494" s="167"/>
      <c r="BE494" s="167"/>
      <c r="BF494" s="167"/>
      <c r="BG494" s="167"/>
      <c r="BH494" s="167"/>
      <c r="BI494" s="167"/>
      <c r="BJ494" s="167"/>
      <c r="BK494" s="167"/>
      <c r="BL494" s="167"/>
      <c r="BM494" s="167"/>
      <c r="BN494" s="167"/>
      <c r="BO494" s="167"/>
      <c r="BP494" s="167"/>
      <c r="BQ494" s="167"/>
      <c r="BR494" s="167"/>
      <c r="BS494" s="167"/>
      <c r="BT494" s="167"/>
      <c r="BU494" s="167"/>
      <c r="BV494" s="167"/>
      <c r="BW494" s="167"/>
      <c r="BX494" s="167"/>
      <c r="BY494" s="175"/>
    </row>
    <row r="495" spans="1:77" s="18" customFormat="1" x14ac:dyDescent="0.15">
      <c r="A495" s="148">
        <v>1405010031</v>
      </c>
      <c r="B495" s="158" t="s">
        <v>496</v>
      </c>
      <c r="C495" s="154" t="s">
        <v>100</v>
      </c>
      <c r="D495" s="150"/>
      <c r="E495" s="150" t="s">
        <v>425</v>
      </c>
      <c r="F495" s="150">
        <v>180000</v>
      </c>
      <c r="G495" s="150">
        <v>600</v>
      </c>
      <c r="H495" s="150"/>
      <c r="I495" s="150"/>
      <c r="J495" s="166"/>
      <c r="K495" s="166"/>
      <c r="L495" s="166"/>
      <c r="M495" s="166" t="s">
        <v>101</v>
      </c>
      <c r="N495" s="166" t="s">
        <v>846</v>
      </c>
      <c r="O495" s="150" t="s">
        <v>90</v>
      </c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>
        <v>100001101</v>
      </c>
      <c r="AD495" s="167">
        <v>100001101</v>
      </c>
      <c r="AE495" s="167"/>
      <c r="AF495" s="167" t="s">
        <v>493</v>
      </c>
      <c r="AG495" s="167">
        <v>4</v>
      </c>
      <c r="AH495" s="167"/>
      <c r="AI495" s="167"/>
      <c r="AJ495" s="167"/>
      <c r="AK495" s="167"/>
      <c r="AL495" s="167"/>
      <c r="AM495" s="167"/>
      <c r="AN495" s="167"/>
      <c r="AO495" s="167"/>
      <c r="AP495" s="167"/>
      <c r="AQ495" s="167"/>
      <c r="AR495" s="167"/>
      <c r="AS495" s="167"/>
      <c r="AT495" s="167"/>
      <c r="AU495" s="167"/>
      <c r="AV495" s="167"/>
      <c r="AW495" s="167"/>
      <c r="AX495" s="167"/>
      <c r="AY495" s="167"/>
      <c r="AZ495" s="167"/>
      <c r="BA495" s="167"/>
      <c r="BB495" s="167"/>
      <c r="BC495" s="167"/>
      <c r="BD495" s="167"/>
      <c r="BE495" s="167"/>
      <c r="BF495" s="167"/>
      <c r="BG495" s="167"/>
      <c r="BH495" s="167"/>
      <c r="BI495" s="167"/>
      <c r="BJ495" s="167"/>
      <c r="BK495" s="167"/>
      <c r="BL495" s="167"/>
      <c r="BM495" s="167"/>
      <c r="BN495" s="167"/>
      <c r="BO495" s="167"/>
      <c r="BP495" s="167"/>
      <c r="BQ495" s="167"/>
      <c r="BR495" s="167"/>
      <c r="BS495" s="167"/>
      <c r="BT495" s="167"/>
      <c r="BU495" s="167"/>
      <c r="BV495" s="167"/>
      <c r="BW495" s="167"/>
      <c r="BX495" s="167"/>
      <c r="BY495" s="175"/>
    </row>
    <row r="496" spans="1:77" s="18" customFormat="1" x14ac:dyDescent="0.15">
      <c r="A496" s="148">
        <v>1405010041</v>
      </c>
      <c r="B496" s="158" t="s">
        <v>496</v>
      </c>
      <c r="C496" s="154" t="s">
        <v>100</v>
      </c>
      <c r="D496" s="150"/>
      <c r="E496" s="150" t="s">
        <v>425</v>
      </c>
      <c r="F496" s="150">
        <v>180000</v>
      </c>
      <c r="G496" s="150">
        <v>600</v>
      </c>
      <c r="H496" s="150"/>
      <c r="I496" s="150"/>
      <c r="J496" s="166"/>
      <c r="K496" s="166"/>
      <c r="L496" s="166"/>
      <c r="M496" s="166" t="s">
        <v>101</v>
      </c>
      <c r="N496" s="166" t="s">
        <v>846</v>
      </c>
      <c r="O496" s="150" t="s">
        <v>90</v>
      </c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>
        <v>100001101</v>
      </c>
      <c r="AD496" s="167">
        <v>100001101</v>
      </c>
      <c r="AE496" s="167"/>
      <c r="AF496" s="167" t="s">
        <v>493</v>
      </c>
      <c r="AG496" s="167">
        <v>4</v>
      </c>
      <c r="AH496" s="167"/>
      <c r="AI496" s="167"/>
      <c r="AJ496" s="167"/>
      <c r="AK496" s="167"/>
      <c r="AL496" s="167"/>
      <c r="AM496" s="167"/>
      <c r="AN496" s="167"/>
      <c r="AO496" s="167"/>
      <c r="AP496" s="167"/>
      <c r="AQ496" s="167"/>
      <c r="AR496" s="167"/>
      <c r="AS496" s="167"/>
      <c r="AT496" s="167"/>
      <c r="AU496" s="167"/>
      <c r="AV496" s="167"/>
      <c r="AW496" s="167"/>
      <c r="AX496" s="167"/>
      <c r="AY496" s="167"/>
      <c r="AZ496" s="167"/>
      <c r="BA496" s="167"/>
      <c r="BB496" s="167"/>
      <c r="BC496" s="167"/>
      <c r="BD496" s="167"/>
      <c r="BE496" s="167"/>
      <c r="BF496" s="167"/>
      <c r="BG496" s="167"/>
      <c r="BH496" s="167"/>
      <c r="BI496" s="167"/>
      <c r="BJ496" s="167"/>
      <c r="BK496" s="167"/>
      <c r="BL496" s="167"/>
      <c r="BM496" s="167"/>
      <c r="BN496" s="167"/>
      <c r="BO496" s="167"/>
      <c r="BP496" s="167"/>
      <c r="BQ496" s="167"/>
      <c r="BR496" s="167"/>
      <c r="BS496" s="167"/>
      <c r="BT496" s="167"/>
      <c r="BU496" s="167"/>
      <c r="BV496" s="167"/>
      <c r="BW496" s="167"/>
      <c r="BX496" s="167"/>
      <c r="BY496" s="175"/>
    </row>
    <row r="497" spans="1:77" s="18" customFormat="1" x14ac:dyDescent="0.15">
      <c r="A497" s="148">
        <v>1405020012</v>
      </c>
      <c r="B497" s="158" t="s">
        <v>497</v>
      </c>
      <c r="C497" s="154" t="s">
        <v>100</v>
      </c>
      <c r="D497" s="150"/>
      <c r="E497" s="150" t="s">
        <v>83</v>
      </c>
      <c r="F497" s="150">
        <v>70000</v>
      </c>
      <c r="G497" s="150"/>
      <c r="H497" s="150"/>
      <c r="I497" s="150"/>
      <c r="J497" s="166"/>
      <c r="K497" s="166"/>
      <c r="L497" s="166"/>
      <c r="M497" s="166" t="s">
        <v>101</v>
      </c>
      <c r="N497" s="166" t="s">
        <v>846</v>
      </c>
      <c r="O497" s="150" t="s">
        <v>79</v>
      </c>
      <c r="P497" s="167" t="s">
        <v>102</v>
      </c>
      <c r="Q497" s="167">
        <v>100</v>
      </c>
      <c r="R497" s="167"/>
      <c r="S497" s="167">
        <v>2000</v>
      </c>
      <c r="T497" s="167"/>
      <c r="U497" s="167">
        <v>3500</v>
      </c>
      <c r="V497" s="167"/>
      <c r="W497" s="167"/>
      <c r="X497" s="167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 t="s">
        <v>90</v>
      </c>
      <c r="AK497" s="167"/>
      <c r="AL497" s="167"/>
      <c r="AM497" s="167"/>
      <c r="AN497" s="167"/>
      <c r="AO497" s="167"/>
      <c r="AP497" s="167"/>
      <c r="AQ497" s="167"/>
      <c r="AR497" s="167"/>
      <c r="AS497" s="167"/>
      <c r="AT497" s="167"/>
      <c r="AU497" s="167"/>
      <c r="AV497" s="167"/>
      <c r="AW497" s="167"/>
      <c r="AX497" s="167">
        <v>1405020101</v>
      </c>
      <c r="AY497" s="167">
        <v>1405020101</v>
      </c>
      <c r="AZ497" s="167"/>
      <c r="BA497" s="167"/>
      <c r="BB497" s="167"/>
      <c r="BC497" s="167"/>
      <c r="BD497" s="167"/>
      <c r="BE497" s="167" t="s">
        <v>90</v>
      </c>
      <c r="BF497" s="167"/>
      <c r="BG497" s="167"/>
      <c r="BH497" s="167"/>
      <c r="BI497" s="167"/>
      <c r="BJ497" s="167"/>
      <c r="BK497" s="167"/>
      <c r="BL497" s="167"/>
      <c r="BM497" s="167"/>
      <c r="BN497" s="167"/>
      <c r="BO497" s="167"/>
      <c r="BP497" s="167"/>
      <c r="BQ497" s="167"/>
      <c r="BR497" s="167"/>
      <c r="BS497" s="167">
        <v>1405020301</v>
      </c>
      <c r="BT497" s="167">
        <v>1405020201</v>
      </c>
      <c r="BU497" s="167"/>
      <c r="BV497" s="167"/>
      <c r="BW497" s="167"/>
      <c r="BX497" s="167"/>
      <c r="BY497" s="175"/>
    </row>
    <row r="498" spans="1:77" s="18" customFormat="1" x14ac:dyDescent="0.15">
      <c r="A498" s="148">
        <v>1405020022</v>
      </c>
      <c r="B498" s="158" t="s">
        <v>497</v>
      </c>
      <c r="C498" s="154" t="s">
        <v>100</v>
      </c>
      <c r="D498" s="150"/>
      <c r="E498" s="150" t="s">
        <v>83</v>
      </c>
      <c r="F498" s="150">
        <v>70000</v>
      </c>
      <c r="G498" s="150"/>
      <c r="H498" s="150"/>
      <c r="I498" s="150"/>
      <c r="J498" s="166"/>
      <c r="K498" s="166"/>
      <c r="L498" s="166"/>
      <c r="M498" s="166" t="s">
        <v>101</v>
      </c>
      <c r="N498" s="166" t="s">
        <v>846</v>
      </c>
      <c r="O498" s="150" t="s">
        <v>79</v>
      </c>
      <c r="P498" s="167" t="s">
        <v>102</v>
      </c>
      <c r="Q498" s="167">
        <v>150</v>
      </c>
      <c r="R498" s="167"/>
      <c r="S498" s="167">
        <v>2000</v>
      </c>
      <c r="T498" s="167"/>
      <c r="U498" s="167">
        <v>3500</v>
      </c>
      <c r="V498" s="167"/>
      <c r="W498" s="167"/>
      <c r="X498" s="167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 t="s">
        <v>90</v>
      </c>
      <c r="AK498" s="167"/>
      <c r="AL498" s="167"/>
      <c r="AM498" s="167"/>
      <c r="AN498" s="167"/>
      <c r="AO498" s="167"/>
      <c r="AP498" s="167"/>
      <c r="AQ498" s="167"/>
      <c r="AR498" s="167"/>
      <c r="AS498" s="167"/>
      <c r="AT498" s="167"/>
      <c r="AU498" s="167"/>
      <c r="AV498" s="167"/>
      <c r="AW498" s="167"/>
      <c r="AX498" s="167">
        <v>1405020101</v>
      </c>
      <c r="AY498" s="167">
        <v>1405020101</v>
      </c>
      <c r="AZ498" s="167"/>
      <c r="BA498" s="167"/>
      <c r="BB498" s="167"/>
      <c r="BC498" s="167"/>
      <c r="BD498" s="167"/>
      <c r="BE498" s="167" t="s">
        <v>90</v>
      </c>
      <c r="BF498" s="167"/>
      <c r="BG498" s="167"/>
      <c r="BH498" s="167"/>
      <c r="BI498" s="167"/>
      <c r="BJ498" s="167"/>
      <c r="BK498" s="167"/>
      <c r="BL498" s="167"/>
      <c r="BM498" s="167"/>
      <c r="BN498" s="167"/>
      <c r="BO498" s="167"/>
      <c r="BP498" s="167"/>
      <c r="BQ498" s="167"/>
      <c r="BR498" s="167"/>
      <c r="BS498" s="167">
        <v>1405020301</v>
      </c>
      <c r="BT498" s="167">
        <v>1405020201</v>
      </c>
      <c r="BU498" s="167"/>
      <c r="BV498" s="167"/>
      <c r="BW498" s="167"/>
      <c r="BX498" s="167"/>
      <c r="BY498" s="175"/>
    </row>
    <row r="499" spans="1:77" s="18" customFormat="1" x14ac:dyDescent="0.15">
      <c r="A499" s="148">
        <v>1405020032</v>
      </c>
      <c r="B499" s="158" t="s">
        <v>497</v>
      </c>
      <c r="C499" s="154" t="s">
        <v>100</v>
      </c>
      <c r="D499" s="150"/>
      <c r="E499" s="150" t="s">
        <v>83</v>
      </c>
      <c r="F499" s="150">
        <v>70000</v>
      </c>
      <c r="G499" s="150"/>
      <c r="H499" s="150"/>
      <c r="I499" s="150"/>
      <c r="J499" s="166"/>
      <c r="K499" s="166"/>
      <c r="L499" s="166"/>
      <c r="M499" s="166" t="s">
        <v>101</v>
      </c>
      <c r="N499" s="166" t="s">
        <v>846</v>
      </c>
      <c r="O499" s="150" t="s">
        <v>79</v>
      </c>
      <c r="P499" s="167" t="s">
        <v>102</v>
      </c>
      <c r="Q499" s="167">
        <v>200</v>
      </c>
      <c r="R499" s="167"/>
      <c r="S499" s="167">
        <v>2000</v>
      </c>
      <c r="T499" s="167"/>
      <c r="U499" s="167">
        <v>3500</v>
      </c>
      <c r="V499" s="167"/>
      <c r="W499" s="167"/>
      <c r="X499" s="167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 t="s">
        <v>90</v>
      </c>
      <c r="AK499" s="167"/>
      <c r="AL499" s="167"/>
      <c r="AM499" s="167"/>
      <c r="AN499" s="167"/>
      <c r="AO499" s="167"/>
      <c r="AP499" s="167"/>
      <c r="AQ499" s="167"/>
      <c r="AR499" s="167"/>
      <c r="AS499" s="167"/>
      <c r="AT499" s="167"/>
      <c r="AU499" s="167"/>
      <c r="AV499" s="167"/>
      <c r="AW499" s="167"/>
      <c r="AX499" s="167">
        <v>1405020101</v>
      </c>
      <c r="AY499" s="167">
        <v>1405020101</v>
      </c>
      <c r="AZ499" s="167"/>
      <c r="BA499" s="167"/>
      <c r="BB499" s="167"/>
      <c r="BC499" s="167"/>
      <c r="BD499" s="167"/>
      <c r="BE499" s="167" t="s">
        <v>90</v>
      </c>
      <c r="BF499" s="167"/>
      <c r="BG499" s="167"/>
      <c r="BH499" s="167"/>
      <c r="BI499" s="167"/>
      <c r="BJ499" s="167"/>
      <c r="BK499" s="167"/>
      <c r="BL499" s="167"/>
      <c r="BM499" s="167"/>
      <c r="BN499" s="167"/>
      <c r="BO499" s="167"/>
      <c r="BP499" s="167"/>
      <c r="BQ499" s="167"/>
      <c r="BR499" s="167"/>
      <c r="BS499" s="167">
        <v>1405020301</v>
      </c>
      <c r="BT499" s="167">
        <v>1405020201</v>
      </c>
      <c r="BU499" s="167"/>
      <c r="BV499" s="167"/>
      <c r="BW499" s="167"/>
      <c r="BX499" s="167"/>
      <c r="BY499" s="175"/>
    </row>
    <row r="500" spans="1:77" s="18" customFormat="1" x14ac:dyDescent="0.15">
      <c r="A500" s="148">
        <v>1405020042</v>
      </c>
      <c r="B500" s="158" t="s">
        <v>497</v>
      </c>
      <c r="C500" s="154" t="s">
        <v>100</v>
      </c>
      <c r="D500" s="150"/>
      <c r="E500" s="150" t="s">
        <v>83</v>
      </c>
      <c r="F500" s="150">
        <v>70000</v>
      </c>
      <c r="G500" s="150"/>
      <c r="H500" s="150"/>
      <c r="I500" s="150"/>
      <c r="J500" s="166"/>
      <c r="K500" s="166"/>
      <c r="L500" s="166"/>
      <c r="M500" s="166" t="s">
        <v>101</v>
      </c>
      <c r="N500" s="166" t="s">
        <v>846</v>
      </c>
      <c r="O500" s="150" t="s">
        <v>79</v>
      </c>
      <c r="P500" s="167" t="s">
        <v>102</v>
      </c>
      <c r="Q500" s="167">
        <v>250</v>
      </c>
      <c r="R500" s="167"/>
      <c r="S500" s="167">
        <v>2000</v>
      </c>
      <c r="T500" s="167"/>
      <c r="U500" s="167">
        <v>3500</v>
      </c>
      <c r="V500" s="167"/>
      <c r="W500" s="167"/>
      <c r="X500" s="167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 t="s">
        <v>90</v>
      </c>
      <c r="AK500" s="167"/>
      <c r="AL500" s="167"/>
      <c r="AM500" s="167"/>
      <c r="AN500" s="167"/>
      <c r="AO500" s="167"/>
      <c r="AP500" s="167"/>
      <c r="AQ500" s="167"/>
      <c r="AR500" s="167"/>
      <c r="AS500" s="167"/>
      <c r="AT500" s="167"/>
      <c r="AU500" s="167"/>
      <c r="AV500" s="167"/>
      <c r="AW500" s="167"/>
      <c r="AX500" s="167">
        <v>1405020101</v>
      </c>
      <c r="AY500" s="167">
        <v>1405020101</v>
      </c>
      <c r="AZ500" s="167"/>
      <c r="BA500" s="167"/>
      <c r="BB500" s="167"/>
      <c r="BC500" s="167"/>
      <c r="BD500" s="167"/>
      <c r="BE500" s="167" t="s">
        <v>90</v>
      </c>
      <c r="BF500" s="167"/>
      <c r="BG500" s="167"/>
      <c r="BH500" s="167"/>
      <c r="BI500" s="167"/>
      <c r="BJ500" s="167"/>
      <c r="BK500" s="167"/>
      <c r="BL500" s="167"/>
      <c r="BM500" s="167"/>
      <c r="BN500" s="167"/>
      <c r="BO500" s="167"/>
      <c r="BP500" s="167"/>
      <c r="BQ500" s="167"/>
      <c r="BR500" s="167"/>
      <c r="BS500" s="167">
        <v>1405020301</v>
      </c>
      <c r="BT500" s="167">
        <v>1405020201</v>
      </c>
      <c r="BU500" s="167"/>
      <c r="BV500" s="167"/>
      <c r="BW500" s="167"/>
      <c r="BX500" s="167"/>
      <c r="BY500" s="175"/>
    </row>
    <row r="501" spans="1:77" s="18" customFormat="1" x14ac:dyDescent="0.15">
      <c r="A501" s="148">
        <v>1405020011</v>
      </c>
      <c r="B501" s="158" t="s">
        <v>498</v>
      </c>
      <c r="C501" s="154" t="s">
        <v>100</v>
      </c>
      <c r="D501" s="150"/>
      <c r="E501" s="150" t="s">
        <v>83</v>
      </c>
      <c r="F501" s="150">
        <v>70000</v>
      </c>
      <c r="G501" s="150"/>
      <c r="H501" s="150"/>
      <c r="I501" s="150"/>
      <c r="J501" s="166"/>
      <c r="K501" s="166"/>
      <c r="L501" s="166"/>
      <c r="M501" s="166" t="s">
        <v>101</v>
      </c>
      <c r="N501" s="166" t="s">
        <v>846</v>
      </c>
      <c r="O501" s="150" t="s">
        <v>90</v>
      </c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>
        <v>100001101</v>
      </c>
      <c r="AD501" s="167">
        <v>100001101</v>
      </c>
      <c r="AE501" s="167"/>
      <c r="AF501" s="167" t="s">
        <v>493</v>
      </c>
      <c r="AG501" s="167">
        <v>4</v>
      </c>
      <c r="AH501" s="167"/>
      <c r="AI501" s="167"/>
      <c r="AJ501" s="167"/>
      <c r="AK501" s="167"/>
      <c r="AL501" s="167"/>
      <c r="AM501" s="167"/>
      <c r="AN501" s="167"/>
      <c r="AO501" s="167"/>
      <c r="AP501" s="167"/>
      <c r="AQ501" s="167"/>
      <c r="AR501" s="167"/>
      <c r="AS501" s="167"/>
      <c r="AT501" s="167"/>
      <c r="AU501" s="167"/>
      <c r="AV501" s="167"/>
      <c r="AW501" s="167"/>
      <c r="AX501" s="167"/>
      <c r="AY501" s="167"/>
      <c r="AZ501" s="167"/>
      <c r="BA501" s="167"/>
      <c r="BB501" s="167"/>
      <c r="BC501" s="167"/>
      <c r="BD501" s="167"/>
      <c r="BE501" s="167"/>
      <c r="BF501" s="167"/>
      <c r="BG501" s="167"/>
      <c r="BH501" s="167"/>
      <c r="BI501" s="167"/>
      <c r="BJ501" s="167"/>
      <c r="BK501" s="167"/>
      <c r="BL501" s="167"/>
      <c r="BM501" s="167"/>
      <c r="BN501" s="167"/>
      <c r="BO501" s="167"/>
      <c r="BP501" s="167"/>
      <c r="BQ501" s="167"/>
      <c r="BR501" s="167"/>
      <c r="BS501" s="167"/>
      <c r="BT501" s="167"/>
      <c r="BU501" s="167"/>
      <c r="BV501" s="167"/>
      <c r="BW501" s="167"/>
      <c r="BX501" s="167"/>
      <c r="BY501" s="175"/>
    </row>
    <row r="502" spans="1:77" s="18" customFormat="1" x14ac:dyDescent="0.15">
      <c r="A502" s="148">
        <v>1405020021</v>
      </c>
      <c r="B502" s="158" t="s">
        <v>498</v>
      </c>
      <c r="C502" s="154" t="s">
        <v>100</v>
      </c>
      <c r="D502" s="150"/>
      <c r="E502" s="150" t="s">
        <v>83</v>
      </c>
      <c r="F502" s="150">
        <v>70000</v>
      </c>
      <c r="G502" s="150"/>
      <c r="H502" s="150"/>
      <c r="I502" s="150"/>
      <c r="J502" s="166"/>
      <c r="K502" s="166"/>
      <c r="L502" s="166"/>
      <c r="M502" s="166" t="s">
        <v>101</v>
      </c>
      <c r="N502" s="166" t="s">
        <v>846</v>
      </c>
      <c r="O502" s="150" t="s">
        <v>90</v>
      </c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>
        <v>100001101</v>
      </c>
      <c r="AD502" s="167">
        <v>100001101</v>
      </c>
      <c r="AE502" s="167"/>
      <c r="AF502" s="167" t="s">
        <v>493</v>
      </c>
      <c r="AG502" s="167">
        <v>4</v>
      </c>
      <c r="AH502" s="167"/>
      <c r="AI502" s="167"/>
      <c r="AJ502" s="167"/>
      <c r="AK502" s="167"/>
      <c r="AL502" s="167"/>
      <c r="AM502" s="167"/>
      <c r="AN502" s="167"/>
      <c r="AO502" s="167"/>
      <c r="AP502" s="167"/>
      <c r="AQ502" s="167"/>
      <c r="AR502" s="167"/>
      <c r="AS502" s="167"/>
      <c r="AT502" s="167"/>
      <c r="AU502" s="167"/>
      <c r="AV502" s="167"/>
      <c r="AW502" s="167"/>
      <c r="AX502" s="167"/>
      <c r="AY502" s="167"/>
      <c r="AZ502" s="167"/>
      <c r="BA502" s="167"/>
      <c r="BB502" s="167"/>
      <c r="BC502" s="167"/>
      <c r="BD502" s="167"/>
      <c r="BE502" s="167"/>
      <c r="BF502" s="167"/>
      <c r="BG502" s="167"/>
      <c r="BH502" s="167"/>
      <c r="BI502" s="167"/>
      <c r="BJ502" s="167"/>
      <c r="BK502" s="167"/>
      <c r="BL502" s="167"/>
      <c r="BM502" s="167"/>
      <c r="BN502" s="167"/>
      <c r="BO502" s="167"/>
      <c r="BP502" s="167"/>
      <c r="BQ502" s="167"/>
      <c r="BR502" s="167"/>
      <c r="BS502" s="167"/>
      <c r="BT502" s="167"/>
      <c r="BU502" s="167"/>
      <c r="BV502" s="167"/>
      <c r="BW502" s="167"/>
      <c r="BX502" s="167"/>
      <c r="BY502" s="175"/>
    </row>
    <row r="503" spans="1:77" s="18" customFormat="1" x14ac:dyDescent="0.15">
      <c r="A503" s="148">
        <v>1405020031</v>
      </c>
      <c r="B503" s="158" t="s">
        <v>498</v>
      </c>
      <c r="C503" s="154" t="s">
        <v>100</v>
      </c>
      <c r="D503" s="150"/>
      <c r="E503" s="150" t="s">
        <v>83</v>
      </c>
      <c r="F503" s="150">
        <v>70000</v>
      </c>
      <c r="G503" s="150"/>
      <c r="H503" s="150"/>
      <c r="I503" s="150"/>
      <c r="J503" s="166"/>
      <c r="K503" s="166"/>
      <c r="L503" s="166"/>
      <c r="M503" s="166" t="s">
        <v>101</v>
      </c>
      <c r="N503" s="166" t="s">
        <v>846</v>
      </c>
      <c r="O503" s="150" t="s">
        <v>90</v>
      </c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>
        <v>100001101</v>
      </c>
      <c r="AD503" s="167">
        <v>100001101</v>
      </c>
      <c r="AE503" s="167"/>
      <c r="AF503" s="167" t="s">
        <v>493</v>
      </c>
      <c r="AG503" s="167">
        <v>4</v>
      </c>
      <c r="AH503" s="167"/>
      <c r="AI503" s="167"/>
      <c r="AJ503" s="167"/>
      <c r="AK503" s="167"/>
      <c r="AL503" s="167"/>
      <c r="AM503" s="167"/>
      <c r="AN503" s="167"/>
      <c r="AO503" s="167"/>
      <c r="AP503" s="167"/>
      <c r="AQ503" s="167"/>
      <c r="AR503" s="167"/>
      <c r="AS503" s="167"/>
      <c r="AT503" s="167"/>
      <c r="AU503" s="167"/>
      <c r="AV503" s="167"/>
      <c r="AW503" s="167"/>
      <c r="AX503" s="167"/>
      <c r="AY503" s="167"/>
      <c r="AZ503" s="167"/>
      <c r="BA503" s="167"/>
      <c r="BB503" s="167"/>
      <c r="BC503" s="167"/>
      <c r="BD503" s="167"/>
      <c r="BE503" s="167"/>
      <c r="BF503" s="167"/>
      <c r="BG503" s="167"/>
      <c r="BH503" s="167"/>
      <c r="BI503" s="167"/>
      <c r="BJ503" s="167"/>
      <c r="BK503" s="167"/>
      <c r="BL503" s="167"/>
      <c r="BM503" s="167"/>
      <c r="BN503" s="167"/>
      <c r="BO503" s="167"/>
      <c r="BP503" s="167"/>
      <c r="BQ503" s="167"/>
      <c r="BR503" s="167"/>
      <c r="BS503" s="167"/>
      <c r="BT503" s="167"/>
      <c r="BU503" s="167"/>
      <c r="BV503" s="167"/>
      <c r="BW503" s="167"/>
      <c r="BX503" s="167"/>
      <c r="BY503" s="175"/>
    </row>
    <row r="504" spans="1:77" s="18" customFormat="1" x14ac:dyDescent="0.15">
      <c r="A504" s="148">
        <v>1405020041</v>
      </c>
      <c r="B504" s="158" t="s">
        <v>498</v>
      </c>
      <c r="C504" s="154" t="s">
        <v>100</v>
      </c>
      <c r="D504" s="150"/>
      <c r="E504" s="150" t="s">
        <v>83</v>
      </c>
      <c r="F504" s="150">
        <v>70000</v>
      </c>
      <c r="G504" s="150"/>
      <c r="H504" s="150"/>
      <c r="I504" s="150"/>
      <c r="J504" s="166"/>
      <c r="K504" s="166"/>
      <c r="L504" s="166"/>
      <c r="M504" s="166" t="s">
        <v>101</v>
      </c>
      <c r="N504" s="166" t="s">
        <v>846</v>
      </c>
      <c r="O504" s="150" t="s">
        <v>90</v>
      </c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>
        <v>100001101</v>
      </c>
      <c r="AD504" s="167">
        <v>100001101</v>
      </c>
      <c r="AE504" s="167"/>
      <c r="AF504" s="167" t="s">
        <v>493</v>
      </c>
      <c r="AG504" s="167">
        <v>4</v>
      </c>
      <c r="AH504" s="167"/>
      <c r="AI504" s="167"/>
      <c r="AJ504" s="167"/>
      <c r="AK504" s="167"/>
      <c r="AL504" s="167"/>
      <c r="AM504" s="167"/>
      <c r="AN504" s="167"/>
      <c r="AO504" s="167"/>
      <c r="AP504" s="167"/>
      <c r="AQ504" s="167"/>
      <c r="AR504" s="167"/>
      <c r="AS504" s="167"/>
      <c r="AT504" s="167"/>
      <c r="AU504" s="167"/>
      <c r="AV504" s="167"/>
      <c r="AW504" s="167"/>
      <c r="AX504" s="167"/>
      <c r="AY504" s="167"/>
      <c r="AZ504" s="167"/>
      <c r="BA504" s="167"/>
      <c r="BB504" s="167"/>
      <c r="BC504" s="167"/>
      <c r="BD504" s="167"/>
      <c r="BE504" s="167"/>
      <c r="BF504" s="167"/>
      <c r="BG504" s="167"/>
      <c r="BH504" s="167"/>
      <c r="BI504" s="167"/>
      <c r="BJ504" s="167"/>
      <c r="BK504" s="167"/>
      <c r="BL504" s="167"/>
      <c r="BM504" s="167"/>
      <c r="BN504" s="167"/>
      <c r="BO504" s="167"/>
      <c r="BP504" s="167"/>
      <c r="BQ504" s="167"/>
      <c r="BR504" s="167"/>
      <c r="BS504" s="167"/>
      <c r="BT504" s="167"/>
      <c r="BU504" s="167"/>
      <c r="BV504" s="167"/>
      <c r="BW504" s="167"/>
      <c r="BX504" s="167"/>
      <c r="BY504" s="175"/>
    </row>
    <row r="505" spans="1:77" s="18" customFormat="1" x14ac:dyDescent="0.15">
      <c r="A505" s="148">
        <v>1405040013</v>
      </c>
      <c r="B505" s="158" t="s">
        <v>499</v>
      </c>
      <c r="C505" s="154" t="s">
        <v>100</v>
      </c>
      <c r="D505" s="150"/>
      <c r="E505" s="150" t="s">
        <v>83</v>
      </c>
      <c r="F505" s="150">
        <v>50000</v>
      </c>
      <c r="G505" s="150"/>
      <c r="H505" s="150"/>
      <c r="I505" s="150"/>
      <c r="J505" s="166"/>
      <c r="K505" s="166"/>
      <c r="L505" s="166"/>
      <c r="M505" s="166" t="s">
        <v>101</v>
      </c>
      <c r="N505" s="166" t="s">
        <v>846</v>
      </c>
      <c r="O505" s="150" t="s">
        <v>79</v>
      </c>
      <c r="P505" s="167" t="s">
        <v>102</v>
      </c>
      <c r="Q505" s="167">
        <v>280</v>
      </c>
      <c r="R505" s="167"/>
      <c r="S505" s="167">
        <v>5000</v>
      </c>
      <c r="T505" s="167"/>
      <c r="U505" s="167">
        <v>5000</v>
      </c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  <c r="AP505" s="167"/>
      <c r="AQ505" s="167"/>
      <c r="AR505" s="167"/>
      <c r="AS505" s="167"/>
      <c r="AT505" s="167"/>
      <c r="AU505" s="167"/>
      <c r="AV505" s="167"/>
      <c r="AW505" s="167"/>
      <c r="AX505" s="167"/>
      <c r="AY505" s="167"/>
      <c r="AZ505" s="167"/>
      <c r="BA505" s="167"/>
      <c r="BB505" s="167"/>
      <c r="BC505" s="167"/>
      <c r="BD505" s="167"/>
      <c r="BE505" s="167"/>
      <c r="BF505" s="167"/>
      <c r="BG505" s="167"/>
      <c r="BH505" s="167"/>
      <c r="BI505" s="167"/>
      <c r="BJ505" s="167"/>
      <c r="BK505" s="167"/>
      <c r="BL505" s="167"/>
      <c r="BM505" s="167"/>
      <c r="BN505" s="167"/>
      <c r="BO505" s="167"/>
      <c r="BP505" s="167"/>
      <c r="BQ505" s="167"/>
      <c r="BR505" s="167"/>
      <c r="BS505" s="167"/>
      <c r="BT505" s="167"/>
      <c r="BU505" s="167"/>
      <c r="BV505" s="167"/>
      <c r="BW505" s="167"/>
      <c r="BX505" s="167"/>
      <c r="BY505" s="175"/>
    </row>
    <row r="506" spans="1:77" s="18" customFormat="1" x14ac:dyDescent="0.15">
      <c r="A506" s="148">
        <v>1405040023</v>
      </c>
      <c r="B506" s="158" t="s">
        <v>499</v>
      </c>
      <c r="C506" s="154" t="s">
        <v>100</v>
      </c>
      <c r="D506" s="150"/>
      <c r="E506" s="150" t="s">
        <v>83</v>
      </c>
      <c r="F506" s="150">
        <v>50000</v>
      </c>
      <c r="G506" s="150"/>
      <c r="H506" s="150"/>
      <c r="I506" s="150"/>
      <c r="J506" s="166"/>
      <c r="K506" s="166"/>
      <c r="L506" s="166"/>
      <c r="M506" s="166" t="s">
        <v>101</v>
      </c>
      <c r="N506" s="166" t="s">
        <v>846</v>
      </c>
      <c r="O506" s="150" t="s">
        <v>79</v>
      </c>
      <c r="P506" s="167" t="s">
        <v>102</v>
      </c>
      <c r="Q506" s="167">
        <v>400</v>
      </c>
      <c r="R506" s="167"/>
      <c r="S506" s="167">
        <v>5000</v>
      </c>
      <c r="T506" s="167"/>
      <c r="U506" s="167">
        <v>5000</v>
      </c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  <c r="AP506" s="167"/>
      <c r="AQ506" s="167"/>
      <c r="AR506" s="167"/>
      <c r="AS506" s="167"/>
      <c r="AT506" s="167"/>
      <c r="AU506" s="167"/>
      <c r="AV506" s="167"/>
      <c r="AW506" s="167"/>
      <c r="AX506" s="167"/>
      <c r="AY506" s="167"/>
      <c r="AZ506" s="167"/>
      <c r="BA506" s="167"/>
      <c r="BB506" s="167"/>
      <c r="BC506" s="167"/>
      <c r="BD506" s="167"/>
      <c r="BE506" s="167"/>
      <c r="BF506" s="167"/>
      <c r="BG506" s="167"/>
      <c r="BH506" s="167"/>
      <c r="BI506" s="167"/>
      <c r="BJ506" s="167"/>
      <c r="BK506" s="167"/>
      <c r="BL506" s="167"/>
      <c r="BM506" s="167"/>
      <c r="BN506" s="167"/>
      <c r="BO506" s="167"/>
      <c r="BP506" s="167"/>
      <c r="BQ506" s="167"/>
      <c r="BR506" s="167"/>
      <c r="BS506" s="167"/>
      <c r="BT506" s="167"/>
      <c r="BU506" s="167"/>
      <c r="BV506" s="167"/>
      <c r="BW506" s="167"/>
      <c r="BX506" s="167"/>
      <c r="BY506" s="175"/>
    </row>
    <row r="507" spans="1:77" s="18" customFormat="1" x14ac:dyDescent="0.15">
      <c r="A507" s="148">
        <v>1405040012</v>
      </c>
      <c r="B507" s="158" t="s">
        <v>500</v>
      </c>
      <c r="C507" s="154" t="s">
        <v>77</v>
      </c>
      <c r="D507" s="150"/>
      <c r="E507" s="150" t="s">
        <v>78</v>
      </c>
      <c r="F507" s="150"/>
      <c r="G507" s="150"/>
      <c r="H507" s="150"/>
      <c r="I507" s="150"/>
      <c r="J507" s="166"/>
      <c r="K507" s="166"/>
      <c r="L507" s="166"/>
      <c r="M507" s="166"/>
      <c r="N507" s="166"/>
      <c r="O507" s="150" t="s">
        <v>95</v>
      </c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>
        <v>20000818</v>
      </c>
      <c r="AF507" s="167" t="s">
        <v>96</v>
      </c>
      <c r="AG507" s="167"/>
      <c r="AH507" s="167">
        <v>1</v>
      </c>
      <c r="AI507" s="167"/>
      <c r="AJ507" s="167"/>
      <c r="AK507" s="167"/>
      <c r="AL507" s="167"/>
      <c r="AM507" s="167"/>
      <c r="AN507" s="167"/>
      <c r="AO507" s="167"/>
      <c r="AP507" s="167"/>
      <c r="AQ507" s="167"/>
      <c r="AR507" s="167"/>
      <c r="AS507" s="167"/>
      <c r="AT507" s="167"/>
      <c r="AU507" s="167"/>
      <c r="AV507" s="167"/>
      <c r="AW507" s="167"/>
      <c r="AX507" s="167"/>
      <c r="AY507" s="167"/>
      <c r="AZ507" s="167"/>
      <c r="BA507" s="167"/>
      <c r="BB507" s="167"/>
      <c r="BC507" s="167"/>
      <c r="BD507" s="167"/>
      <c r="BE507" s="167"/>
      <c r="BF507" s="167"/>
      <c r="BG507" s="167"/>
      <c r="BH507" s="167"/>
      <c r="BI507" s="167"/>
      <c r="BJ507" s="167"/>
      <c r="BK507" s="167"/>
      <c r="BL507" s="167"/>
      <c r="BM507" s="167"/>
      <c r="BN507" s="167"/>
      <c r="BO507" s="167"/>
      <c r="BP507" s="167"/>
      <c r="BQ507" s="167"/>
      <c r="BR507" s="167"/>
      <c r="BS507" s="167"/>
      <c r="BT507" s="167"/>
      <c r="BU507" s="167"/>
      <c r="BV507" s="167"/>
      <c r="BW507" s="167"/>
      <c r="BX507" s="167"/>
      <c r="BY507" s="175"/>
    </row>
    <row r="508" spans="1:77" s="18" customFormat="1" x14ac:dyDescent="0.15">
      <c r="A508" s="148">
        <v>1405040022</v>
      </c>
      <c r="B508" s="158" t="s">
        <v>500</v>
      </c>
      <c r="C508" s="154" t="s">
        <v>77</v>
      </c>
      <c r="D508" s="150"/>
      <c r="E508" s="150" t="s">
        <v>78</v>
      </c>
      <c r="F508" s="150"/>
      <c r="G508" s="150"/>
      <c r="H508" s="150"/>
      <c r="I508" s="150"/>
      <c r="J508" s="166"/>
      <c r="K508" s="166"/>
      <c r="L508" s="166"/>
      <c r="M508" s="166"/>
      <c r="N508" s="166"/>
      <c r="O508" s="150" t="s">
        <v>95</v>
      </c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>
        <v>20000819</v>
      </c>
      <c r="AF508" s="167" t="s">
        <v>96</v>
      </c>
      <c r="AG508" s="167"/>
      <c r="AH508" s="167">
        <v>1</v>
      </c>
      <c r="AI508" s="167"/>
      <c r="AJ508" s="167"/>
      <c r="AK508" s="167"/>
      <c r="AL508" s="167"/>
      <c r="AM508" s="167"/>
      <c r="AN508" s="167"/>
      <c r="AO508" s="167"/>
      <c r="AP508" s="167"/>
      <c r="AQ508" s="167"/>
      <c r="AR508" s="167"/>
      <c r="AS508" s="167"/>
      <c r="AT508" s="167"/>
      <c r="AU508" s="167"/>
      <c r="AV508" s="167"/>
      <c r="AW508" s="167"/>
      <c r="AX508" s="167"/>
      <c r="AY508" s="167"/>
      <c r="AZ508" s="167"/>
      <c r="BA508" s="167"/>
      <c r="BB508" s="167"/>
      <c r="BC508" s="167"/>
      <c r="BD508" s="167"/>
      <c r="BE508" s="167"/>
      <c r="BF508" s="167"/>
      <c r="BG508" s="167"/>
      <c r="BH508" s="167"/>
      <c r="BI508" s="167"/>
      <c r="BJ508" s="167"/>
      <c r="BK508" s="167"/>
      <c r="BL508" s="167"/>
      <c r="BM508" s="167"/>
      <c r="BN508" s="167"/>
      <c r="BO508" s="167"/>
      <c r="BP508" s="167"/>
      <c r="BQ508" s="167"/>
      <c r="BR508" s="167"/>
      <c r="BS508" s="167"/>
      <c r="BT508" s="167"/>
      <c r="BU508" s="167"/>
      <c r="BV508" s="167"/>
      <c r="BW508" s="167"/>
      <c r="BX508" s="167"/>
      <c r="BY508" s="175"/>
    </row>
    <row r="509" spans="1:77" s="18" customFormat="1" x14ac:dyDescent="0.15">
      <c r="A509" s="148">
        <v>1405040011</v>
      </c>
      <c r="B509" s="158" t="s">
        <v>501</v>
      </c>
      <c r="C509" s="154" t="s">
        <v>100</v>
      </c>
      <c r="D509" s="150"/>
      <c r="E509" s="150" t="s">
        <v>83</v>
      </c>
      <c r="F509" s="150">
        <v>50000</v>
      </c>
      <c r="G509" s="150"/>
      <c r="H509" s="150"/>
      <c r="I509" s="150"/>
      <c r="J509" s="166"/>
      <c r="K509" s="166"/>
      <c r="L509" s="166"/>
      <c r="M509" s="166" t="s">
        <v>101</v>
      </c>
      <c r="N509" s="166" t="s">
        <v>846</v>
      </c>
      <c r="O509" s="150" t="s">
        <v>90</v>
      </c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>
        <v>100001101</v>
      </c>
      <c r="AD509" s="167">
        <v>100001101</v>
      </c>
      <c r="AE509" s="167"/>
      <c r="AF509" s="167" t="s">
        <v>493</v>
      </c>
      <c r="AG509" s="167">
        <v>4</v>
      </c>
      <c r="AH509" s="167"/>
      <c r="AI509" s="167"/>
      <c r="AJ509" s="167"/>
      <c r="AK509" s="167"/>
      <c r="AL509" s="167"/>
      <c r="AM509" s="167"/>
      <c r="AN509" s="167"/>
      <c r="AO509" s="167"/>
      <c r="AP509" s="167"/>
      <c r="AQ509" s="167"/>
      <c r="AR509" s="167"/>
      <c r="AS509" s="167"/>
      <c r="AT509" s="167"/>
      <c r="AU509" s="167"/>
      <c r="AV509" s="167"/>
      <c r="AW509" s="167"/>
      <c r="AX509" s="167"/>
      <c r="AY509" s="167"/>
      <c r="AZ509" s="167"/>
      <c r="BA509" s="167"/>
      <c r="BB509" s="167"/>
      <c r="BC509" s="167"/>
      <c r="BD509" s="167"/>
      <c r="BE509" s="167"/>
      <c r="BF509" s="167"/>
      <c r="BG509" s="167"/>
      <c r="BH509" s="167"/>
      <c r="BI509" s="167"/>
      <c r="BJ509" s="167"/>
      <c r="BK509" s="167"/>
      <c r="BL509" s="167"/>
      <c r="BM509" s="167"/>
      <c r="BN509" s="167"/>
      <c r="BO509" s="167"/>
      <c r="BP509" s="167"/>
      <c r="BQ509" s="167"/>
      <c r="BR509" s="167"/>
      <c r="BS509" s="167"/>
      <c r="BT509" s="167"/>
      <c r="BU509" s="167"/>
      <c r="BV509" s="167"/>
      <c r="BW509" s="167"/>
      <c r="BX509" s="167"/>
      <c r="BY509" s="175"/>
    </row>
    <row r="510" spans="1:77" s="18" customFormat="1" x14ac:dyDescent="0.15">
      <c r="A510" s="148">
        <v>1405040021</v>
      </c>
      <c r="B510" s="158" t="s">
        <v>501</v>
      </c>
      <c r="C510" s="154" t="s">
        <v>100</v>
      </c>
      <c r="D510" s="150"/>
      <c r="E510" s="150" t="s">
        <v>83</v>
      </c>
      <c r="F510" s="150">
        <v>50000</v>
      </c>
      <c r="G510" s="150"/>
      <c r="H510" s="150"/>
      <c r="I510" s="150"/>
      <c r="J510" s="166"/>
      <c r="K510" s="166"/>
      <c r="L510" s="166"/>
      <c r="M510" s="166" t="s">
        <v>101</v>
      </c>
      <c r="N510" s="166" t="s">
        <v>846</v>
      </c>
      <c r="O510" s="150" t="s">
        <v>90</v>
      </c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>
        <v>100001101</v>
      </c>
      <c r="AD510" s="167">
        <v>100001101</v>
      </c>
      <c r="AE510" s="167"/>
      <c r="AF510" s="167" t="s">
        <v>493</v>
      </c>
      <c r="AG510" s="167">
        <v>4</v>
      </c>
      <c r="AH510" s="167"/>
      <c r="AI510" s="167"/>
      <c r="AJ510" s="167"/>
      <c r="AK510" s="167"/>
      <c r="AL510" s="167"/>
      <c r="AM510" s="167"/>
      <c r="AN510" s="167"/>
      <c r="AO510" s="167"/>
      <c r="AP510" s="167"/>
      <c r="AQ510" s="167"/>
      <c r="AR510" s="167"/>
      <c r="AS510" s="167"/>
      <c r="AT510" s="167"/>
      <c r="AU510" s="167"/>
      <c r="AV510" s="167"/>
      <c r="AW510" s="167"/>
      <c r="AX510" s="167"/>
      <c r="AY510" s="167"/>
      <c r="AZ510" s="167"/>
      <c r="BA510" s="167"/>
      <c r="BB510" s="167"/>
      <c r="BC510" s="167"/>
      <c r="BD510" s="167"/>
      <c r="BE510" s="167"/>
      <c r="BF510" s="167"/>
      <c r="BG510" s="167"/>
      <c r="BH510" s="167"/>
      <c r="BI510" s="167"/>
      <c r="BJ510" s="167"/>
      <c r="BK510" s="167"/>
      <c r="BL510" s="167"/>
      <c r="BM510" s="167"/>
      <c r="BN510" s="167"/>
      <c r="BO510" s="167"/>
      <c r="BP510" s="167"/>
      <c r="BQ510" s="167"/>
      <c r="BR510" s="167"/>
      <c r="BS510" s="167"/>
      <c r="BT510" s="167"/>
      <c r="BU510" s="167"/>
      <c r="BV510" s="167"/>
      <c r="BW510" s="167"/>
      <c r="BX510" s="167"/>
      <c r="BY510" s="175"/>
    </row>
    <row r="511" spans="1:77" s="14" customFormat="1" x14ac:dyDescent="0.15">
      <c r="A511" s="151">
        <v>1403001011</v>
      </c>
      <c r="B511" s="152" t="s">
        <v>502</v>
      </c>
      <c r="C511" s="153" t="s">
        <v>77</v>
      </c>
      <c r="D511" s="153"/>
      <c r="E511" s="153" t="s">
        <v>78</v>
      </c>
      <c r="F511" s="153"/>
      <c r="G511" s="153"/>
      <c r="H511" s="153"/>
      <c r="I511" s="153"/>
      <c r="J511" s="162"/>
      <c r="K511" s="162"/>
      <c r="L511" s="162"/>
      <c r="M511" s="162"/>
      <c r="N511" s="162"/>
      <c r="O511" s="153" t="s">
        <v>79</v>
      </c>
      <c r="P511" s="163" t="s">
        <v>80</v>
      </c>
      <c r="Q511" s="163"/>
      <c r="R511" s="163">
        <v>10000</v>
      </c>
      <c r="S511" s="163"/>
      <c r="T511" s="163">
        <v>10000</v>
      </c>
      <c r="U511" s="163"/>
      <c r="V511" s="163" t="s">
        <v>101</v>
      </c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  <c r="AG511" s="163"/>
      <c r="AH511" s="163"/>
      <c r="AI511" s="163"/>
      <c r="AJ511" s="163"/>
      <c r="AK511" s="163"/>
      <c r="AL511" s="163"/>
      <c r="AM511" s="163"/>
      <c r="AN511" s="163"/>
      <c r="AO511" s="163"/>
      <c r="AP511" s="163"/>
      <c r="AQ511" s="163"/>
      <c r="AR511" s="163"/>
      <c r="AS511" s="163"/>
      <c r="AT511" s="163"/>
      <c r="AU511" s="163"/>
      <c r="AV511" s="163"/>
      <c r="AW511" s="163"/>
      <c r="AX511" s="163"/>
      <c r="AY511" s="163"/>
      <c r="AZ511" s="163"/>
      <c r="BA511" s="163"/>
      <c r="BB511" s="163"/>
      <c r="BC511" s="163"/>
      <c r="BD511" s="163"/>
      <c r="BE511" s="163"/>
      <c r="BF511" s="163"/>
      <c r="BG511" s="163"/>
      <c r="BH511" s="163"/>
      <c r="BI511" s="163"/>
      <c r="BJ511" s="163"/>
      <c r="BK511" s="163"/>
      <c r="BL511" s="163"/>
      <c r="BM511" s="163"/>
      <c r="BN511" s="163"/>
      <c r="BO511" s="163"/>
      <c r="BP511" s="163"/>
      <c r="BQ511" s="163"/>
      <c r="BR511" s="163"/>
      <c r="BS511" s="163"/>
      <c r="BT511" s="163"/>
      <c r="BU511" s="163"/>
      <c r="BV511" s="163"/>
      <c r="BW511" s="163"/>
      <c r="BX511" s="163"/>
      <c r="BY511" s="171"/>
    </row>
    <row r="512" spans="1:77" s="14" customFormat="1" x14ac:dyDescent="0.15">
      <c r="A512" s="151">
        <v>1403001012</v>
      </c>
      <c r="B512" s="152" t="s">
        <v>503</v>
      </c>
      <c r="C512" s="153" t="s">
        <v>77</v>
      </c>
      <c r="D512" s="153"/>
      <c r="E512" s="153" t="s">
        <v>425</v>
      </c>
      <c r="F512" s="153">
        <v>40000</v>
      </c>
      <c r="G512" s="153">
        <v>1200</v>
      </c>
      <c r="H512" s="153"/>
      <c r="I512" s="153"/>
      <c r="J512" s="162"/>
      <c r="K512" s="162"/>
      <c r="L512" s="162"/>
      <c r="M512" s="162"/>
      <c r="N512" s="162"/>
      <c r="O512" s="153" t="s">
        <v>79</v>
      </c>
      <c r="P512" s="163" t="s">
        <v>80</v>
      </c>
      <c r="Q512" s="163"/>
      <c r="R512" s="163">
        <v>5000</v>
      </c>
      <c r="S512" s="163"/>
      <c r="T512" s="163"/>
      <c r="U512" s="163"/>
      <c r="V512" s="163" t="s">
        <v>101</v>
      </c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  <c r="AL512" s="163"/>
      <c r="AM512" s="163"/>
      <c r="AN512" s="163"/>
      <c r="AO512" s="163"/>
      <c r="AP512" s="163"/>
      <c r="AQ512" s="163"/>
      <c r="AR512" s="163"/>
      <c r="AS512" s="163"/>
      <c r="AT512" s="163"/>
      <c r="AU512" s="163"/>
      <c r="AV512" s="163"/>
      <c r="AW512" s="163"/>
      <c r="AX512" s="163"/>
      <c r="AY512" s="163"/>
      <c r="AZ512" s="163"/>
      <c r="BA512" s="163"/>
      <c r="BB512" s="163"/>
      <c r="BC512" s="163"/>
      <c r="BD512" s="163"/>
      <c r="BE512" s="163"/>
      <c r="BF512" s="163"/>
      <c r="BG512" s="163"/>
      <c r="BH512" s="163"/>
      <c r="BI512" s="163"/>
      <c r="BJ512" s="163"/>
      <c r="BK512" s="163"/>
      <c r="BL512" s="163"/>
      <c r="BM512" s="163"/>
      <c r="BN512" s="163"/>
      <c r="BO512" s="163"/>
      <c r="BP512" s="163"/>
      <c r="BQ512" s="163"/>
      <c r="BR512" s="163"/>
      <c r="BS512" s="163"/>
      <c r="BT512" s="163"/>
      <c r="BU512" s="163"/>
      <c r="BV512" s="163"/>
      <c r="BW512" s="163"/>
      <c r="BX512" s="163"/>
      <c r="BY512" s="171"/>
    </row>
    <row r="513" spans="1:77" s="14" customFormat="1" x14ac:dyDescent="0.15">
      <c r="A513" s="151">
        <v>1403002011</v>
      </c>
      <c r="B513" s="152" t="s">
        <v>504</v>
      </c>
      <c r="C513" s="153" t="s">
        <v>77</v>
      </c>
      <c r="D513" s="153"/>
      <c r="E513" s="153" t="s">
        <v>78</v>
      </c>
      <c r="F513" s="153"/>
      <c r="G513" s="153"/>
      <c r="H513" s="153"/>
      <c r="I513" s="153"/>
      <c r="J513" s="162"/>
      <c r="K513" s="162"/>
      <c r="L513" s="162"/>
      <c r="M513" s="162"/>
      <c r="N513" s="162"/>
      <c r="O513" s="153" t="s">
        <v>79</v>
      </c>
      <c r="P513" s="163" t="s">
        <v>80</v>
      </c>
      <c r="Q513" s="163"/>
      <c r="R513" s="163">
        <v>10000</v>
      </c>
      <c r="S513" s="163"/>
      <c r="T513" s="163">
        <v>10000</v>
      </c>
      <c r="U513" s="163"/>
      <c r="V513" s="163" t="s">
        <v>101</v>
      </c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  <c r="AG513" s="163"/>
      <c r="AH513" s="163"/>
      <c r="AI513" s="163"/>
      <c r="AJ513" s="163"/>
      <c r="AK513" s="163"/>
      <c r="AL513" s="163"/>
      <c r="AM513" s="163"/>
      <c r="AN513" s="163"/>
      <c r="AO513" s="163"/>
      <c r="AP513" s="163"/>
      <c r="AQ513" s="163"/>
      <c r="AR513" s="163"/>
      <c r="AS513" s="163"/>
      <c r="AT513" s="163"/>
      <c r="AU513" s="163"/>
      <c r="AV513" s="163"/>
      <c r="AW513" s="163"/>
      <c r="AX513" s="163"/>
      <c r="AY513" s="163"/>
      <c r="AZ513" s="163"/>
      <c r="BA513" s="163"/>
      <c r="BB513" s="163"/>
      <c r="BC513" s="163"/>
      <c r="BD513" s="163"/>
      <c r="BE513" s="163"/>
      <c r="BF513" s="163"/>
      <c r="BG513" s="163"/>
      <c r="BH513" s="163"/>
      <c r="BI513" s="163"/>
      <c r="BJ513" s="163"/>
      <c r="BK513" s="163"/>
      <c r="BL513" s="163"/>
      <c r="BM513" s="163"/>
      <c r="BN513" s="163"/>
      <c r="BO513" s="163"/>
      <c r="BP513" s="163"/>
      <c r="BQ513" s="163"/>
      <c r="BR513" s="163"/>
      <c r="BS513" s="163"/>
      <c r="BT513" s="163"/>
      <c r="BU513" s="163"/>
      <c r="BV513" s="163"/>
      <c r="BW513" s="163"/>
      <c r="BX513" s="163"/>
      <c r="BY513" s="171"/>
    </row>
    <row r="514" spans="1:77" s="19" customFormat="1" x14ac:dyDescent="0.15">
      <c r="A514" s="151">
        <v>1403200011</v>
      </c>
      <c r="B514" s="157" t="s">
        <v>505</v>
      </c>
      <c r="C514" s="151" t="s">
        <v>89</v>
      </c>
      <c r="D514" s="151"/>
      <c r="E514" s="151" t="s">
        <v>78</v>
      </c>
      <c r="F514" s="151"/>
      <c r="G514" s="151"/>
      <c r="H514" s="151"/>
      <c r="I514" s="151"/>
      <c r="J514" s="165"/>
      <c r="K514" s="165"/>
      <c r="L514" s="165"/>
      <c r="M514" s="165"/>
      <c r="N514" s="165"/>
      <c r="O514" s="151" t="s">
        <v>90</v>
      </c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  <c r="AB514" s="151"/>
      <c r="AC514" s="151"/>
      <c r="AD514" s="151">
        <v>1403200101</v>
      </c>
      <c r="AE514" s="151"/>
      <c r="AF514" s="151"/>
      <c r="AG514" s="151"/>
      <c r="AH514" s="151"/>
      <c r="AI514" s="151"/>
      <c r="AJ514" s="151"/>
      <c r="AK514" s="151"/>
      <c r="AL514" s="151"/>
      <c r="AM514" s="151"/>
      <c r="AN514" s="151"/>
      <c r="AO514" s="151"/>
      <c r="AP514" s="151"/>
      <c r="AQ514" s="151"/>
      <c r="AR514" s="151"/>
      <c r="AS514" s="151"/>
      <c r="AT514" s="151"/>
      <c r="AU514" s="151"/>
      <c r="AV514" s="151"/>
      <c r="AW514" s="151"/>
      <c r="AX514" s="151"/>
      <c r="AY514" s="151"/>
      <c r="AZ514" s="151"/>
      <c r="BA514" s="151"/>
      <c r="BB514" s="151"/>
      <c r="BC514" s="151"/>
      <c r="BD514" s="151"/>
      <c r="BE514" s="151"/>
      <c r="BF514" s="151"/>
      <c r="BG514" s="151"/>
      <c r="BH514" s="151"/>
      <c r="BI514" s="151"/>
      <c r="BJ514" s="151"/>
      <c r="BK514" s="151"/>
      <c r="BL514" s="151"/>
      <c r="BM514" s="151"/>
      <c r="BN514" s="151"/>
      <c r="BO514" s="151"/>
      <c r="BP514" s="151"/>
      <c r="BQ514" s="151"/>
      <c r="BR514" s="151"/>
      <c r="BS514" s="151"/>
      <c r="BT514" s="151"/>
      <c r="BU514" s="151"/>
      <c r="BV514" s="151"/>
      <c r="BW514" s="151"/>
      <c r="BX514" s="151"/>
      <c r="BY514" s="174"/>
    </row>
    <row r="515" spans="1:77" s="19" customFormat="1" x14ac:dyDescent="0.15">
      <c r="A515" s="151">
        <v>1403200021</v>
      </c>
      <c r="B515" s="157" t="s">
        <v>505</v>
      </c>
      <c r="C515" s="151" t="s">
        <v>89</v>
      </c>
      <c r="D515" s="151"/>
      <c r="E515" s="151" t="s">
        <v>78</v>
      </c>
      <c r="F515" s="151"/>
      <c r="G515" s="151"/>
      <c r="H515" s="151"/>
      <c r="I515" s="151"/>
      <c r="J515" s="165"/>
      <c r="K515" s="165"/>
      <c r="L515" s="165"/>
      <c r="M515" s="165"/>
      <c r="N515" s="165"/>
      <c r="O515" s="151" t="s">
        <v>90</v>
      </c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151"/>
      <c r="AC515" s="151"/>
      <c r="AD515" s="151">
        <v>1403200102</v>
      </c>
      <c r="AE515" s="151"/>
      <c r="AF515" s="151"/>
      <c r="AG515" s="151"/>
      <c r="AH515" s="151"/>
      <c r="AI515" s="151"/>
      <c r="AJ515" s="151"/>
      <c r="AK515" s="151"/>
      <c r="AL515" s="151"/>
      <c r="AM515" s="151"/>
      <c r="AN515" s="151"/>
      <c r="AO515" s="151"/>
      <c r="AP515" s="151"/>
      <c r="AQ515" s="151"/>
      <c r="AR515" s="151"/>
      <c r="AS515" s="151"/>
      <c r="AT515" s="151"/>
      <c r="AU515" s="151"/>
      <c r="AV515" s="151"/>
      <c r="AW515" s="151"/>
      <c r="AX515" s="151"/>
      <c r="AY515" s="151"/>
      <c r="AZ515" s="151"/>
      <c r="BA515" s="151"/>
      <c r="BB515" s="151"/>
      <c r="BC515" s="151"/>
      <c r="BD515" s="151"/>
      <c r="BE515" s="151"/>
      <c r="BF515" s="151"/>
      <c r="BG515" s="151"/>
      <c r="BH515" s="151"/>
      <c r="BI515" s="151"/>
      <c r="BJ515" s="151"/>
      <c r="BK515" s="151"/>
      <c r="BL515" s="151"/>
      <c r="BM515" s="151"/>
      <c r="BN515" s="151"/>
      <c r="BO515" s="151"/>
      <c r="BP515" s="151"/>
      <c r="BQ515" s="151"/>
      <c r="BR515" s="151"/>
      <c r="BS515" s="151"/>
      <c r="BT515" s="151"/>
      <c r="BU515" s="151"/>
      <c r="BV515" s="151"/>
      <c r="BW515" s="151"/>
      <c r="BX515" s="151"/>
      <c r="BY515" s="174"/>
    </row>
    <row r="516" spans="1:77" s="19" customFormat="1" x14ac:dyDescent="0.15">
      <c r="A516" s="151">
        <v>1403200031</v>
      </c>
      <c r="B516" s="157" t="s">
        <v>505</v>
      </c>
      <c r="C516" s="151" t="s">
        <v>89</v>
      </c>
      <c r="D516" s="151"/>
      <c r="E516" s="151" t="s">
        <v>78</v>
      </c>
      <c r="F516" s="151"/>
      <c r="G516" s="151"/>
      <c r="H516" s="151"/>
      <c r="I516" s="151"/>
      <c r="J516" s="165"/>
      <c r="K516" s="165"/>
      <c r="L516" s="165"/>
      <c r="M516" s="165"/>
      <c r="N516" s="165"/>
      <c r="O516" s="151" t="s">
        <v>90</v>
      </c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  <c r="AB516" s="151"/>
      <c r="AC516" s="151"/>
      <c r="AD516" s="151">
        <v>1403200103</v>
      </c>
      <c r="AE516" s="151"/>
      <c r="AF516" s="151"/>
      <c r="AG516" s="151"/>
      <c r="AH516" s="151"/>
      <c r="AI516" s="151"/>
      <c r="AJ516" s="151"/>
      <c r="AK516" s="151"/>
      <c r="AL516" s="151"/>
      <c r="AM516" s="151"/>
      <c r="AN516" s="151"/>
      <c r="AO516" s="151"/>
      <c r="AP516" s="151"/>
      <c r="AQ516" s="151"/>
      <c r="AR516" s="151"/>
      <c r="AS516" s="151"/>
      <c r="AT516" s="151"/>
      <c r="AU516" s="151"/>
      <c r="AV516" s="151"/>
      <c r="AW516" s="151"/>
      <c r="AX516" s="151"/>
      <c r="AY516" s="151"/>
      <c r="AZ516" s="151"/>
      <c r="BA516" s="151"/>
      <c r="BB516" s="151"/>
      <c r="BC516" s="151"/>
      <c r="BD516" s="151"/>
      <c r="BE516" s="151"/>
      <c r="BF516" s="151"/>
      <c r="BG516" s="151"/>
      <c r="BH516" s="151"/>
      <c r="BI516" s="151"/>
      <c r="BJ516" s="151"/>
      <c r="BK516" s="151"/>
      <c r="BL516" s="151"/>
      <c r="BM516" s="151"/>
      <c r="BN516" s="151"/>
      <c r="BO516" s="151"/>
      <c r="BP516" s="151"/>
      <c r="BQ516" s="151"/>
      <c r="BR516" s="151"/>
      <c r="BS516" s="151"/>
      <c r="BT516" s="151"/>
      <c r="BU516" s="151"/>
      <c r="BV516" s="151"/>
      <c r="BW516" s="151"/>
      <c r="BX516" s="151"/>
      <c r="BY516" s="174"/>
    </row>
    <row r="517" spans="1:77" s="19" customFormat="1" x14ac:dyDescent="0.15">
      <c r="A517" s="151">
        <v>1403010011</v>
      </c>
      <c r="B517" s="157" t="s">
        <v>506</v>
      </c>
      <c r="C517" s="151" t="s">
        <v>100</v>
      </c>
      <c r="D517" s="151"/>
      <c r="E517" s="151" t="s">
        <v>83</v>
      </c>
      <c r="F517" s="151">
        <v>50000</v>
      </c>
      <c r="G517" s="151"/>
      <c r="H517" s="151"/>
      <c r="I517" s="151"/>
      <c r="J517" s="165"/>
      <c r="K517" s="165"/>
      <c r="L517" s="165"/>
      <c r="M517" s="162" t="s">
        <v>101</v>
      </c>
      <c r="N517" s="162" t="s">
        <v>842</v>
      </c>
      <c r="O517" s="151" t="s">
        <v>79</v>
      </c>
      <c r="P517" s="151" t="s">
        <v>80</v>
      </c>
      <c r="Q517" s="151">
        <v>160</v>
      </c>
      <c r="R517" s="151">
        <v>2500</v>
      </c>
      <c r="S517" s="151"/>
      <c r="T517" s="151"/>
      <c r="U517" s="151"/>
      <c r="V517" s="151"/>
      <c r="W517" s="151"/>
      <c r="X517" s="151"/>
      <c r="Y517" s="151"/>
      <c r="Z517" s="151"/>
      <c r="AA517" s="151"/>
      <c r="AB517" s="151"/>
      <c r="AC517" s="151"/>
      <c r="AD517" s="151"/>
      <c r="AE517" s="151"/>
      <c r="AF517" s="151"/>
      <c r="AG517" s="151"/>
      <c r="AH517" s="151"/>
      <c r="AI517" s="151"/>
      <c r="AJ517" s="151" t="s">
        <v>90</v>
      </c>
      <c r="AK517" s="151"/>
      <c r="AL517" s="151"/>
      <c r="AM517" s="151"/>
      <c r="AN517" s="151"/>
      <c r="AO517" s="151"/>
      <c r="AP517" s="151"/>
      <c r="AQ517" s="151"/>
      <c r="AR517" s="151"/>
      <c r="AS517" s="151"/>
      <c r="AT517" s="151"/>
      <c r="AU517" s="151"/>
      <c r="AV517" s="151"/>
      <c r="AW517" s="151"/>
      <c r="AX517" s="151">
        <v>1403010201</v>
      </c>
      <c r="AY517" s="151">
        <v>1403010101</v>
      </c>
      <c r="AZ517" s="151"/>
      <c r="BA517" s="151"/>
      <c r="BB517" s="151"/>
      <c r="BC517" s="151"/>
      <c r="BD517" s="151"/>
      <c r="BE517" s="151"/>
      <c r="BF517" s="151"/>
      <c r="BG517" s="151"/>
      <c r="BH517" s="151"/>
      <c r="BI517" s="151"/>
      <c r="BJ517" s="151"/>
      <c r="BK517" s="151"/>
      <c r="BL517" s="151"/>
      <c r="BM517" s="151"/>
      <c r="BN517" s="151"/>
      <c r="BO517" s="151"/>
      <c r="BP517" s="151"/>
      <c r="BQ517" s="151"/>
      <c r="BR517" s="151"/>
      <c r="BS517" s="151"/>
      <c r="BT517" s="151"/>
      <c r="BU517" s="151"/>
      <c r="BV517" s="151"/>
      <c r="BW517" s="151"/>
      <c r="BX517" s="151"/>
      <c r="BY517" s="174"/>
    </row>
    <row r="518" spans="1:77" s="19" customFormat="1" x14ac:dyDescent="0.15">
      <c r="A518" s="151">
        <v>1403010021</v>
      </c>
      <c r="B518" s="157" t="s">
        <v>506</v>
      </c>
      <c r="C518" s="151" t="s">
        <v>100</v>
      </c>
      <c r="D518" s="151"/>
      <c r="E518" s="151" t="s">
        <v>83</v>
      </c>
      <c r="F518" s="151">
        <v>50000</v>
      </c>
      <c r="G518" s="151"/>
      <c r="H518" s="151"/>
      <c r="I518" s="151"/>
      <c r="J518" s="165"/>
      <c r="K518" s="165"/>
      <c r="L518" s="165"/>
      <c r="M518" s="162" t="s">
        <v>101</v>
      </c>
      <c r="N518" s="162" t="s">
        <v>842</v>
      </c>
      <c r="O518" s="151" t="s">
        <v>79</v>
      </c>
      <c r="P518" s="151" t="s">
        <v>80</v>
      </c>
      <c r="Q518" s="151">
        <v>205</v>
      </c>
      <c r="R518" s="151">
        <v>2500</v>
      </c>
      <c r="S518" s="151"/>
      <c r="T518" s="151"/>
      <c r="U518" s="151"/>
      <c r="V518" s="151"/>
      <c r="W518" s="151"/>
      <c r="X518" s="151"/>
      <c r="Y518" s="151"/>
      <c r="Z518" s="151"/>
      <c r="AA518" s="151"/>
      <c r="AB518" s="151"/>
      <c r="AC518" s="151"/>
      <c r="AD518" s="151"/>
      <c r="AE518" s="151"/>
      <c r="AF518" s="151"/>
      <c r="AG518" s="151"/>
      <c r="AH518" s="151"/>
      <c r="AI518" s="151"/>
      <c r="AJ518" s="151" t="s">
        <v>90</v>
      </c>
      <c r="AK518" s="151"/>
      <c r="AL518" s="151"/>
      <c r="AM518" s="151"/>
      <c r="AN518" s="151"/>
      <c r="AO518" s="151"/>
      <c r="AP518" s="151"/>
      <c r="AQ518" s="151"/>
      <c r="AR518" s="151"/>
      <c r="AS518" s="151"/>
      <c r="AT518" s="151"/>
      <c r="AU518" s="151"/>
      <c r="AV518" s="151"/>
      <c r="AW518" s="151"/>
      <c r="AX518" s="151">
        <v>1403010202</v>
      </c>
      <c r="AY518" s="151">
        <v>1403010102</v>
      </c>
      <c r="AZ518" s="151"/>
      <c r="BA518" s="151"/>
      <c r="BB518" s="151"/>
      <c r="BC518" s="151"/>
      <c r="BD518" s="151"/>
      <c r="BE518" s="151"/>
      <c r="BF518" s="151"/>
      <c r="BG518" s="151"/>
      <c r="BH518" s="151"/>
      <c r="BI518" s="151"/>
      <c r="BJ518" s="151"/>
      <c r="BK518" s="151"/>
      <c r="BL518" s="151"/>
      <c r="BM518" s="151"/>
      <c r="BN518" s="151"/>
      <c r="BO518" s="151"/>
      <c r="BP518" s="151"/>
      <c r="BQ518" s="151"/>
      <c r="BR518" s="151"/>
      <c r="BS518" s="151"/>
      <c r="BT518" s="151"/>
      <c r="BU518" s="151"/>
      <c r="BV518" s="151"/>
      <c r="BW518" s="151"/>
      <c r="BX518" s="151"/>
      <c r="BY518" s="174"/>
    </row>
    <row r="519" spans="1:77" s="19" customFormat="1" x14ac:dyDescent="0.15">
      <c r="A519" s="151">
        <v>1403010031</v>
      </c>
      <c r="B519" s="157" t="s">
        <v>506</v>
      </c>
      <c r="C519" s="151" t="s">
        <v>100</v>
      </c>
      <c r="D519" s="151"/>
      <c r="E519" s="151" t="s">
        <v>83</v>
      </c>
      <c r="F519" s="151">
        <v>50000</v>
      </c>
      <c r="G519" s="151"/>
      <c r="H519" s="151"/>
      <c r="I519" s="151"/>
      <c r="J519" s="165"/>
      <c r="K519" s="165"/>
      <c r="L519" s="165"/>
      <c r="M519" s="162" t="s">
        <v>101</v>
      </c>
      <c r="N519" s="162" t="s">
        <v>842</v>
      </c>
      <c r="O519" s="151" t="s">
        <v>79</v>
      </c>
      <c r="P519" s="151" t="s">
        <v>80</v>
      </c>
      <c r="Q519" s="151">
        <v>250</v>
      </c>
      <c r="R519" s="151">
        <v>2500</v>
      </c>
      <c r="S519" s="151"/>
      <c r="T519" s="151"/>
      <c r="U519" s="151"/>
      <c r="V519" s="151"/>
      <c r="W519" s="151"/>
      <c r="X519" s="151"/>
      <c r="Y519" s="151"/>
      <c r="Z519" s="151"/>
      <c r="AA519" s="151"/>
      <c r="AB519" s="151"/>
      <c r="AC519" s="151"/>
      <c r="AD519" s="151"/>
      <c r="AE519" s="151"/>
      <c r="AF519" s="151"/>
      <c r="AG519" s="151"/>
      <c r="AH519" s="151"/>
      <c r="AI519" s="151"/>
      <c r="AJ519" s="151" t="s">
        <v>90</v>
      </c>
      <c r="AK519" s="151"/>
      <c r="AL519" s="151"/>
      <c r="AM519" s="151"/>
      <c r="AN519" s="151"/>
      <c r="AO519" s="151"/>
      <c r="AP519" s="151"/>
      <c r="AQ519" s="151"/>
      <c r="AR519" s="151"/>
      <c r="AS519" s="151"/>
      <c r="AT519" s="151"/>
      <c r="AU519" s="151"/>
      <c r="AV519" s="151"/>
      <c r="AW519" s="151"/>
      <c r="AX519" s="151">
        <v>1403010203</v>
      </c>
      <c r="AY519" s="151">
        <v>1403010103</v>
      </c>
      <c r="AZ519" s="151"/>
      <c r="BA519" s="151"/>
      <c r="BB519" s="151"/>
      <c r="BC519" s="151"/>
      <c r="BD519" s="151"/>
      <c r="BE519" s="151"/>
      <c r="BF519" s="151"/>
      <c r="BG519" s="151"/>
      <c r="BH519" s="151"/>
      <c r="BI519" s="151"/>
      <c r="BJ519" s="151"/>
      <c r="BK519" s="151"/>
      <c r="BL519" s="151"/>
      <c r="BM519" s="151"/>
      <c r="BN519" s="151"/>
      <c r="BO519" s="151"/>
      <c r="BP519" s="151"/>
      <c r="BQ519" s="151"/>
      <c r="BR519" s="151"/>
      <c r="BS519" s="151"/>
      <c r="BT519" s="151"/>
      <c r="BU519" s="151"/>
      <c r="BV519" s="151"/>
      <c r="BW519" s="151"/>
      <c r="BX519" s="151"/>
      <c r="BY519" s="174"/>
    </row>
    <row r="520" spans="1:77" s="19" customFormat="1" x14ac:dyDescent="0.15">
      <c r="A520" s="151">
        <v>1403010041</v>
      </c>
      <c r="B520" s="157" t="s">
        <v>506</v>
      </c>
      <c r="C520" s="151" t="s">
        <v>100</v>
      </c>
      <c r="D520" s="151"/>
      <c r="E520" s="151" t="s">
        <v>83</v>
      </c>
      <c r="F520" s="151">
        <v>50000</v>
      </c>
      <c r="G520" s="151"/>
      <c r="H520" s="151"/>
      <c r="I520" s="151"/>
      <c r="J520" s="165"/>
      <c r="K520" s="165"/>
      <c r="L520" s="165"/>
      <c r="M520" s="162" t="s">
        <v>101</v>
      </c>
      <c r="N520" s="162" t="s">
        <v>842</v>
      </c>
      <c r="O520" s="151" t="s">
        <v>79</v>
      </c>
      <c r="P520" s="151" t="s">
        <v>80</v>
      </c>
      <c r="Q520" s="151">
        <v>295</v>
      </c>
      <c r="R520" s="151">
        <v>2500</v>
      </c>
      <c r="S520" s="151"/>
      <c r="T520" s="151"/>
      <c r="U520" s="151"/>
      <c r="V520" s="151"/>
      <c r="W520" s="151"/>
      <c r="X520" s="151"/>
      <c r="Y520" s="151"/>
      <c r="Z520" s="151"/>
      <c r="AA520" s="151"/>
      <c r="AB520" s="151"/>
      <c r="AC520" s="151"/>
      <c r="AD520" s="151"/>
      <c r="AE520" s="151"/>
      <c r="AF520" s="151"/>
      <c r="AG520" s="151"/>
      <c r="AH520" s="151"/>
      <c r="AI520" s="151"/>
      <c r="AJ520" s="151" t="s">
        <v>90</v>
      </c>
      <c r="AK520" s="151"/>
      <c r="AL520" s="151"/>
      <c r="AM520" s="151"/>
      <c r="AN520" s="151"/>
      <c r="AO520" s="151"/>
      <c r="AP520" s="151"/>
      <c r="AQ520" s="151"/>
      <c r="AR520" s="151"/>
      <c r="AS520" s="151"/>
      <c r="AT520" s="151"/>
      <c r="AU520" s="151"/>
      <c r="AV520" s="151"/>
      <c r="AW520" s="151"/>
      <c r="AX520" s="151">
        <v>1403010204</v>
      </c>
      <c r="AY520" s="151">
        <v>1403010104</v>
      </c>
      <c r="AZ520" s="151"/>
      <c r="BA520" s="151"/>
      <c r="BB520" s="151"/>
      <c r="BC520" s="151"/>
      <c r="BD520" s="151"/>
      <c r="BE520" s="151"/>
      <c r="BF520" s="151"/>
      <c r="BG520" s="151"/>
      <c r="BH520" s="151"/>
      <c r="BI520" s="151"/>
      <c r="BJ520" s="151"/>
      <c r="BK520" s="151"/>
      <c r="BL520" s="151"/>
      <c r="BM520" s="151"/>
      <c r="BN520" s="151"/>
      <c r="BO520" s="151"/>
      <c r="BP520" s="151"/>
      <c r="BQ520" s="151"/>
      <c r="BR520" s="151"/>
      <c r="BS520" s="151"/>
      <c r="BT520" s="151"/>
      <c r="BU520" s="151"/>
      <c r="BV520" s="151"/>
      <c r="BW520" s="151"/>
      <c r="BX520" s="151"/>
      <c r="BY520" s="174"/>
    </row>
    <row r="521" spans="1:77" s="19" customFormat="1" x14ac:dyDescent="0.15">
      <c r="A521" s="151">
        <v>1403010012</v>
      </c>
      <c r="B521" s="157" t="s">
        <v>507</v>
      </c>
      <c r="C521" s="151" t="s">
        <v>89</v>
      </c>
      <c r="D521" s="151"/>
      <c r="E521" s="151" t="s">
        <v>78</v>
      </c>
      <c r="F521" s="151"/>
      <c r="G521" s="151"/>
      <c r="H521" s="151"/>
      <c r="I521" s="151"/>
      <c r="J521" s="165"/>
      <c r="K521" s="165"/>
      <c r="L521" s="165"/>
      <c r="M521" s="165"/>
      <c r="N521" s="165"/>
      <c r="O521" s="151" t="s">
        <v>90</v>
      </c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  <c r="AB521" s="151"/>
      <c r="AC521" s="151"/>
      <c r="AD521" s="151">
        <v>1403010301</v>
      </c>
      <c r="AE521" s="151"/>
      <c r="AF521" s="151"/>
      <c r="AG521" s="151"/>
      <c r="AH521" s="151"/>
      <c r="AI521" s="151"/>
      <c r="AJ521" s="151"/>
      <c r="AK521" s="151"/>
      <c r="AL521" s="151"/>
      <c r="AM521" s="151"/>
      <c r="AN521" s="151"/>
      <c r="AO521" s="151"/>
      <c r="AP521" s="151"/>
      <c r="AQ521" s="151"/>
      <c r="AR521" s="151"/>
      <c r="AS521" s="151"/>
      <c r="AT521" s="151"/>
      <c r="AU521" s="151"/>
      <c r="AV521" s="151"/>
      <c r="AW521" s="151"/>
      <c r="AX521" s="151"/>
      <c r="AY521" s="151"/>
      <c r="AZ521" s="151"/>
      <c r="BA521" s="151"/>
      <c r="BB521" s="151"/>
      <c r="BC521" s="151"/>
      <c r="BD521" s="151"/>
      <c r="BE521" s="151"/>
      <c r="BF521" s="151"/>
      <c r="BG521" s="151"/>
      <c r="BH521" s="151"/>
      <c r="BI521" s="151"/>
      <c r="BJ521" s="151"/>
      <c r="BK521" s="151"/>
      <c r="BL521" s="151"/>
      <c r="BM521" s="151"/>
      <c r="BN521" s="151"/>
      <c r="BO521" s="151"/>
      <c r="BP521" s="151"/>
      <c r="BQ521" s="151"/>
      <c r="BR521" s="151"/>
      <c r="BS521" s="151"/>
      <c r="BT521" s="151"/>
      <c r="BU521" s="151"/>
      <c r="BV521" s="151"/>
      <c r="BW521" s="151"/>
      <c r="BX521" s="151"/>
      <c r="BY521" s="174"/>
    </row>
    <row r="522" spans="1:77" s="19" customFormat="1" x14ac:dyDescent="0.15">
      <c r="A522" s="151">
        <v>1403010022</v>
      </c>
      <c r="B522" s="157" t="s">
        <v>507</v>
      </c>
      <c r="C522" s="151" t="s">
        <v>89</v>
      </c>
      <c r="D522" s="151"/>
      <c r="E522" s="151" t="s">
        <v>78</v>
      </c>
      <c r="F522" s="151"/>
      <c r="G522" s="151"/>
      <c r="H522" s="151"/>
      <c r="I522" s="151"/>
      <c r="J522" s="165"/>
      <c r="K522" s="165"/>
      <c r="L522" s="165"/>
      <c r="M522" s="165"/>
      <c r="N522" s="165"/>
      <c r="O522" s="151" t="s">
        <v>90</v>
      </c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  <c r="AB522" s="151"/>
      <c r="AC522" s="151"/>
      <c r="AD522" s="151">
        <v>1403010302</v>
      </c>
      <c r="AE522" s="151"/>
      <c r="AF522" s="151"/>
      <c r="AG522" s="151"/>
      <c r="AH522" s="151"/>
      <c r="AI522" s="151"/>
      <c r="AJ522" s="151"/>
      <c r="AK522" s="151"/>
      <c r="AL522" s="151"/>
      <c r="AM522" s="151"/>
      <c r="AN522" s="151"/>
      <c r="AO522" s="151"/>
      <c r="AP522" s="151"/>
      <c r="AQ522" s="151"/>
      <c r="AR522" s="151"/>
      <c r="AS522" s="151"/>
      <c r="AT522" s="151"/>
      <c r="AU522" s="151"/>
      <c r="AV522" s="151"/>
      <c r="AW522" s="151"/>
      <c r="AX522" s="151"/>
      <c r="AY522" s="151"/>
      <c r="AZ522" s="151"/>
      <c r="BA522" s="151"/>
      <c r="BB522" s="151"/>
      <c r="BC522" s="151"/>
      <c r="BD522" s="151"/>
      <c r="BE522" s="151"/>
      <c r="BF522" s="151"/>
      <c r="BG522" s="151"/>
      <c r="BH522" s="151"/>
      <c r="BI522" s="151"/>
      <c r="BJ522" s="151"/>
      <c r="BK522" s="151"/>
      <c r="BL522" s="151"/>
      <c r="BM522" s="151"/>
      <c r="BN522" s="151"/>
      <c r="BO522" s="151"/>
      <c r="BP522" s="151"/>
      <c r="BQ522" s="151"/>
      <c r="BR522" s="151"/>
      <c r="BS522" s="151"/>
      <c r="BT522" s="151"/>
      <c r="BU522" s="151"/>
      <c r="BV522" s="151"/>
      <c r="BW522" s="151"/>
      <c r="BX522" s="151"/>
      <c r="BY522" s="174"/>
    </row>
    <row r="523" spans="1:77" s="19" customFormat="1" x14ac:dyDescent="0.15">
      <c r="A523" s="151">
        <v>1403010032</v>
      </c>
      <c r="B523" s="157" t="s">
        <v>507</v>
      </c>
      <c r="C523" s="151" t="s">
        <v>89</v>
      </c>
      <c r="D523" s="151"/>
      <c r="E523" s="151" t="s">
        <v>78</v>
      </c>
      <c r="F523" s="151"/>
      <c r="G523" s="151"/>
      <c r="H523" s="151"/>
      <c r="I523" s="151"/>
      <c r="J523" s="165"/>
      <c r="K523" s="165"/>
      <c r="L523" s="165"/>
      <c r="M523" s="165"/>
      <c r="N523" s="165"/>
      <c r="O523" s="151" t="s">
        <v>90</v>
      </c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  <c r="AB523" s="151"/>
      <c r="AC523" s="151"/>
      <c r="AD523" s="151">
        <v>1403010303</v>
      </c>
      <c r="AE523" s="151"/>
      <c r="AF523" s="151"/>
      <c r="AG523" s="151"/>
      <c r="AH523" s="151"/>
      <c r="AI523" s="151"/>
      <c r="AJ523" s="151"/>
      <c r="AK523" s="151"/>
      <c r="AL523" s="151"/>
      <c r="AM523" s="151"/>
      <c r="AN523" s="151"/>
      <c r="AO523" s="151"/>
      <c r="AP523" s="151"/>
      <c r="AQ523" s="151"/>
      <c r="AR523" s="151"/>
      <c r="AS523" s="151"/>
      <c r="AT523" s="151"/>
      <c r="AU523" s="151"/>
      <c r="AV523" s="151"/>
      <c r="AW523" s="151"/>
      <c r="AX523" s="151"/>
      <c r="AY523" s="151"/>
      <c r="AZ523" s="151"/>
      <c r="BA523" s="151"/>
      <c r="BB523" s="151"/>
      <c r="BC523" s="151"/>
      <c r="BD523" s="151"/>
      <c r="BE523" s="151"/>
      <c r="BF523" s="151"/>
      <c r="BG523" s="151"/>
      <c r="BH523" s="151"/>
      <c r="BI523" s="151"/>
      <c r="BJ523" s="151"/>
      <c r="BK523" s="151"/>
      <c r="BL523" s="151"/>
      <c r="BM523" s="151"/>
      <c r="BN523" s="151"/>
      <c r="BO523" s="151"/>
      <c r="BP523" s="151"/>
      <c r="BQ523" s="151"/>
      <c r="BR523" s="151"/>
      <c r="BS523" s="151"/>
      <c r="BT523" s="151"/>
      <c r="BU523" s="151"/>
      <c r="BV523" s="151"/>
      <c r="BW523" s="151"/>
      <c r="BX523" s="151"/>
      <c r="BY523" s="174"/>
    </row>
    <row r="524" spans="1:77" s="19" customFormat="1" x14ac:dyDescent="0.15">
      <c r="A524" s="151">
        <v>1403010042</v>
      </c>
      <c r="B524" s="157" t="s">
        <v>507</v>
      </c>
      <c r="C524" s="151" t="s">
        <v>89</v>
      </c>
      <c r="D524" s="151"/>
      <c r="E524" s="151" t="s">
        <v>78</v>
      </c>
      <c r="F524" s="151"/>
      <c r="G524" s="151"/>
      <c r="H524" s="151"/>
      <c r="I524" s="151"/>
      <c r="J524" s="165"/>
      <c r="K524" s="165"/>
      <c r="L524" s="165"/>
      <c r="M524" s="165"/>
      <c r="N524" s="165"/>
      <c r="O524" s="151" t="s">
        <v>90</v>
      </c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  <c r="AB524" s="151"/>
      <c r="AC524" s="151"/>
      <c r="AD524" s="151">
        <v>1403010304</v>
      </c>
      <c r="AE524" s="151"/>
      <c r="AF524" s="151"/>
      <c r="AG524" s="151"/>
      <c r="AH524" s="151"/>
      <c r="AI524" s="151"/>
      <c r="AJ524" s="151"/>
      <c r="AK524" s="151"/>
      <c r="AL524" s="151"/>
      <c r="AM524" s="151"/>
      <c r="AN524" s="151"/>
      <c r="AO524" s="151"/>
      <c r="AP524" s="151"/>
      <c r="AQ524" s="151"/>
      <c r="AR524" s="151"/>
      <c r="AS524" s="151"/>
      <c r="AT524" s="151"/>
      <c r="AU524" s="151"/>
      <c r="AV524" s="151"/>
      <c r="AW524" s="151"/>
      <c r="AX524" s="151"/>
      <c r="AY524" s="151"/>
      <c r="AZ524" s="151"/>
      <c r="BA524" s="151"/>
      <c r="BB524" s="151"/>
      <c r="BC524" s="151"/>
      <c r="BD524" s="151"/>
      <c r="BE524" s="151"/>
      <c r="BF524" s="151"/>
      <c r="BG524" s="151"/>
      <c r="BH524" s="151"/>
      <c r="BI524" s="151"/>
      <c r="BJ524" s="151"/>
      <c r="BK524" s="151"/>
      <c r="BL524" s="151"/>
      <c r="BM524" s="151"/>
      <c r="BN524" s="151"/>
      <c r="BO524" s="151"/>
      <c r="BP524" s="151"/>
      <c r="BQ524" s="151"/>
      <c r="BR524" s="151"/>
      <c r="BS524" s="151"/>
      <c r="BT524" s="151"/>
      <c r="BU524" s="151"/>
      <c r="BV524" s="151"/>
      <c r="BW524" s="151"/>
      <c r="BX524" s="151"/>
      <c r="BY524" s="174"/>
    </row>
    <row r="525" spans="1:77" s="19" customFormat="1" x14ac:dyDescent="0.15">
      <c r="A525" s="151">
        <v>1403020011</v>
      </c>
      <c r="B525" s="157" t="s">
        <v>508</v>
      </c>
      <c r="C525" s="151" t="s">
        <v>89</v>
      </c>
      <c r="D525" s="151"/>
      <c r="E525" s="151" t="s">
        <v>78</v>
      </c>
      <c r="F525" s="151"/>
      <c r="G525" s="151"/>
      <c r="H525" s="151"/>
      <c r="I525" s="151"/>
      <c r="J525" s="165"/>
      <c r="K525" s="165"/>
      <c r="L525" s="165"/>
      <c r="M525" s="165"/>
      <c r="N525" s="165"/>
      <c r="O525" s="151" t="s">
        <v>90</v>
      </c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  <c r="AB525" s="151"/>
      <c r="AC525" s="151"/>
      <c r="AD525" s="151">
        <v>1403020101</v>
      </c>
      <c r="AE525" s="151"/>
      <c r="AF525" s="151"/>
      <c r="AG525" s="151"/>
      <c r="AH525" s="151"/>
      <c r="AI525" s="151"/>
      <c r="AJ525" s="151"/>
      <c r="AK525" s="151"/>
      <c r="AL525" s="151"/>
      <c r="AM525" s="151"/>
      <c r="AN525" s="151"/>
      <c r="AO525" s="151"/>
      <c r="AP525" s="151"/>
      <c r="AQ525" s="151"/>
      <c r="AR525" s="151"/>
      <c r="AS525" s="151"/>
      <c r="AT525" s="151"/>
      <c r="AU525" s="151"/>
      <c r="AV525" s="151"/>
      <c r="AW525" s="151"/>
      <c r="AX525" s="151"/>
      <c r="AY525" s="151"/>
      <c r="AZ525" s="151"/>
      <c r="BA525" s="151"/>
      <c r="BB525" s="151"/>
      <c r="BC525" s="151"/>
      <c r="BD525" s="151"/>
      <c r="BE525" s="151"/>
      <c r="BF525" s="151"/>
      <c r="BG525" s="151"/>
      <c r="BH525" s="151"/>
      <c r="BI525" s="151"/>
      <c r="BJ525" s="151"/>
      <c r="BK525" s="151"/>
      <c r="BL525" s="151"/>
      <c r="BM525" s="151"/>
      <c r="BN525" s="151"/>
      <c r="BO525" s="151"/>
      <c r="BP525" s="151"/>
      <c r="BQ525" s="151"/>
      <c r="BR525" s="151"/>
      <c r="BS525" s="151"/>
      <c r="BT525" s="151"/>
      <c r="BU525" s="151"/>
      <c r="BV525" s="151"/>
      <c r="BW525" s="151"/>
      <c r="BX525" s="151"/>
      <c r="BY525" s="174"/>
    </row>
    <row r="526" spans="1:77" s="19" customFormat="1" x14ac:dyDescent="0.15">
      <c r="A526" s="151">
        <v>1403020021</v>
      </c>
      <c r="B526" s="157" t="s">
        <v>508</v>
      </c>
      <c r="C526" s="151" t="s">
        <v>89</v>
      </c>
      <c r="D526" s="151"/>
      <c r="E526" s="151" t="s">
        <v>78</v>
      </c>
      <c r="F526" s="151"/>
      <c r="G526" s="151"/>
      <c r="H526" s="151"/>
      <c r="I526" s="151"/>
      <c r="J526" s="165"/>
      <c r="K526" s="165"/>
      <c r="L526" s="165"/>
      <c r="M526" s="165"/>
      <c r="N526" s="165"/>
      <c r="O526" s="151" t="s">
        <v>90</v>
      </c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  <c r="AB526" s="151"/>
      <c r="AC526" s="151"/>
      <c r="AD526" s="151">
        <v>1403020102</v>
      </c>
      <c r="AE526" s="151"/>
      <c r="AF526" s="151"/>
      <c r="AG526" s="151"/>
      <c r="AH526" s="151"/>
      <c r="AI526" s="151"/>
      <c r="AJ526" s="151"/>
      <c r="AK526" s="151"/>
      <c r="AL526" s="151"/>
      <c r="AM526" s="151"/>
      <c r="AN526" s="151"/>
      <c r="AO526" s="151"/>
      <c r="AP526" s="151"/>
      <c r="AQ526" s="151"/>
      <c r="AR526" s="151"/>
      <c r="AS526" s="151"/>
      <c r="AT526" s="151"/>
      <c r="AU526" s="151"/>
      <c r="AV526" s="151"/>
      <c r="AW526" s="151"/>
      <c r="AX526" s="151"/>
      <c r="AY526" s="151"/>
      <c r="AZ526" s="151"/>
      <c r="BA526" s="151"/>
      <c r="BB526" s="151"/>
      <c r="BC526" s="151"/>
      <c r="BD526" s="151"/>
      <c r="BE526" s="151"/>
      <c r="BF526" s="151"/>
      <c r="BG526" s="151"/>
      <c r="BH526" s="151"/>
      <c r="BI526" s="151"/>
      <c r="BJ526" s="151"/>
      <c r="BK526" s="151"/>
      <c r="BL526" s="151"/>
      <c r="BM526" s="151"/>
      <c r="BN526" s="151"/>
      <c r="BO526" s="151"/>
      <c r="BP526" s="151"/>
      <c r="BQ526" s="151"/>
      <c r="BR526" s="151"/>
      <c r="BS526" s="151"/>
      <c r="BT526" s="151"/>
      <c r="BU526" s="151"/>
      <c r="BV526" s="151"/>
      <c r="BW526" s="151"/>
      <c r="BX526" s="151"/>
      <c r="BY526" s="174"/>
    </row>
    <row r="527" spans="1:77" s="19" customFormat="1" x14ac:dyDescent="0.15">
      <c r="A527" s="151">
        <v>1403020031</v>
      </c>
      <c r="B527" s="157" t="s">
        <v>508</v>
      </c>
      <c r="C527" s="151" t="s">
        <v>89</v>
      </c>
      <c r="D527" s="151"/>
      <c r="E527" s="151" t="s">
        <v>78</v>
      </c>
      <c r="F527" s="151"/>
      <c r="G527" s="151"/>
      <c r="H527" s="151"/>
      <c r="I527" s="151"/>
      <c r="J527" s="165"/>
      <c r="K527" s="165"/>
      <c r="L527" s="165"/>
      <c r="M527" s="165"/>
      <c r="N527" s="165"/>
      <c r="O527" s="151" t="s">
        <v>90</v>
      </c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  <c r="AB527" s="151"/>
      <c r="AC527" s="151"/>
      <c r="AD527" s="151">
        <v>1403020103</v>
      </c>
      <c r="AE527" s="151"/>
      <c r="AF527" s="151"/>
      <c r="AG527" s="151"/>
      <c r="AH527" s="151"/>
      <c r="AI527" s="151"/>
      <c r="AJ527" s="151"/>
      <c r="AK527" s="151"/>
      <c r="AL527" s="151"/>
      <c r="AM527" s="151"/>
      <c r="AN527" s="151"/>
      <c r="AO527" s="151"/>
      <c r="AP527" s="151"/>
      <c r="AQ527" s="151"/>
      <c r="AR527" s="151"/>
      <c r="AS527" s="151"/>
      <c r="AT527" s="151"/>
      <c r="AU527" s="151"/>
      <c r="AV527" s="151"/>
      <c r="AW527" s="151"/>
      <c r="AX527" s="151"/>
      <c r="AY527" s="151"/>
      <c r="AZ527" s="151"/>
      <c r="BA527" s="151"/>
      <c r="BB527" s="151"/>
      <c r="BC527" s="151"/>
      <c r="BD527" s="151"/>
      <c r="BE527" s="151"/>
      <c r="BF527" s="151"/>
      <c r="BG527" s="151"/>
      <c r="BH527" s="151"/>
      <c r="BI527" s="151"/>
      <c r="BJ527" s="151"/>
      <c r="BK527" s="151"/>
      <c r="BL527" s="151"/>
      <c r="BM527" s="151"/>
      <c r="BN527" s="151"/>
      <c r="BO527" s="151"/>
      <c r="BP527" s="151"/>
      <c r="BQ527" s="151"/>
      <c r="BR527" s="151"/>
      <c r="BS527" s="151"/>
      <c r="BT527" s="151"/>
      <c r="BU527" s="151"/>
      <c r="BV527" s="151"/>
      <c r="BW527" s="151"/>
      <c r="BX527" s="151"/>
      <c r="BY527" s="174"/>
    </row>
    <row r="528" spans="1:77" s="19" customFormat="1" x14ac:dyDescent="0.15">
      <c r="A528" s="151">
        <v>1403020041</v>
      </c>
      <c r="B528" s="157" t="s">
        <v>508</v>
      </c>
      <c r="C528" s="151" t="s">
        <v>89</v>
      </c>
      <c r="D528" s="151"/>
      <c r="E528" s="151" t="s">
        <v>78</v>
      </c>
      <c r="F528" s="151"/>
      <c r="G528" s="151"/>
      <c r="H528" s="151"/>
      <c r="I528" s="151"/>
      <c r="J528" s="165"/>
      <c r="K528" s="165"/>
      <c r="L528" s="165"/>
      <c r="M528" s="165"/>
      <c r="N528" s="165"/>
      <c r="O528" s="151" t="s">
        <v>90</v>
      </c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  <c r="AB528" s="151"/>
      <c r="AC528" s="151"/>
      <c r="AD528" s="151">
        <v>1403020104</v>
      </c>
      <c r="AE528" s="151"/>
      <c r="AF528" s="151"/>
      <c r="AG528" s="151"/>
      <c r="AH528" s="151"/>
      <c r="AI528" s="151"/>
      <c r="AJ528" s="151"/>
      <c r="AK528" s="151"/>
      <c r="AL528" s="151"/>
      <c r="AM528" s="151"/>
      <c r="AN528" s="151"/>
      <c r="AO528" s="151"/>
      <c r="AP528" s="151"/>
      <c r="AQ528" s="151"/>
      <c r="AR528" s="151"/>
      <c r="AS528" s="151"/>
      <c r="AT528" s="151"/>
      <c r="AU528" s="151"/>
      <c r="AV528" s="151"/>
      <c r="AW528" s="151"/>
      <c r="AX528" s="151"/>
      <c r="AY528" s="151"/>
      <c r="AZ528" s="151"/>
      <c r="BA528" s="151"/>
      <c r="BB528" s="151"/>
      <c r="BC528" s="151"/>
      <c r="BD528" s="151"/>
      <c r="BE528" s="151"/>
      <c r="BF528" s="151"/>
      <c r="BG528" s="151"/>
      <c r="BH528" s="151"/>
      <c r="BI528" s="151"/>
      <c r="BJ528" s="151"/>
      <c r="BK528" s="151"/>
      <c r="BL528" s="151"/>
      <c r="BM528" s="151"/>
      <c r="BN528" s="151"/>
      <c r="BO528" s="151"/>
      <c r="BP528" s="151"/>
      <c r="BQ528" s="151"/>
      <c r="BR528" s="151"/>
      <c r="BS528" s="151"/>
      <c r="BT528" s="151"/>
      <c r="BU528" s="151"/>
      <c r="BV528" s="151"/>
      <c r="BW528" s="151"/>
      <c r="BX528" s="151"/>
      <c r="BY528" s="174"/>
    </row>
    <row r="529" spans="1:77" s="19" customFormat="1" x14ac:dyDescent="0.15">
      <c r="A529" s="151">
        <v>1403100011</v>
      </c>
      <c r="B529" s="157" t="s">
        <v>509</v>
      </c>
      <c r="C529" s="151" t="s">
        <v>100</v>
      </c>
      <c r="D529" s="151"/>
      <c r="E529" s="151" t="s">
        <v>83</v>
      </c>
      <c r="F529" s="151">
        <v>80000</v>
      </c>
      <c r="G529" s="151"/>
      <c r="H529" s="151"/>
      <c r="I529" s="151"/>
      <c r="J529" s="165"/>
      <c r="K529" s="165"/>
      <c r="L529" s="165"/>
      <c r="M529" s="162" t="s">
        <v>101</v>
      </c>
      <c r="N529" s="162" t="s">
        <v>842</v>
      </c>
      <c r="O529" s="151" t="s">
        <v>79</v>
      </c>
      <c r="P529" s="151" t="s">
        <v>167</v>
      </c>
      <c r="Q529" s="151">
        <v>50</v>
      </c>
      <c r="R529" s="151">
        <v>2500</v>
      </c>
      <c r="S529" s="151"/>
      <c r="T529" s="151"/>
      <c r="U529" s="151"/>
      <c r="V529" s="151"/>
      <c r="W529" s="151"/>
      <c r="X529" s="151"/>
      <c r="Y529" s="151"/>
      <c r="Z529" s="151"/>
      <c r="AA529" s="151"/>
      <c r="AB529" s="151"/>
      <c r="AC529" s="151"/>
      <c r="AD529" s="151"/>
      <c r="AE529" s="151"/>
      <c r="AF529" s="151"/>
      <c r="AG529" s="151"/>
      <c r="AH529" s="151"/>
      <c r="AI529" s="151"/>
      <c r="AJ529" s="151"/>
      <c r="AK529" s="151"/>
      <c r="AL529" s="151"/>
      <c r="AM529" s="151"/>
      <c r="AN529" s="151"/>
      <c r="AO529" s="151"/>
      <c r="AP529" s="151"/>
      <c r="AQ529" s="151"/>
      <c r="AR529" s="151"/>
      <c r="AS529" s="151"/>
      <c r="AT529" s="151"/>
      <c r="AU529" s="151"/>
      <c r="AV529" s="151"/>
      <c r="AW529" s="151"/>
      <c r="AX529" s="151"/>
      <c r="AY529" s="151"/>
      <c r="AZ529" s="151"/>
      <c r="BA529" s="151"/>
      <c r="BB529" s="151"/>
      <c r="BC529" s="151"/>
      <c r="BD529" s="151"/>
      <c r="BE529" s="151"/>
      <c r="BF529" s="151"/>
      <c r="BG529" s="151"/>
      <c r="BH529" s="151"/>
      <c r="BI529" s="151"/>
      <c r="BJ529" s="151"/>
      <c r="BK529" s="151"/>
      <c r="BL529" s="151"/>
      <c r="BM529" s="151"/>
      <c r="BN529" s="151"/>
      <c r="BO529" s="151"/>
      <c r="BP529" s="151"/>
      <c r="BQ529" s="151"/>
      <c r="BR529" s="151"/>
      <c r="BS529" s="151"/>
      <c r="BT529" s="151"/>
      <c r="BU529" s="151"/>
      <c r="BV529" s="151"/>
      <c r="BW529" s="151"/>
      <c r="BX529" s="151"/>
      <c r="BY529" s="174"/>
    </row>
    <row r="530" spans="1:77" s="19" customFormat="1" x14ac:dyDescent="0.15">
      <c r="A530" s="151">
        <v>1403100021</v>
      </c>
      <c r="B530" s="157" t="s">
        <v>509</v>
      </c>
      <c r="C530" s="151" t="s">
        <v>100</v>
      </c>
      <c r="D530" s="151"/>
      <c r="E530" s="151" t="s">
        <v>83</v>
      </c>
      <c r="F530" s="151">
        <v>80000</v>
      </c>
      <c r="G530" s="151"/>
      <c r="H530" s="151"/>
      <c r="I530" s="151"/>
      <c r="J530" s="165"/>
      <c r="K530" s="165"/>
      <c r="L530" s="165"/>
      <c r="M530" s="162" t="s">
        <v>101</v>
      </c>
      <c r="N530" s="162" t="s">
        <v>842</v>
      </c>
      <c r="O530" s="151" t="s">
        <v>79</v>
      </c>
      <c r="P530" s="151" t="s">
        <v>167</v>
      </c>
      <c r="Q530" s="151">
        <v>75</v>
      </c>
      <c r="R530" s="151">
        <v>2500</v>
      </c>
      <c r="S530" s="151"/>
      <c r="T530" s="151"/>
      <c r="U530" s="151"/>
      <c r="V530" s="151"/>
      <c r="W530" s="151"/>
      <c r="X530" s="151"/>
      <c r="Y530" s="151"/>
      <c r="Z530" s="151"/>
      <c r="AA530" s="151"/>
      <c r="AB530" s="151"/>
      <c r="AC530" s="151"/>
      <c r="AD530" s="151"/>
      <c r="AE530" s="151"/>
      <c r="AF530" s="151"/>
      <c r="AG530" s="151"/>
      <c r="AH530" s="151"/>
      <c r="AI530" s="151"/>
      <c r="AJ530" s="151"/>
      <c r="AK530" s="151"/>
      <c r="AL530" s="151"/>
      <c r="AM530" s="151"/>
      <c r="AN530" s="151"/>
      <c r="AO530" s="151"/>
      <c r="AP530" s="151"/>
      <c r="AQ530" s="151"/>
      <c r="AR530" s="151"/>
      <c r="AS530" s="151"/>
      <c r="AT530" s="151"/>
      <c r="AU530" s="151"/>
      <c r="AV530" s="151"/>
      <c r="AW530" s="151"/>
      <c r="AX530" s="151"/>
      <c r="AY530" s="151"/>
      <c r="AZ530" s="151"/>
      <c r="BA530" s="151"/>
      <c r="BB530" s="151"/>
      <c r="BC530" s="151"/>
      <c r="BD530" s="151"/>
      <c r="BE530" s="151"/>
      <c r="BF530" s="151"/>
      <c r="BG530" s="151"/>
      <c r="BH530" s="151"/>
      <c r="BI530" s="151"/>
      <c r="BJ530" s="151"/>
      <c r="BK530" s="151"/>
      <c r="BL530" s="151"/>
      <c r="BM530" s="151"/>
      <c r="BN530" s="151"/>
      <c r="BO530" s="151"/>
      <c r="BP530" s="151"/>
      <c r="BQ530" s="151"/>
      <c r="BR530" s="151"/>
      <c r="BS530" s="151"/>
      <c r="BT530" s="151"/>
      <c r="BU530" s="151"/>
      <c r="BV530" s="151"/>
      <c r="BW530" s="151"/>
      <c r="BX530" s="151"/>
      <c r="BY530" s="174"/>
    </row>
    <row r="531" spans="1:77" s="19" customFormat="1" x14ac:dyDescent="0.15">
      <c r="A531" s="151">
        <v>1403100031</v>
      </c>
      <c r="B531" s="157" t="s">
        <v>509</v>
      </c>
      <c r="C531" s="151" t="s">
        <v>100</v>
      </c>
      <c r="D531" s="151"/>
      <c r="E531" s="151" t="s">
        <v>83</v>
      </c>
      <c r="F531" s="151">
        <v>80000</v>
      </c>
      <c r="G531" s="151"/>
      <c r="H531" s="151"/>
      <c r="I531" s="151"/>
      <c r="J531" s="165"/>
      <c r="K531" s="165"/>
      <c r="L531" s="165"/>
      <c r="M531" s="162" t="s">
        <v>101</v>
      </c>
      <c r="N531" s="162" t="s">
        <v>842</v>
      </c>
      <c r="O531" s="151" t="s">
        <v>79</v>
      </c>
      <c r="P531" s="151" t="s">
        <v>167</v>
      </c>
      <c r="Q531" s="151">
        <v>100</v>
      </c>
      <c r="R531" s="151">
        <v>2500</v>
      </c>
      <c r="S531" s="151"/>
      <c r="T531" s="151"/>
      <c r="U531" s="151"/>
      <c r="V531" s="151"/>
      <c r="W531" s="151"/>
      <c r="X531" s="151"/>
      <c r="Y531" s="151"/>
      <c r="Z531" s="151"/>
      <c r="AA531" s="151"/>
      <c r="AB531" s="151"/>
      <c r="AC531" s="151"/>
      <c r="AD531" s="151"/>
      <c r="AE531" s="151"/>
      <c r="AF531" s="151"/>
      <c r="AG531" s="151"/>
      <c r="AH531" s="151"/>
      <c r="AI531" s="151"/>
      <c r="AJ531" s="151"/>
      <c r="AK531" s="151"/>
      <c r="AL531" s="151"/>
      <c r="AM531" s="151"/>
      <c r="AN531" s="151"/>
      <c r="AO531" s="151"/>
      <c r="AP531" s="151"/>
      <c r="AQ531" s="151"/>
      <c r="AR531" s="151"/>
      <c r="AS531" s="151"/>
      <c r="AT531" s="151"/>
      <c r="AU531" s="151"/>
      <c r="AV531" s="151"/>
      <c r="AW531" s="151"/>
      <c r="AX531" s="151"/>
      <c r="AY531" s="151"/>
      <c r="AZ531" s="151"/>
      <c r="BA531" s="151"/>
      <c r="BB531" s="151"/>
      <c r="BC531" s="151"/>
      <c r="BD531" s="151"/>
      <c r="BE531" s="151"/>
      <c r="BF531" s="151"/>
      <c r="BG531" s="151"/>
      <c r="BH531" s="151"/>
      <c r="BI531" s="151"/>
      <c r="BJ531" s="151"/>
      <c r="BK531" s="151"/>
      <c r="BL531" s="151"/>
      <c r="BM531" s="151"/>
      <c r="BN531" s="151"/>
      <c r="BO531" s="151"/>
      <c r="BP531" s="151"/>
      <c r="BQ531" s="151"/>
      <c r="BR531" s="151"/>
      <c r="BS531" s="151"/>
      <c r="BT531" s="151"/>
      <c r="BU531" s="151"/>
      <c r="BV531" s="151"/>
      <c r="BW531" s="151"/>
      <c r="BX531" s="151"/>
      <c r="BY531" s="174"/>
    </row>
    <row r="532" spans="1:77" s="19" customFormat="1" x14ac:dyDescent="0.15">
      <c r="A532" s="151">
        <v>1403100041</v>
      </c>
      <c r="B532" s="157" t="s">
        <v>509</v>
      </c>
      <c r="C532" s="151" t="s">
        <v>100</v>
      </c>
      <c r="D532" s="151"/>
      <c r="E532" s="151" t="s">
        <v>83</v>
      </c>
      <c r="F532" s="151">
        <v>80000</v>
      </c>
      <c r="G532" s="151"/>
      <c r="H532" s="151"/>
      <c r="I532" s="151"/>
      <c r="J532" s="165"/>
      <c r="K532" s="165"/>
      <c r="L532" s="165"/>
      <c r="M532" s="162" t="s">
        <v>101</v>
      </c>
      <c r="N532" s="162" t="s">
        <v>842</v>
      </c>
      <c r="O532" s="151" t="s">
        <v>79</v>
      </c>
      <c r="P532" s="151" t="s">
        <v>167</v>
      </c>
      <c r="Q532" s="151">
        <v>125</v>
      </c>
      <c r="R532" s="151">
        <v>2500</v>
      </c>
      <c r="S532" s="151"/>
      <c r="T532" s="151"/>
      <c r="U532" s="151"/>
      <c r="V532" s="151"/>
      <c r="W532" s="151"/>
      <c r="X532" s="151"/>
      <c r="Y532" s="151"/>
      <c r="Z532" s="151"/>
      <c r="AA532" s="151"/>
      <c r="AB532" s="151"/>
      <c r="AC532" s="151"/>
      <c r="AD532" s="151"/>
      <c r="AE532" s="151"/>
      <c r="AF532" s="151"/>
      <c r="AG532" s="151"/>
      <c r="AH532" s="151"/>
      <c r="AI532" s="151"/>
      <c r="AJ532" s="151"/>
      <c r="AK532" s="151"/>
      <c r="AL532" s="151"/>
      <c r="AM532" s="151"/>
      <c r="AN532" s="151"/>
      <c r="AO532" s="151"/>
      <c r="AP532" s="151"/>
      <c r="AQ532" s="151"/>
      <c r="AR532" s="151"/>
      <c r="AS532" s="151"/>
      <c r="AT532" s="151"/>
      <c r="AU532" s="151"/>
      <c r="AV532" s="151"/>
      <c r="AW532" s="151"/>
      <c r="AX532" s="151"/>
      <c r="AY532" s="151"/>
      <c r="AZ532" s="151"/>
      <c r="BA532" s="151"/>
      <c r="BB532" s="151"/>
      <c r="BC532" s="151"/>
      <c r="BD532" s="151"/>
      <c r="BE532" s="151"/>
      <c r="BF532" s="151"/>
      <c r="BG532" s="151"/>
      <c r="BH532" s="151"/>
      <c r="BI532" s="151"/>
      <c r="BJ532" s="151"/>
      <c r="BK532" s="151"/>
      <c r="BL532" s="151"/>
      <c r="BM532" s="151"/>
      <c r="BN532" s="151"/>
      <c r="BO532" s="151"/>
      <c r="BP532" s="151"/>
      <c r="BQ532" s="151"/>
      <c r="BR532" s="151"/>
      <c r="BS532" s="151"/>
      <c r="BT532" s="151"/>
      <c r="BU532" s="151"/>
      <c r="BV532" s="151"/>
      <c r="BW532" s="151"/>
      <c r="BX532" s="151"/>
      <c r="BY532" s="174"/>
    </row>
    <row r="533" spans="1:77" s="19" customFormat="1" x14ac:dyDescent="0.15">
      <c r="A533" s="151">
        <v>1403040013</v>
      </c>
      <c r="B533" s="157" t="s">
        <v>510</v>
      </c>
      <c r="C533" s="151" t="s">
        <v>511</v>
      </c>
      <c r="D533" s="151"/>
      <c r="E533" s="151" t="s">
        <v>78</v>
      </c>
      <c r="F533" s="151"/>
      <c r="G533" s="151"/>
      <c r="H533" s="151"/>
      <c r="I533" s="151"/>
      <c r="J533" s="165"/>
      <c r="K533" s="165"/>
      <c r="L533" s="165"/>
      <c r="M533" s="165"/>
      <c r="N533" s="165"/>
      <c r="O533" s="151" t="s">
        <v>512</v>
      </c>
      <c r="P533" s="151" t="s">
        <v>167</v>
      </c>
      <c r="Q533" s="151"/>
      <c r="R533" s="151"/>
      <c r="S533" s="151"/>
      <c r="T533" s="151"/>
      <c r="U533" s="151"/>
      <c r="V533" s="151"/>
      <c r="W533" s="151" t="s">
        <v>168</v>
      </c>
      <c r="X533" s="151" t="s">
        <v>325</v>
      </c>
      <c r="Y533" s="151" t="s">
        <v>170</v>
      </c>
      <c r="Z533" s="151" t="s">
        <v>308</v>
      </c>
      <c r="AA533" s="151">
        <v>10000</v>
      </c>
      <c r="AB533" s="151">
        <v>9999</v>
      </c>
      <c r="AC533" s="151"/>
      <c r="AD533" s="151"/>
      <c r="AE533" s="151"/>
      <c r="AF533" s="151"/>
      <c r="AG533" s="151"/>
      <c r="AH533" s="151"/>
      <c r="AI533" s="151"/>
      <c r="AJ533" s="151"/>
      <c r="AK533" s="151"/>
      <c r="AL533" s="151"/>
      <c r="AM533" s="151"/>
      <c r="AN533" s="151"/>
      <c r="AO533" s="151"/>
      <c r="AP533" s="151"/>
      <c r="AQ533" s="151"/>
      <c r="AR533" s="151"/>
      <c r="AS533" s="151"/>
      <c r="AT533" s="151"/>
      <c r="AU533" s="151"/>
      <c r="AV533" s="151"/>
      <c r="AW533" s="151"/>
      <c r="AX533" s="151"/>
      <c r="AY533" s="151"/>
      <c r="AZ533" s="151"/>
      <c r="BA533" s="151"/>
      <c r="BB533" s="151"/>
      <c r="BC533" s="151"/>
      <c r="BD533" s="151"/>
      <c r="BE533" s="151"/>
      <c r="BF533" s="151"/>
      <c r="BG533" s="151"/>
      <c r="BH533" s="151"/>
      <c r="BI533" s="151"/>
      <c r="BJ533" s="151"/>
      <c r="BK533" s="151"/>
      <c r="BL533" s="151"/>
      <c r="BM533" s="151"/>
      <c r="BN533" s="151"/>
      <c r="BO533" s="151"/>
      <c r="BP533" s="151"/>
      <c r="BQ533" s="151"/>
      <c r="BR533" s="151"/>
      <c r="BS533" s="151"/>
      <c r="BT533" s="151"/>
      <c r="BU533" s="151"/>
      <c r="BV533" s="151"/>
      <c r="BW533" s="151"/>
      <c r="BX533" s="151"/>
      <c r="BY533" s="174"/>
    </row>
    <row r="534" spans="1:77" s="19" customFormat="1" x14ac:dyDescent="0.15">
      <c r="A534" s="151">
        <v>1403040011</v>
      </c>
      <c r="B534" s="157" t="s">
        <v>513</v>
      </c>
      <c r="C534" s="151" t="s">
        <v>100</v>
      </c>
      <c r="D534" s="151"/>
      <c r="E534" s="151" t="s">
        <v>83</v>
      </c>
      <c r="F534" s="151">
        <v>70000</v>
      </c>
      <c r="G534" s="151"/>
      <c r="H534" s="151"/>
      <c r="I534" s="151"/>
      <c r="J534" s="165"/>
      <c r="K534" s="165"/>
      <c r="L534" s="165"/>
      <c r="M534" s="162" t="s">
        <v>101</v>
      </c>
      <c r="N534" s="162" t="s">
        <v>842</v>
      </c>
      <c r="O534" s="151" t="s">
        <v>79</v>
      </c>
      <c r="P534" s="151" t="s">
        <v>80</v>
      </c>
      <c r="Q534" s="151">
        <v>210</v>
      </c>
      <c r="R534" s="151">
        <v>4000</v>
      </c>
      <c r="S534" s="151"/>
      <c r="T534" s="151"/>
      <c r="U534" s="151"/>
      <c r="V534" s="151"/>
      <c r="W534" s="151"/>
      <c r="X534" s="151"/>
      <c r="Y534" s="151"/>
      <c r="Z534" s="151"/>
      <c r="AA534" s="151"/>
      <c r="AB534" s="151"/>
      <c r="AC534" s="151"/>
      <c r="AD534" s="151"/>
      <c r="AE534" s="151"/>
      <c r="AF534" s="151"/>
      <c r="AG534" s="151"/>
      <c r="AH534" s="151"/>
      <c r="AI534" s="151"/>
      <c r="AJ534" s="151"/>
      <c r="AK534" s="151"/>
      <c r="AL534" s="151"/>
      <c r="AM534" s="151"/>
      <c r="AN534" s="151"/>
      <c r="AO534" s="151"/>
      <c r="AP534" s="151"/>
      <c r="AQ534" s="151"/>
      <c r="AR534" s="151"/>
      <c r="AS534" s="151"/>
      <c r="AT534" s="151"/>
      <c r="AU534" s="151"/>
      <c r="AV534" s="151"/>
      <c r="AW534" s="151"/>
      <c r="AX534" s="151"/>
      <c r="AY534" s="151"/>
      <c r="AZ534" s="151"/>
      <c r="BA534" s="151"/>
      <c r="BB534" s="151"/>
      <c r="BC534" s="151"/>
      <c r="BD534" s="151"/>
      <c r="BE534" s="151"/>
      <c r="BF534" s="151"/>
      <c r="BG534" s="151"/>
      <c r="BH534" s="151"/>
      <c r="BI534" s="151"/>
      <c r="BJ534" s="151"/>
      <c r="BK534" s="151"/>
      <c r="BL534" s="151"/>
      <c r="BM534" s="151"/>
      <c r="BN534" s="151"/>
      <c r="BO534" s="151"/>
      <c r="BP534" s="151"/>
      <c r="BQ534" s="151"/>
      <c r="BR534" s="151"/>
      <c r="BS534" s="151"/>
      <c r="BT534" s="151"/>
      <c r="BU534" s="151"/>
      <c r="BV534" s="151"/>
      <c r="BW534" s="151"/>
      <c r="BX534" s="151"/>
      <c r="BY534" s="174"/>
    </row>
    <row r="535" spans="1:77" s="19" customFormat="1" x14ac:dyDescent="0.15">
      <c r="A535" s="151">
        <v>1403040021</v>
      </c>
      <c r="B535" s="157" t="s">
        <v>513</v>
      </c>
      <c r="C535" s="151" t="s">
        <v>100</v>
      </c>
      <c r="D535" s="151"/>
      <c r="E535" s="151" t="s">
        <v>83</v>
      </c>
      <c r="F535" s="151">
        <v>70000</v>
      </c>
      <c r="G535" s="151"/>
      <c r="H535" s="151"/>
      <c r="I535" s="151"/>
      <c r="J535" s="165"/>
      <c r="K535" s="165"/>
      <c r="L535" s="165"/>
      <c r="M535" s="162" t="s">
        <v>101</v>
      </c>
      <c r="N535" s="162" t="s">
        <v>842</v>
      </c>
      <c r="O535" s="151" t="s">
        <v>79</v>
      </c>
      <c r="P535" s="151" t="s">
        <v>80</v>
      </c>
      <c r="Q535" s="151">
        <v>300</v>
      </c>
      <c r="R535" s="151">
        <v>4000</v>
      </c>
      <c r="S535" s="151"/>
      <c r="T535" s="151"/>
      <c r="U535" s="151"/>
      <c r="V535" s="151"/>
      <c r="W535" s="151"/>
      <c r="X535" s="151"/>
      <c r="Y535" s="151"/>
      <c r="Z535" s="151"/>
      <c r="AA535" s="151"/>
      <c r="AB535" s="151"/>
      <c r="AC535" s="151"/>
      <c r="AD535" s="151"/>
      <c r="AE535" s="151"/>
      <c r="AF535" s="151"/>
      <c r="AG535" s="151"/>
      <c r="AH535" s="151"/>
      <c r="AI535" s="151"/>
      <c r="AJ535" s="151"/>
      <c r="AK535" s="151"/>
      <c r="AL535" s="151"/>
      <c r="AM535" s="151"/>
      <c r="AN535" s="151"/>
      <c r="AO535" s="151"/>
      <c r="AP535" s="151"/>
      <c r="AQ535" s="151"/>
      <c r="AR535" s="151"/>
      <c r="AS535" s="151"/>
      <c r="AT535" s="151"/>
      <c r="AU535" s="151"/>
      <c r="AV535" s="151"/>
      <c r="AW535" s="151"/>
      <c r="AX535" s="151"/>
      <c r="AY535" s="151"/>
      <c r="AZ535" s="151"/>
      <c r="BA535" s="151"/>
      <c r="BB535" s="151"/>
      <c r="BC535" s="151"/>
      <c r="BD535" s="151"/>
      <c r="BE535" s="151"/>
      <c r="BF535" s="151"/>
      <c r="BG535" s="151"/>
      <c r="BH535" s="151"/>
      <c r="BI535" s="151"/>
      <c r="BJ535" s="151"/>
      <c r="BK535" s="151"/>
      <c r="BL535" s="151"/>
      <c r="BM535" s="151"/>
      <c r="BN535" s="151"/>
      <c r="BO535" s="151"/>
      <c r="BP535" s="151"/>
      <c r="BQ535" s="151"/>
      <c r="BR535" s="151"/>
      <c r="BS535" s="151"/>
      <c r="BT535" s="151"/>
      <c r="BU535" s="151"/>
      <c r="BV535" s="151"/>
      <c r="BW535" s="151"/>
      <c r="BX535" s="151"/>
      <c r="BY535" s="174"/>
    </row>
    <row r="536" spans="1:77" s="19" customFormat="1" x14ac:dyDescent="0.15">
      <c r="A536" s="151">
        <v>1403040012</v>
      </c>
      <c r="B536" s="157" t="s">
        <v>514</v>
      </c>
      <c r="C536" s="151" t="s">
        <v>100</v>
      </c>
      <c r="D536" s="151"/>
      <c r="E536" s="151" t="s">
        <v>83</v>
      </c>
      <c r="F536" s="151">
        <v>40000</v>
      </c>
      <c r="G536" s="151"/>
      <c r="H536" s="151"/>
      <c r="I536" s="151"/>
      <c r="J536" s="165"/>
      <c r="K536" s="165"/>
      <c r="L536" s="165"/>
      <c r="M536" s="162" t="s">
        <v>101</v>
      </c>
      <c r="N536" s="162" t="s">
        <v>842</v>
      </c>
      <c r="O536" s="151" t="s">
        <v>79</v>
      </c>
      <c r="P536" s="151" t="s">
        <v>80</v>
      </c>
      <c r="Q536" s="151">
        <v>210</v>
      </c>
      <c r="R536" s="151">
        <v>4000</v>
      </c>
      <c r="S536" s="151"/>
      <c r="T536" s="151"/>
      <c r="U536" s="151"/>
      <c r="V536" s="151"/>
      <c r="W536" s="151"/>
      <c r="X536" s="151"/>
      <c r="Y536" s="151"/>
      <c r="Z536" s="151"/>
      <c r="AA536" s="151"/>
      <c r="AB536" s="151"/>
      <c r="AC536" s="151"/>
      <c r="AD536" s="151"/>
      <c r="AE536" s="151"/>
      <c r="AF536" s="151"/>
      <c r="AG536" s="151"/>
      <c r="AH536" s="151"/>
      <c r="AI536" s="151"/>
      <c r="AJ536" s="151"/>
      <c r="AK536" s="151"/>
      <c r="AL536" s="151"/>
      <c r="AM536" s="151"/>
      <c r="AN536" s="151"/>
      <c r="AO536" s="151"/>
      <c r="AP536" s="151"/>
      <c r="AQ536" s="151"/>
      <c r="AR536" s="151"/>
      <c r="AS536" s="151"/>
      <c r="AT536" s="151"/>
      <c r="AU536" s="151"/>
      <c r="AV536" s="151"/>
      <c r="AW536" s="151"/>
      <c r="AX536" s="151"/>
      <c r="AY536" s="151"/>
      <c r="AZ536" s="151"/>
      <c r="BA536" s="151"/>
      <c r="BB536" s="151"/>
      <c r="BC536" s="151"/>
      <c r="BD536" s="151"/>
      <c r="BE536" s="151"/>
      <c r="BF536" s="151"/>
      <c r="BG536" s="151"/>
      <c r="BH536" s="151"/>
      <c r="BI536" s="151"/>
      <c r="BJ536" s="151"/>
      <c r="BK536" s="151"/>
      <c r="BL536" s="151"/>
      <c r="BM536" s="151"/>
      <c r="BN536" s="151"/>
      <c r="BO536" s="151"/>
      <c r="BP536" s="151"/>
      <c r="BQ536" s="151"/>
      <c r="BR536" s="151"/>
      <c r="BS536" s="151"/>
      <c r="BT536" s="151"/>
      <c r="BU536" s="151"/>
      <c r="BV536" s="151"/>
      <c r="BW536" s="151"/>
      <c r="BX536" s="151"/>
      <c r="BY536" s="174"/>
    </row>
    <row r="537" spans="1:77" s="19" customFormat="1" x14ac:dyDescent="0.15">
      <c r="A537" s="151">
        <v>1403040022</v>
      </c>
      <c r="B537" s="157" t="s">
        <v>514</v>
      </c>
      <c r="C537" s="151" t="s">
        <v>100</v>
      </c>
      <c r="D537" s="151"/>
      <c r="E537" s="151" t="s">
        <v>83</v>
      </c>
      <c r="F537" s="151">
        <v>40000</v>
      </c>
      <c r="G537" s="151"/>
      <c r="H537" s="151"/>
      <c r="I537" s="151"/>
      <c r="J537" s="165"/>
      <c r="K537" s="165"/>
      <c r="L537" s="165"/>
      <c r="M537" s="162" t="s">
        <v>101</v>
      </c>
      <c r="N537" s="162" t="s">
        <v>842</v>
      </c>
      <c r="O537" s="151" t="s">
        <v>79</v>
      </c>
      <c r="P537" s="151" t="s">
        <v>80</v>
      </c>
      <c r="Q537" s="151">
        <v>300</v>
      </c>
      <c r="R537" s="151">
        <v>4000</v>
      </c>
      <c r="S537" s="151"/>
      <c r="T537" s="151"/>
      <c r="U537" s="151"/>
      <c r="V537" s="151"/>
      <c r="W537" s="151"/>
      <c r="X537" s="151"/>
      <c r="Y537" s="151"/>
      <c r="Z537" s="151"/>
      <c r="AA537" s="151"/>
      <c r="AB537" s="151"/>
      <c r="AC537" s="151"/>
      <c r="AD537" s="151"/>
      <c r="AE537" s="151"/>
      <c r="AF537" s="151"/>
      <c r="AG537" s="151"/>
      <c r="AH537" s="151"/>
      <c r="AI537" s="151"/>
      <c r="AJ537" s="151"/>
      <c r="AK537" s="151"/>
      <c r="AL537" s="151"/>
      <c r="AM537" s="151"/>
      <c r="AN537" s="151"/>
      <c r="AO537" s="151"/>
      <c r="AP537" s="151"/>
      <c r="AQ537" s="151"/>
      <c r="AR537" s="151"/>
      <c r="AS537" s="151"/>
      <c r="AT537" s="151"/>
      <c r="AU537" s="151"/>
      <c r="AV537" s="151"/>
      <c r="AW537" s="151"/>
      <c r="AX537" s="151"/>
      <c r="AY537" s="151"/>
      <c r="AZ537" s="151"/>
      <c r="BA537" s="151"/>
      <c r="BB537" s="151"/>
      <c r="BC537" s="151"/>
      <c r="BD537" s="151"/>
      <c r="BE537" s="151"/>
      <c r="BF537" s="151"/>
      <c r="BG537" s="151"/>
      <c r="BH537" s="151"/>
      <c r="BI537" s="151"/>
      <c r="BJ537" s="151"/>
      <c r="BK537" s="151"/>
      <c r="BL537" s="151"/>
      <c r="BM537" s="151"/>
      <c r="BN537" s="151"/>
      <c r="BO537" s="151"/>
      <c r="BP537" s="151"/>
      <c r="BQ537" s="151"/>
      <c r="BR537" s="151"/>
      <c r="BS537" s="151"/>
      <c r="BT537" s="151"/>
      <c r="BU537" s="151"/>
      <c r="BV537" s="151"/>
      <c r="BW537" s="151"/>
      <c r="BX537" s="151"/>
      <c r="BY537" s="174"/>
    </row>
    <row r="538" spans="1:77" s="19" customFormat="1" x14ac:dyDescent="0.15">
      <c r="A538" s="151">
        <v>1403040014</v>
      </c>
      <c r="B538" s="157" t="s">
        <v>515</v>
      </c>
      <c r="C538" s="151" t="s">
        <v>89</v>
      </c>
      <c r="D538" s="151"/>
      <c r="E538" s="151" t="s">
        <v>78</v>
      </c>
      <c r="F538" s="151"/>
      <c r="G538" s="151"/>
      <c r="H538" s="151"/>
      <c r="I538" s="151"/>
      <c r="J538" s="165"/>
      <c r="K538" s="165"/>
      <c r="L538" s="165"/>
      <c r="M538" s="165"/>
      <c r="N538" s="165"/>
      <c r="O538" s="151" t="s">
        <v>516</v>
      </c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  <c r="AB538" s="151"/>
      <c r="AC538" s="151"/>
      <c r="AD538" s="151"/>
      <c r="AE538" s="151" t="s">
        <v>517</v>
      </c>
      <c r="AF538" s="151">
        <v>1403040</v>
      </c>
      <c r="AG538" s="151" t="s">
        <v>308</v>
      </c>
      <c r="AH538" s="151">
        <v>-5000</v>
      </c>
      <c r="AI538" s="151"/>
      <c r="AJ538" s="151"/>
      <c r="AK538" s="151"/>
      <c r="AL538" s="151"/>
      <c r="AM538" s="151"/>
      <c r="AN538" s="151"/>
      <c r="AO538" s="151"/>
      <c r="AP538" s="151"/>
      <c r="AQ538" s="151"/>
      <c r="AR538" s="151"/>
      <c r="AS538" s="151"/>
      <c r="AT538" s="151"/>
      <c r="AU538" s="151"/>
      <c r="AV538" s="151"/>
      <c r="AW538" s="151"/>
      <c r="AX538" s="151"/>
      <c r="AY538" s="151"/>
      <c r="AZ538" s="151"/>
      <c r="BA538" s="151"/>
      <c r="BB538" s="151"/>
      <c r="BC538" s="151"/>
      <c r="BD538" s="151"/>
      <c r="BE538" s="151"/>
      <c r="BF538" s="151"/>
      <c r="BG538" s="151"/>
      <c r="BH538" s="151"/>
      <c r="BI538" s="151"/>
      <c r="BJ538" s="151"/>
      <c r="BK538" s="151"/>
      <c r="BL538" s="151"/>
      <c r="BM538" s="151"/>
      <c r="BN538" s="151"/>
      <c r="BO538" s="151"/>
      <c r="BP538" s="151"/>
      <c r="BQ538" s="151"/>
      <c r="BR538" s="151"/>
      <c r="BS538" s="151"/>
      <c r="BT538" s="151"/>
      <c r="BU538" s="151"/>
      <c r="BV538" s="151"/>
      <c r="BW538" s="151"/>
      <c r="BX538" s="151"/>
      <c r="BY538" s="174"/>
    </row>
    <row r="539" spans="1:77" x14ac:dyDescent="0.15">
      <c r="A539" s="148">
        <v>1402001011</v>
      </c>
      <c r="B539" s="149" t="s">
        <v>518</v>
      </c>
      <c r="C539" s="148" t="s">
        <v>77</v>
      </c>
      <c r="D539" s="148"/>
      <c r="E539" s="148" t="s">
        <v>78</v>
      </c>
      <c r="F539" s="148"/>
      <c r="G539" s="148"/>
      <c r="H539" s="148"/>
      <c r="I539" s="148"/>
      <c r="J539" s="161"/>
      <c r="K539" s="161"/>
      <c r="L539" s="161"/>
      <c r="M539" s="161"/>
      <c r="N539" s="161"/>
      <c r="O539" s="148" t="s">
        <v>79</v>
      </c>
      <c r="P539" s="148" t="s">
        <v>80</v>
      </c>
      <c r="Q539" s="148"/>
      <c r="R539" s="148">
        <v>10000</v>
      </c>
      <c r="S539" s="148"/>
      <c r="T539" s="148">
        <v>10000</v>
      </c>
      <c r="U539" s="148"/>
      <c r="V539" s="148" t="s">
        <v>101</v>
      </c>
      <c r="W539" s="148"/>
      <c r="X539" s="148"/>
      <c r="Y539" s="148"/>
      <c r="Z539" s="148"/>
      <c r="AA539" s="148"/>
      <c r="AB539" s="148"/>
      <c r="AC539" s="148"/>
      <c r="AD539" s="148"/>
      <c r="AE539" s="148"/>
      <c r="AF539" s="151">
        <v>1302020</v>
      </c>
      <c r="AG539" s="151" t="s">
        <v>308</v>
      </c>
      <c r="AH539" s="151">
        <v>-5000</v>
      </c>
      <c r="AI539" s="148"/>
      <c r="AJ539" s="148"/>
      <c r="AK539" s="148"/>
      <c r="AL539" s="148"/>
      <c r="AM539" s="148"/>
      <c r="AN539" s="148"/>
      <c r="AO539" s="148"/>
      <c r="AP539" s="148"/>
      <c r="AQ539" s="148"/>
      <c r="AR539" s="148"/>
      <c r="AS539" s="148"/>
      <c r="AT539" s="148"/>
      <c r="AU539" s="148"/>
      <c r="AV539" s="148"/>
      <c r="AW539" s="148"/>
      <c r="AX539" s="148"/>
      <c r="AY539" s="148"/>
      <c r="AZ539" s="148"/>
      <c r="BA539" s="148"/>
      <c r="BB539" s="148"/>
      <c r="BC539" s="148"/>
      <c r="BD539" s="148"/>
      <c r="BE539" s="148"/>
      <c r="BF539" s="148"/>
      <c r="BG539" s="148"/>
      <c r="BH539" s="148"/>
      <c r="BI539" s="148"/>
      <c r="BJ539" s="148"/>
      <c r="BK539" s="148"/>
      <c r="BL539" s="148"/>
      <c r="BM539" s="148"/>
      <c r="BN539" s="148"/>
      <c r="BO539" s="148"/>
      <c r="BP539" s="148"/>
      <c r="BQ539" s="148"/>
      <c r="BR539" s="148"/>
      <c r="BS539" s="148"/>
      <c r="BT539" s="148"/>
      <c r="BU539" s="148"/>
      <c r="BV539" s="148"/>
      <c r="BW539" s="148"/>
      <c r="BX539" s="148"/>
      <c r="BY539" s="170"/>
    </row>
    <row r="540" spans="1:77" x14ac:dyDescent="0.15">
      <c r="A540" s="148">
        <v>1402001012</v>
      </c>
      <c r="B540" s="149" t="s">
        <v>519</v>
      </c>
      <c r="C540" s="148" t="s">
        <v>77</v>
      </c>
      <c r="D540" s="148"/>
      <c r="E540" s="148" t="s">
        <v>425</v>
      </c>
      <c r="F540" s="148">
        <v>40000</v>
      </c>
      <c r="G540" s="148">
        <v>1200</v>
      </c>
      <c r="H540" s="148"/>
      <c r="I540" s="148"/>
      <c r="J540" s="161"/>
      <c r="K540" s="161"/>
      <c r="L540" s="161"/>
      <c r="M540" s="161"/>
      <c r="N540" s="161"/>
      <c r="O540" s="148" t="s">
        <v>79</v>
      </c>
      <c r="P540" s="148" t="s">
        <v>80</v>
      </c>
      <c r="Q540" s="148"/>
      <c r="R540" s="148">
        <v>5000</v>
      </c>
      <c r="S540" s="148"/>
      <c r="T540" s="148"/>
      <c r="U540" s="148"/>
      <c r="V540" s="148" t="s">
        <v>101</v>
      </c>
      <c r="W540" s="148"/>
      <c r="X540" s="148"/>
      <c r="Y540" s="148"/>
      <c r="Z540" s="148"/>
      <c r="AA540" s="148"/>
      <c r="AB540" s="148"/>
      <c r="AC540" s="148"/>
      <c r="AD540" s="148"/>
      <c r="AE540" s="148"/>
      <c r="AF540" s="163">
        <v>1203010</v>
      </c>
      <c r="AG540" s="163" t="s">
        <v>171</v>
      </c>
      <c r="AH540" s="163">
        <v>-1000</v>
      </c>
      <c r="AI540" s="148"/>
      <c r="AJ540" s="148"/>
      <c r="AK540" s="148"/>
      <c r="AL540" s="148"/>
      <c r="AM540" s="148"/>
      <c r="AN540" s="148"/>
      <c r="AO540" s="148"/>
      <c r="AP540" s="148"/>
      <c r="AQ540" s="148"/>
      <c r="AR540" s="148"/>
      <c r="AS540" s="148"/>
      <c r="AT540" s="148"/>
      <c r="AU540" s="148"/>
      <c r="AV540" s="148"/>
      <c r="AW540" s="148"/>
      <c r="AX540" s="148"/>
      <c r="AY540" s="148"/>
      <c r="AZ540" s="148"/>
      <c r="BA540" s="148"/>
      <c r="BB540" s="148"/>
      <c r="BC540" s="148"/>
      <c r="BD540" s="148"/>
      <c r="BE540" s="148"/>
      <c r="BF540" s="148"/>
      <c r="BG540" s="148"/>
      <c r="BH540" s="148"/>
      <c r="BI540" s="148"/>
      <c r="BJ540" s="148"/>
      <c r="BK540" s="148"/>
      <c r="BL540" s="148"/>
      <c r="BM540" s="148"/>
      <c r="BN540" s="148"/>
      <c r="BO540" s="148"/>
      <c r="BP540" s="148"/>
      <c r="BQ540" s="148"/>
      <c r="BR540" s="148"/>
      <c r="BS540" s="148"/>
      <c r="BT540" s="148"/>
      <c r="BU540" s="148"/>
      <c r="BV540" s="148"/>
      <c r="BW540" s="148"/>
      <c r="BX540" s="148"/>
      <c r="BY540" s="170"/>
    </row>
    <row r="541" spans="1:77" x14ac:dyDescent="0.15">
      <c r="A541" s="148">
        <v>1402002011</v>
      </c>
      <c r="B541" s="149" t="s">
        <v>520</v>
      </c>
      <c r="C541" s="148" t="s">
        <v>77</v>
      </c>
      <c r="D541" s="148"/>
      <c r="E541" s="148" t="s">
        <v>78</v>
      </c>
      <c r="F541" s="148"/>
      <c r="G541" s="148"/>
      <c r="H541" s="148"/>
      <c r="I541" s="148"/>
      <c r="J541" s="161"/>
      <c r="K541" s="161"/>
      <c r="L541" s="161"/>
      <c r="M541" s="161"/>
      <c r="N541" s="161"/>
      <c r="O541" s="148" t="s">
        <v>79</v>
      </c>
      <c r="P541" s="148" t="s">
        <v>80</v>
      </c>
      <c r="Q541" s="148"/>
      <c r="R541" s="148">
        <v>10000</v>
      </c>
      <c r="S541" s="148"/>
      <c r="T541" s="148">
        <v>10000</v>
      </c>
      <c r="U541" s="148"/>
      <c r="V541" s="148" t="s">
        <v>101</v>
      </c>
      <c r="W541" s="148"/>
      <c r="X541" s="148"/>
      <c r="Y541" s="148"/>
      <c r="Z541" s="148"/>
      <c r="AA541" s="148"/>
      <c r="AB541" s="148"/>
      <c r="AC541" s="148"/>
      <c r="AD541" s="148"/>
      <c r="AE541" s="148"/>
      <c r="AF541" s="148"/>
      <c r="AG541" s="148"/>
      <c r="AH541" s="148"/>
      <c r="AI541" s="148"/>
      <c r="AJ541" s="148"/>
      <c r="AK541" s="148"/>
      <c r="AL541" s="148"/>
      <c r="AM541" s="148"/>
      <c r="AN541" s="148"/>
      <c r="AO541" s="148"/>
      <c r="AP541" s="148"/>
      <c r="AQ541" s="148"/>
      <c r="AR541" s="148"/>
      <c r="AS541" s="148"/>
      <c r="AT541" s="148"/>
      <c r="AU541" s="148"/>
      <c r="AV541" s="148"/>
      <c r="AW541" s="148"/>
      <c r="AX541" s="148"/>
      <c r="AY541" s="148"/>
      <c r="AZ541" s="148"/>
      <c r="BA541" s="148"/>
      <c r="BB541" s="148"/>
      <c r="BC541" s="148"/>
      <c r="BD541" s="148"/>
      <c r="BE541" s="148"/>
      <c r="BF541" s="148"/>
      <c r="BG541" s="148"/>
      <c r="BH541" s="148"/>
      <c r="BI541" s="148"/>
      <c r="BJ541" s="148"/>
      <c r="BK541" s="148"/>
      <c r="BL541" s="148"/>
      <c r="BM541" s="148"/>
      <c r="BN541" s="148"/>
      <c r="BO541" s="148"/>
      <c r="BP541" s="148"/>
      <c r="BQ541" s="148"/>
      <c r="BR541" s="148"/>
      <c r="BS541" s="148"/>
      <c r="BT541" s="148"/>
      <c r="BU541" s="148"/>
      <c r="BV541" s="148"/>
      <c r="BW541" s="148"/>
      <c r="BX541" s="148"/>
      <c r="BY541" s="170"/>
    </row>
    <row r="542" spans="1:77" x14ac:dyDescent="0.15">
      <c r="A542" s="148">
        <v>1402200011</v>
      </c>
      <c r="B542" s="149" t="s">
        <v>521</v>
      </c>
      <c r="C542" s="148" t="s">
        <v>100</v>
      </c>
      <c r="D542" s="148"/>
      <c r="E542" s="148" t="s">
        <v>78</v>
      </c>
      <c r="F542" s="148"/>
      <c r="G542" s="148"/>
      <c r="H542" s="148"/>
      <c r="I542" s="148"/>
      <c r="J542" s="161"/>
      <c r="K542" s="161"/>
      <c r="L542" s="161"/>
      <c r="M542" s="161"/>
      <c r="N542" s="161"/>
      <c r="O542" s="148" t="s">
        <v>90</v>
      </c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  <c r="AC542" s="148">
        <v>1402200101</v>
      </c>
      <c r="AD542" s="148">
        <v>1402200101</v>
      </c>
      <c r="AE542" s="148"/>
      <c r="AF542" s="148"/>
      <c r="AG542" s="148"/>
      <c r="AH542" s="148"/>
      <c r="AI542" s="148"/>
      <c r="AJ542" s="148" t="s">
        <v>90</v>
      </c>
      <c r="AK542" s="148"/>
      <c r="AL542" s="148"/>
      <c r="AM542" s="148"/>
      <c r="AN542" s="148"/>
      <c r="AO542" s="148"/>
      <c r="AP542" s="148"/>
      <c r="AQ542" s="148"/>
      <c r="AR542" s="148"/>
      <c r="AS542" s="148"/>
      <c r="AT542" s="148"/>
      <c r="AU542" s="148"/>
      <c r="AV542" s="148"/>
      <c r="AW542" s="148"/>
      <c r="AX542" s="148">
        <v>1402200201</v>
      </c>
      <c r="AY542" s="148">
        <v>1402200201</v>
      </c>
      <c r="AZ542" s="148"/>
      <c r="BA542" s="148"/>
      <c r="BB542" s="148"/>
      <c r="BC542" s="148"/>
      <c r="BD542" s="148"/>
      <c r="BE542" s="148" t="s">
        <v>79</v>
      </c>
      <c r="BF542" s="148" t="s">
        <v>102</v>
      </c>
      <c r="BG542" s="148">
        <v>0</v>
      </c>
      <c r="BH542" s="148"/>
      <c r="BI542" s="148"/>
      <c r="BJ542" s="148"/>
      <c r="BK542" s="148"/>
      <c r="BL542" s="148"/>
      <c r="BM542" s="148" t="s">
        <v>522</v>
      </c>
      <c r="BN542" s="189">
        <v>14022001</v>
      </c>
      <c r="BO542" s="148" t="s">
        <v>171</v>
      </c>
      <c r="BP542" s="148">
        <v>20</v>
      </c>
      <c r="BQ542" s="148"/>
      <c r="BR542" s="148"/>
      <c r="BS542" s="148"/>
      <c r="BT542" s="148"/>
      <c r="BU542" s="148"/>
      <c r="BV542" s="148"/>
      <c r="BW542" s="148"/>
      <c r="BX542" s="148"/>
      <c r="BY542" s="170"/>
    </row>
    <row r="543" spans="1:77" x14ac:dyDescent="0.15">
      <c r="A543" s="148">
        <v>1402200021</v>
      </c>
      <c r="B543" s="149" t="s">
        <v>521</v>
      </c>
      <c r="C543" s="148" t="s">
        <v>100</v>
      </c>
      <c r="D543" s="148"/>
      <c r="E543" s="148" t="s">
        <v>78</v>
      </c>
      <c r="F543" s="148"/>
      <c r="G543" s="148"/>
      <c r="H543" s="148"/>
      <c r="I543" s="148"/>
      <c r="J543" s="161"/>
      <c r="K543" s="161"/>
      <c r="L543" s="161"/>
      <c r="M543" s="161"/>
      <c r="N543" s="161"/>
      <c r="O543" s="148" t="s">
        <v>90</v>
      </c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  <c r="AC543" s="148">
        <v>1402200101</v>
      </c>
      <c r="AD543" s="148">
        <v>1402200101</v>
      </c>
      <c r="AE543" s="148"/>
      <c r="AF543" s="148"/>
      <c r="AG543" s="148"/>
      <c r="AH543" s="148"/>
      <c r="AI543" s="148"/>
      <c r="AJ543" s="148" t="s">
        <v>90</v>
      </c>
      <c r="AK543" s="148"/>
      <c r="AL543" s="148"/>
      <c r="AM543" s="148"/>
      <c r="AN543" s="148"/>
      <c r="AO543" s="148"/>
      <c r="AP543" s="148"/>
      <c r="AQ543" s="148"/>
      <c r="AR543" s="148"/>
      <c r="AS543" s="148"/>
      <c r="AT543" s="148"/>
      <c r="AU543" s="148"/>
      <c r="AV543" s="148"/>
      <c r="AW543" s="148"/>
      <c r="AX543" s="148">
        <v>1402200202</v>
      </c>
      <c r="AY543" s="148">
        <v>1402200202</v>
      </c>
      <c r="AZ543" s="148"/>
      <c r="BA543" s="148"/>
      <c r="BB543" s="148"/>
      <c r="BC543" s="148"/>
      <c r="BD543" s="148"/>
      <c r="BE543" s="148" t="s">
        <v>79</v>
      </c>
      <c r="BF543" s="148" t="s">
        <v>102</v>
      </c>
      <c r="BG543" s="148">
        <v>0</v>
      </c>
      <c r="BH543" s="148"/>
      <c r="BI543" s="148"/>
      <c r="BJ543" s="148"/>
      <c r="BK543" s="148"/>
      <c r="BL543" s="148"/>
      <c r="BM543" s="148" t="s">
        <v>522</v>
      </c>
      <c r="BN543" s="189">
        <v>14022001</v>
      </c>
      <c r="BO543" s="148" t="s">
        <v>171</v>
      </c>
      <c r="BP543" s="148">
        <v>30</v>
      </c>
      <c r="BQ543" s="148"/>
      <c r="BR543" s="148"/>
      <c r="BS543" s="148"/>
      <c r="BT543" s="148"/>
      <c r="BU543" s="148"/>
      <c r="BV543" s="148"/>
      <c r="BW543" s="148"/>
      <c r="BX543" s="148"/>
      <c r="BY543" s="170"/>
    </row>
    <row r="544" spans="1:77" x14ac:dyDescent="0.15">
      <c r="A544" s="148">
        <v>1402200031</v>
      </c>
      <c r="B544" s="149" t="s">
        <v>521</v>
      </c>
      <c r="C544" s="148" t="s">
        <v>100</v>
      </c>
      <c r="D544" s="148"/>
      <c r="E544" s="148" t="s">
        <v>78</v>
      </c>
      <c r="F544" s="148"/>
      <c r="G544" s="148"/>
      <c r="H544" s="148"/>
      <c r="I544" s="148"/>
      <c r="J544" s="161"/>
      <c r="K544" s="161"/>
      <c r="L544" s="161"/>
      <c r="M544" s="161"/>
      <c r="N544" s="161"/>
      <c r="O544" s="148" t="s">
        <v>90</v>
      </c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  <c r="AC544" s="148">
        <v>1402200101</v>
      </c>
      <c r="AD544" s="148">
        <v>1402200101</v>
      </c>
      <c r="AE544" s="148"/>
      <c r="AF544" s="148"/>
      <c r="AG544" s="148"/>
      <c r="AH544" s="148"/>
      <c r="AI544" s="148"/>
      <c r="AJ544" s="148" t="s">
        <v>90</v>
      </c>
      <c r="AK544" s="148"/>
      <c r="AL544" s="148"/>
      <c r="AM544" s="148"/>
      <c r="AN544" s="148"/>
      <c r="AO544" s="148"/>
      <c r="AP544" s="148"/>
      <c r="AQ544" s="148"/>
      <c r="AR544" s="148"/>
      <c r="AS544" s="148"/>
      <c r="AT544" s="148"/>
      <c r="AU544" s="148"/>
      <c r="AV544" s="148"/>
      <c r="AW544" s="148"/>
      <c r="AX544" s="148">
        <v>1402200203</v>
      </c>
      <c r="AY544" s="148">
        <v>1402200203</v>
      </c>
      <c r="AZ544" s="148"/>
      <c r="BA544" s="148"/>
      <c r="BB544" s="148"/>
      <c r="BC544" s="148"/>
      <c r="BD544" s="148"/>
      <c r="BE544" s="148" t="s">
        <v>79</v>
      </c>
      <c r="BF544" s="148" t="s">
        <v>102</v>
      </c>
      <c r="BG544" s="148">
        <v>0</v>
      </c>
      <c r="BH544" s="148"/>
      <c r="BI544" s="148"/>
      <c r="BJ544" s="148"/>
      <c r="BK544" s="148"/>
      <c r="BL544" s="148"/>
      <c r="BM544" s="148" t="s">
        <v>522</v>
      </c>
      <c r="BN544" s="189">
        <v>14022001</v>
      </c>
      <c r="BO544" s="148" t="s">
        <v>171</v>
      </c>
      <c r="BP544" s="148">
        <v>40</v>
      </c>
      <c r="BQ544" s="148"/>
      <c r="BR544" s="148"/>
      <c r="BS544" s="148"/>
      <c r="BT544" s="148"/>
      <c r="BU544" s="148"/>
      <c r="BV544" s="148"/>
      <c r="BW544" s="148"/>
      <c r="BX544" s="148"/>
      <c r="BY544" s="170"/>
    </row>
    <row r="545" spans="1:77" x14ac:dyDescent="0.15">
      <c r="A545" s="148">
        <v>1402200012</v>
      </c>
      <c r="B545" s="149" t="s">
        <v>523</v>
      </c>
      <c r="C545" s="148" t="s">
        <v>100</v>
      </c>
      <c r="D545" s="148"/>
      <c r="E545" s="148" t="s">
        <v>83</v>
      </c>
      <c r="F545" s="148">
        <v>60000</v>
      </c>
      <c r="G545" s="148"/>
      <c r="H545" s="148"/>
      <c r="I545" s="148"/>
      <c r="J545" s="161"/>
      <c r="K545" s="161"/>
      <c r="L545" s="161"/>
      <c r="M545" s="166" t="s">
        <v>101</v>
      </c>
      <c r="N545" s="166" t="s">
        <v>842</v>
      </c>
      <c r="O545" s="148" t="s">
        <v>79</v>
      </c>
      <c r="P545" s="148" t="s">
        <v>102</v>
      </c>
      <c r="Q545" s="148">
        <v>85</v>
      </c>
      <c r="R545" s="148"/>
      <c r="S545" s="148">
        <v>3500</v>
      </c>
      <c r="T545" s="148"/>
      <c r="U545" s="148">
        <v>10000</v>
      </c>
      <c r="V545" s="148"/>
      <c r="W545" s="148"/>
      <c r="X545" s="148"/>
      <c r="Y545" s="148"/>
      <c r="Z545" s="148"/>
      <c r="AA545" s="148"/>
      <c r="AB545" s="148"/>
      <c r="AC545" s="148"/>
      <c r="AD545" s="189"/>
      <c r="AE545" s="148"/>
      <c r="AF545" s="148"/>
      <c r="AG545" s="148"/>
      <c r="AH545" s="148"/>
      <c r="AI545" s="148"/>
      <c r="AJ545" s="148"/>
      <c r="AK545" s="148"/>
      <c r="AL545" s="148"/>
      <c r="AM545" s="148"/>
      <c r="AN545" s="148"/>
      <c r="AO545" s="148"/>
      <c r="AP545" s="148"/>
      <c r="AQ545" s="148"/>
      <c r="AR545" s="148"/>
      <c r="AS545" s="148"/>
      <c r="AT545" s="148"/>
      <c r="AU545" s="148"/>
      <c r="AV545" s="148"/>
      <c r="AW545" s="148"/>
      <c r="AX545" s="148"/>
      <c r="AY545" s="148"/>
      <c r="AZ545" s="148"/>
      <c r="BA545" s="148"/>
      <c r="BB545" s="148"/>
      <c r="BC545" s="148"/>
      <c r="BD545" s="148"/>
      <c r="BE545" s="148"/>
      <c r="BF545" s="148"/>
      <c r="BG545" s="148"/>
      <c r="BH545" s="148"/>
      <c r="BI545" s="148"/>
      <c r="BJ545" s="148"/>
      <c r="BK545" s="148"/>
      <c r="BL545" s="148"/>
      <c r="BM545" s="148"/>
      <c r="BN545" s="148"/>
      <c r="BO545" s="148"/>
      <c r="BP545" s="148"/>
      <c r="BQ545" s="148"/>
      <c r="BR545" s="148"/>
      <c r="BS545" s="148"/>
      <c r="BT545" s="148"/>
      <c r="BU545" s="148"/>
      <c r="BV545" s="148"/>
      <c r="BW545" s="148"/>
      <c r="BX545" s="148"/>
      <c r="BY545" s="170"/>
    </row>
    <row r="546" spans="1:77" x14ac:dyDescent="0.15">
      <c r="A546" s="148">
        <v>1402200022</v>
      </c>
      <c r="B546" s="149" t="s">
        <v>523</v>
      </c>
      <c r="C546" s="148" t="s">
        <v>100</v>
      </c>
      <c r="D546" s="148"/>
      <c r="E546" s="148" t="s">
        <v>83</v>
      </c>
      <c r="F546" s="148">
        <v>60000</v>
      </c>
      <c r="G546" s="148"/>
      <c r="H546" s="148"/>
      <c r="I546" s="148"/>
      <c r="J546" s="161"/>
      <c r="K546" s="161"/>
      <c r="L546" s="161"/>
      <c r="M546" s="166" t="s">
        <v>101</v>
      </c>
      <c r="N546" s="166" t="s">
        <v>842</v>
      </c>
      <c r="O546" s="148" t="s">
        <v>79</v>
      </c>
      <c r="P546" s="148" t="s">
        <v>102</v>
      </c>
      <c r="Q546" s="148">
        <v>120</v>
      </c>
      <c r="R546" s="148"/>
      <c r="S546" s="148">
        <v>3500</v>
      </c>
      <c r="T546" s="148"/>
      <c r="U546" s="148">
        <v>10000</v>
      </c>
      <c r="V546" s="148"/>
      <c r="W546" s="148"/>
      <c r="X546" s="148"/>
      <c r="Y546" s="148"/>
      <c r="Z546" s="148"/>
      <c r="AA546" s="148"/>
      <c r="AB546" s="148"/>
      <c r="AC546" s="148"/>
      <c r="AD546" s="189"/>
      <c r="AE546" s="148"/>
      <c r="AF546" s="148"/>
      <c r="AG546" s="148"/>
      <c r="AH546" s="148"/>
      <c r="AI546" s="148"/>
      <c r="AJ546" s="148"/>
      <c r="AK546" s="148"/>
      <c r="AL546" s="148"/>
      <c r="AM546" s="148"/>
      <c r="AN546" s="148"/>
      <c r="AO546" s="148"/>
      <c r="AP546" s="148"/>
      <c r="AQ546" s="148"/>
      <c r="AR546" s="148"/>
      <c r="AS546" s="148"/>
      <c r="AT546" s="148"/>
      <c r="AU546" s="148"/>
      <c r="AV546" s="148"/>
      <c r="AW546" s="148"/>
      <c r="AX546" s="148"/>
      <c r="AY546" s="148"/>
      <c r="AZ546" s="148"/>
      <c r="BA546" s="148"/>
      <c r="BB546" s="148"/>
      <c r="BC546" s="148"/>
      <c r="BD546" s="148"/>
      <c r="BE546" s="148"/>
      <c r="BF546" s="148"/>
      <c r="BG546" s="148"/>
      <c r="BH546" s="148"/>
      <c r="BI546" s="148"/>
      <c r="BJ546" s="148"/>
      <c r="BK546" s="148"/>
      <c r="BL546" s="148"/>
      <c r="BM546" s="148"/>
      <c r="BN546" s="148"/>
      <c r="BO546" s="148"/>
      <c r="BP546" s="148"/>
      <c r="BQ546" s="148"/>
      <c r="BR546" s="148"/>
      <c r="BS546" s="148"/>
      <c r="BT546" s="148"/>
      <c r="BU546" s="148"/>
      <c r="BV546" s="148"/>
      <c r="BW546" s="148"/>
      <c r="BX546" s="148"/>
      <c r="BY546" s="170"/>
    </row>
    <row r="547" spans="1:77" x14ac:dyDescent="0.15">
      <c r="A547" s="148">
        <v>1402200032</v>
      </c>
      <c r="B547" s="149" t="s">
        <v>523</v>
      </c>
      <c r="C547" s="148" t="s">
        <v>100</v>
      </c>
      <c r="D547" s="148"/>
      <c r="E547" s="148" t="s">
        <v>83</v>
      </c>
      <c r="F547" s="148">
        <v>60000</v>
      </c>
      <c r="G547" s="148"/>
      <c r="H547" s="148"/>
      <c r="I547" s="148"/>
      <c r="J547" s="161"/>
      <c r="K547" s="161"/>
      <c r="L547" s="161"/>
      <c r="M547" s="166" t="s">
        <v>101</v>
      </c>
      <c r="N547" s="166" t="s">
        <v>842</v>
      </c>
      <c r="O547" s="148" t="s">
        <v>79</v>
      </c>
      <c r="P547" s="148" t="s">
        <v>102</v>
      </c>
      <c r="Q547" s="148">
        <v>155</v>
      </c>
      <c r="R547" s="148"/>
      <c r="S547" s="148">
        <v>3500</v>
      </c>
      <c r="T547" s="148"/>
      <c r="U547" s="148">
        <v>10000</v>
      </c>
      <c r="V547" s="148"/>
      <c r="W547" s="148"/>
      <c r="X547" s="148"/>
      <c r="Y547" s="148"/>
      <c r="Z547" s="148"/>
      <c r="AA547" s="148"/>
      <c r="AB547" s="148"/>
      <c r="AC547" s="148"/>
      <c r="AD547" s="189"/>
      <c r="AE547" s="148"/>
      <c r="AF547" s="148"/>
      <c r="AG547" s="148"/>
      <c r="AH547" s="148"/>
      <c r="AI547" s="148"/>
      <c r="AJ547" s="148"/>
      <c r="AK547" s="148"/>
      <c r="AL547" s="148"/>
      <c r="AM547" s="148"/>
      <c r="AN547" s="148"/>
      <c r="AO547" s="148"/>
      <c r="AP547" s="148"/>
      <c r="AQ547" s="148"/>
      <c r="AR547" s="148"/>
      <c r="AS547" s="148"/>
      <c r="AT547" s="148"/>
      <c r="AU547" s="148"/>
      <c r="AV547" s="148"/>
      <c r="AW547" s="148"/>
      <c r="AX547" s="148"/>
      <c r="AY547" s="148"/>
      <c r="AZ547" s="148"/>
      <c r="BA547" s="148"/>
      <c r="BB547" s="148"/>
      <c r="BC547" s="148"/>
      <c r="BD547" s="148"/>
      <c r="BE547" s="148"/>
      <c r="BF547" s="148"/>
      <c r="BG547" s="148"/>
      <c r="BH547" s="148"/>
      <c r="BI547" s="148"/>
      <c r="BJ547" s="148"/>
      <c r="BK547" s="148"/>
      <c r="BL547" s="148"/>
      <c r="BM547" s="148"/>
      <c r="BN547" s="148"/>
      <c r="BO547" s="148"/>
      <c r="BP547" s="148"/>
      <c r="BQ547" s="148"/>
      <c r="BR547" s="148"/>
      <c r="BS547" s="148"/>
      <c r="BT547" s="148"/>
      <c r="BU547" s="148"/>
      <c r="BV547" s="148"/>
      <c r="BW547" s="148"/>
      <c r="BX547" s="148"/>
      <c r="BY547" s="170"/>
    </row>
    <row r="548" spans="1:77" x14ac:dyDescent="0.15">
      <c r="A548" s="148">
        <v>1402010011</v>
      </c>
      <c r="B548" s="149" t="s">
        <v>524</v>
      </c>
      <c r="C548" s="148" t="s">
        <v>100</v>
      </c>
      <c r="D548" s="148"/>
      <c r="E548" s="148" t="s">
        <v>83</v>
      </c>
      <c r="F548" s="148">
        <v>30000</v>
      </c>
      <c r="G548" s="148"/>
      <c r="H548" s="148"/>
      <c r="I548" s="148"/>
      <c r="J548" s="161"/>
      <c r="K548" s="161"/>
      <c r="L548" s="161"/>
      <c r="M548" s="166" t="s">
        <v>101</v>
      </c>
      <c r="N548" s="166" t="s">
        <v>842</v>
      </c>
      <c r="O548" s="148" t="s">
        <v>79</v>
      </c>
      <c r="P548" s="148" t="s">
        <v>102</v>
      </c>
      <c r="Q548" s="148">
        <v>70</v>
      </c>
      <c r="R548" s="148"/>
      <c r="S548" s="148">
        <v>3500</v>
      </c>
      <c r="T548" s="148"/>
      <c r="U548" s="148">
        <v>5000</v>
      </c>
      <c r="V548" s="148"/>
      <c r="W548" s="148"/>
      <c r="X548" s="148"/>
      <c r="Y548" s="148"/>
      <c r="Z548" s="148"/>
      <c r="AA548" s="148"/>
      <c r="AB548" s="148"/>
      <c r="AC548" s="148"/>
      <c r="AD548" s="148"/>
      <c r="AE548" s="148"/>
      <c r="AF548" s="148"/>
      <c r="AG548" s="148"/>
      <c r="AH548" s="148"/>
      <c r="AI548" s="148"/>
      <c r="AJ548" s="148"/>
      <c r="AK548" s="148"/>
      <c r="AL548" s="148"/>
      <c r="AM548" s="148"/>
      <c r="AN548" s="148"/>
      <c r="AO548" s="148"/>
      <c r="AP548" s="148"/>
      <c r="AQ548" s="148"/>
      <c r="AR548" s="148"/>
      <c r="AS548" s="148"/>
      <c r="AT548" s="148"/>
      <c r="AU548" s="148"/>
      <c r="AV548" s="148"/>
      <c r="AW548" s="148"/>
      <c r="AX548" s="148"/>
      <c r="AY548" s="148"/>
      <c r="AZ548" s="148"/>
      <c r="BA548" s="148"/>
      <c r="BB548" s="148"/>
      <c r="BC548" s="148"/>
      <c r="BD548" s="148"/>
      <c r="BE548" s="148"/>
      <c r="BF548" s="148"/>
      <c r="BG548" s="148"/>
      <c r="BH548" s="148"/>
      <c r="BI548" s="148"/>
      <c r="BJ548" s="148"/>
      <c r="BK548" s="148"/>
      <c r="BL548" s="148"/>
      <c r="BM548" s="148"/>
      <c r="BN548" s="148"/>
      <c r="BO548" s="148"/>
      <c r="BP548" s="148"/>
      <c r="BQ548" s="148"/>
      <c r="BR548" s="148"/>
      <c r="BS548" s="148"/>
      <c r="BT548" s="148"/>
      <c r="BU548" s="148"/>
      <c r="BV548" s="148"/>
      <c r="BW548" s="148"/>
      <c r="BX548" s="148"/>
      <c r="BY548" s="170"/>
    </row>
    <row r="549" spans="1:77" x14ac:dyDescent="0.15">
      <c r="A549" s="148">
        <v>1402010021</v>
      </c>
      <c r="B549" s="149" t="s">
        <v>524</v>
      </c>
      <c r="C549" s="148" t="s">
        <v>100</v>
      </c>
      <c r="D549" s="148"/>
      <c r="E549" s="148" t="s">
        <v>83</v>
      </c>
      <c r="F549" s="148">
        <v>30000</v>
      </c>
      <c r="G549" s="148"/>
      <c r="H549" s="148"/>
      <c r="I549" s="148"/>
      <c r="J549" s="161"/>
      <c r="K549" s="161"/>
      <c r="L549" s="161"/>
      <c r="M549" s="166" t="s">
        <v>101</v>
      </c>
      <c r="N549" s="166" t="s">
        <v>842</v>
      </c>
      <c r="O549" s="148" t="s">
        <v>79</v>
      </c>
      <c r="P549" s="148" t="s">
        <v>102</v>
      </c>
      <c r="Q549" s="148">
        <v>135</v>
      </c>
      <c r="R549" s="148"/>
      <c r="S549" s="148">
        <v>3500</v>
      </c>
      <c r="T549" s="148"/>
      <c r="U549" s="148">
        <v>5000</v>
      </c>
      <c r="V549" s="148"/>
      <c r="W549" s="148"/>
      <c r="X549" s="148"/>
      <c r="Y549" s="148"/>
      <c r="Z549" s="148"/>
      <c r="AA549" s="148"/>
      <c r="AB549" s="148"/>
      <c r="AC549" s="148"/>
      <c r="AD549" s="148"/>
      <c r="AE549" s="148"/>
      <c r="AF549" s="148"/>
      <c r="AG549" s="148"/>
      <c r="AH549" s="148"/>
      <c r="AI549" s="148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  <c r="AT549" s="148"/>
      <c r="AU549" s="148"/>
      <c r="AV549" s="148"/>
      <c r="AW549" s="148"/>
      <c r="AX549" s="148"/>
      <c r="AY549" s="148"/>
      <c r="AZ549" s="148"/>
      <c r="BA549" s="148"/>
      <c r="BB549" s="148"/>
      <c r="BC549" s="148"/>
      <c r="BD549" s="148"/>
      <c r="BE549" s="148"/>
      <c r="BF549" s="148"/>
      <c r="BG549" s="148"/>
      <c r="BH549" s="148"/>
      <c r="BI549" s="148"/>
      <c r="BJ549" s="148"/>
      <c r="BK549" s="148"/>
      <c r="BL549" s="148"/>
      <c r="BM549" s="148"/>
      <c r="BN549" s="148"/>
      <c r="BO549" s="148"/>
      <c r="BP549" s="148"/>
      <c r="BQ549" s="148"/>
      <c r="BR549" s="148"/>
      <c r="BS549" s="148"/>
      <c r="BT549" s="148"/>
      <c r="BU549" s="148"/>
      <c r="BV549" s="148"/>
      <c r="BW549" s="148"/>
      <c r="BX549" s="148"/>
      <c r="BY549" s="170"/>
    </row>
    <row r="550" spans="1:77" x14ac:dyDescent="0.15">
      <c r="A550" s="148">
        <v>1402010031</v>
      </c>
      <c r="B550" s="149" t="s">
        <v>524</v>
      </c>
      <c r="C550" s="148" t="s">
        <v>100</v>
      </c>
      <c r="D550" s="148"/>
      <c r="E550" s="148" t="s">
        <v>83</v>
      </c>
      <c r="F550" s="148">
        <v>30000</v>
      </c>
      <c r="G550" s="148"/>
      <c r="H550" s="148"/>
      <c r="I550" s="148"/>
      <c r="J550" s="161"/>
      <c r="K550" s="161"/>
      <c r="L550" s="161"/>
      <c r="M550" s="166" t="s">
        <v>101</v>
      </c>
      <c r="N550" s="166" t="s">
        <v>842</v>
      </c>
      <c r="O550" s="148" t="s">
        <v>79</v>
      </c>
      <c r="P550" s="148" t="s">
        <v>102</v>
      </c>
      <c r="Q550" s="148">
        <v>200</v>
      </c>
      <c r="R550" s="148"/>
      <c r="S550" s="148">
        <v>3500</v>
      </c>
      <c r="T550" s="148"/>
      <c r="U550" s="148">
        <v>5000</v>
      </c>
      <c r="V550" s="148"/>
      <c r="W550" s="148"/>
      <c r="X550" s="148"/>
      <c r="Y550" s="148"/>
      <c r="Z550" s="148"/>
      <c r="AA550" s="148"/>
      <c r="AB550" s="148"/>
      <c r="AC550" s="148"/>
      <c r="AD550" s="148"/>
      <c r="AE550" s="148"/>
      <c r="AF550" s="148"/>
      <c r="AG550" s="148"/>
      <c r="AH550" s="148"/>
      <c r="AI550" s="148"/>
      <c r="AJ550" s="148"/>
      <c r="AK550" s="148"/>
      <c r="AL550" s="148"/>
      <c r="AM550" s="148"/>
      <c r="AN550" s="148"/>
      <c r="AO550" s="148"/>
      <c r="AP550" s="148"/>
      <c r="AQ550" s="148"/>
      <c r="AR550" s="148"/>
      <c r="AS550" s="148"/>
      <c r="AT550" s="148"/>
      <c r="AU550" s="148"/>
      <c r="AV550" s="148"/>
      <c r="AW550" s="148"/>
      <c r="AX550" s="148"/>
      <c r="AY550" s="148"/>
      <c r="AZ550" s="148"/>
      <c r="BA550" s="148"/>
      <c r="BB550" s="148"/>
      <c r="BC550" s="148"/>
      <c r="BD550" s="148"/>
      <c r="BE550" s="148"/>
      <c r="BF550" s="148"/>
      <c r="BG550" s="148"/>
      <c r="BH550" s="148"/>
      <c r="BI550" s="148"/>
      <c r="BJ550" s="148"/>
      <c r="BK550" s="148"/>
      <c r="BL550" s="148"/>
      <c r="BM550" s="148"/>
      <c r="BN550" s="148"/>
      <c r="BO550" s="148"/>
      <c r="BP550" s="148"/>
      <c r="BQ550" s="148"/>
      <c r="BR550" s="148"/>
      <c r="BS550" s="148"/>
      <c r="BT550" s="148"/>
      <c r="BU550" s="148"/>
      <c r="BV550" s="148"/>
      <c r="BW550" s="148"/>
      <c r="BX550" s="148"/>
      <c r="BY550" s="170"/>
    </row>
    <row r="551" spans="1:77" x14ac:dyDescent="0.15">
      <c r="A551" s="148">
        <v>1402010041</v>
      </c>
      <c r="B551" s="149" t="s">
        <v>524</v>
      </c>
      <c r="C551" s="148" t="s">
        <v>100</v>
      </c>
      <c r="D551" s="148"/>
      <c r="E551" s="148" t="s">
        <v>83</v>
      </c>
      <c r="F551" s="148">
        <v>30000</v>
      </c>
      <c r="G551" s="148"/>
      <c r="H551" s="148"/>
      <c r="I551" s="148"/>
      <c r="J551" s="161"/>
      <c r="K551" s="161"/>
      <c r="L551" s="161"/>
      <c r="M551" s="166" t="s">
        <v>101</v>
      </c>
      <c r="N551" s="166" t="s">
        <v>842</v>
      </c>
      <c r="O551" s="148" t="s">
        <v>79</v>
      </c>
      <c r="P551" s="148" t="s">
        <v>102</v>
      </c>
      <c r="Q551" s="148">
        <v>265</v>
      </c>
      <c r="R551" s="148"/>
      <c r="S551" s="148">
        <v>3500</v>
      </c>
      <c r="T551" s="148"/>
      <c r="U551" s="148">
        <v>5000</v>
      </c>
      <c r="V551" s="148"/>
      <c r="W551" s="148"/>
      <c r="X551" s="148"/>
      <c r="Y551" s="148"/>
      <c r="Z551" s="148"/>
      <c r="AA551" s="148"/>
      <c r="AB551" s="148"/>
      <c r="AC551" s="148"/>
      <c r="AD551" s="148"/>
      <c r="AE551" s="148"/>
      <c r="AF551" s="148"/>
      <c r="AG551" s="148"/>
      <c r="AH551" s="148"/>
      <c r="AI551" s="148"/>
      <c r="AJ551" s="148"/>
      <c r="AK551" s="148"/>
      <c r="AL551" s="148"/>
      <c r="AM551" s="148"/>
      <c r="AN551" s="148"/>
      <c r="AO551" s="148"/>
      <c r="AP551" s="148"/>
      <c r="AQ551" s="148"/>
      <c r="AR551" s="148"/>
      <c r="AS551" s="148"/>
      <c r="AT551" s="148"/>
      <c r="AU551" s="148"/>
      <c r="AV551" s="148"/>
      <c r="AW551" s="148"/>
      <c r="AX551" s="148"/>
      <c r="AY551" s="148"/>
      <c r="AZ551" s="148"/>
      <c r="BA551" s="148"/>
      <c r="BB551" s="148"/>
      <c r="BC551" s="148"/>
      <c r="BD551" s="148"/>
      <c r="BE551" s="148"/>
      <c r="BF551" s="148"/>
      <c r="BG551" s="148"/>
      <c r="BH551" s="148"/>
      <c r="BI551" s="148"/>
      <c r="BJ551" s="148"/>
      <c r="BK551" s="148"/>
      <c r="BL551" s="148"/>
      <c r="BM551" s="148"/>
      <c r="BN551" s="148"/>
      <c r="BO551" s="148"/>
      <c r="BP551" s="148"/>
      <c r="BQ551" s="148"/>
      <c r="BR551" s="148"/>
      <c r="BS551" s="148"/>
      <c r="BT551" s="148"/>
      <c r="BU551" s="148"/>
      <c r="BV551" s="148"/>
      <c r="BW551" s="148"/>
      <c r="BX551" s="148"/>
      <c r="BY551" s="170"/>
    </row>
    <row r="552" spans="1:77" x14ac:dyDescent="0.15">
      <c r="A552" s="148">
        <v>1402010012</v>
      </c>
      <c r="B552" s="149" t="s">
        <v>525</v>
      </c>
      <c r="C552" s="148" t="s">
        <v>100</v>
      </c>
      <c r="D552" s="148"/>
      <c r="E552" s="148" t="s">
        <v>85</v>
      </c>
      <c r="F552" s="148">
        <v>60000</v>
      </c>
      <c r="G552" s="148">
        <v>37500</v>
      </c>
      <c r="H552" s="148"/>
      <c r="I552" s="148"/>
      <c r="J552" s="161"/>
      <c r="K552" s="161"/>
      <c r="L552" s="161"/>
      <c r="M552" s="166" t="s">
        <v>101</v>
      </c>
      <c r="N552" s="166"/>
      <c r="O552" s="148" t="s">
        <v>79</v>
      </c>
      <c r="P552" s="148" t="s">
        <v>102</v>
      </c>
      <c r="Q552" s="148">
        <v>35</v>
      </c>
      <c r="R552" s="148"/>
      <c r="S552" s="148">
        <v>2000</v>
      </c>
      <c r="T552" s="148"/>
      <c r="U552" s="148">
        <v>3500</v>
      </c>
      <c r="V552" s="148"/>
      <c r="W552" s="148"/>
      <c r="X552" s="148"/>
      <c r="Y552" s="148"/>
      <c r="Z552" s="148"/>
      <c r="AA552" s="148"/>
      <c r="AB552" s="148"/>
      <c r="AC552" s="148"/>
      <c r="AD552" s="148"/>
      <c r="AE552" s="148"/>
      <c r="AF552" s="148"/>
      <c r="AG552" s="148"/>
      <c r="AH552" s="148"/>
      <c r="AI552" s="148"/>
      <c r="AJ552" s="148"/>
      <c r="AK552" s="148"/>
      <c r="AL552" s="148"/>
      <c r="AM552" s="148"/>
      <c r="AN552" s="148"/>
      <c r="AO552" s="148"/>
      <c r="AP552" s="148"/>
      <c r="AQ552" s="148"/>
      <c r="AR552" s="148"/>
      <c r="AS552" s="148"/>
      <c r="AT552" s="148"/>
      <c r="AU552" s="148"/>
      <c r="AV552" s="148"/>
      <c r="AW552" s="148"/>
      <c r="AX552" s="148"/>
      <c r="AY552" s="148"/>
      <c r="AZ552" s="148"/>
      <c r="BA552" s="148"/>
      <c r="BB552" s="148"/>
      <c r="BC552" s="148"/>
      <c r="BD552" s="148"/>
      <c r="BE552" s="148"/>
      <c r="BF552" s="148"/>
      <c r="BG552" s="148"/>
      <c r="BH552" s="148"/>
      <c r="BI552" s="148"/>
      <c r="BJ552" s="148"/>
      <c r="BK552" s="148"/>
      <c r="BL552" s="148"/>
      <c r="BM552" s="148"/>
      <c r="BN552" s="148"/>
      <c r="BO552" s="148"/>
      <c r="BP552" s="148"/>
      <c r="BQ552" s="148"/>
      <c r="BR552" s="148"/>
      <c r="BS552" s="148"/>
      <c r="BT552" s="148"/>
      <c r="BU552" s="148"/>
      <c r="BV552" s="148"/>
      <c r="BW552" s="148"/>
      <c r="BX552" s="148"/>
      <c r="BY552" s="170"/>
    </row>
    <row r="553" spans="1:77" x14ac:dyDescent="0.15">
      <c r="A553" s="148">
        <v>1402010022</v>
      </c>
      <c r="B553" s="149" t="s">
        <v>525</v>
      </c>
      <c r="C553" s="148" t="s">
        <v>100</v>
      </c>
      <c r="D553" s="148"/>
      <c r="E553" s="148" t="s">
        <v>85</v>
      </c>
      <c r="F553" s="148">
        <v>60000</v>
      </c>
      <c r="G553" s="148">
        <v>37500</v>
      </c>
      <c r="H553" s="148"/>
      <c r="I553" s="148"/>
      <c r="J553" s="161"/>
      <c r="K553" s="161"/>
      <c r="L553" s="161"/>
      <c r="M553" s="166" t="s">
        <v>101</v>
      </c>
      <c r="N553" s="166"/>
      <c r="O553" s="148" t="s">
        <v>79</v>
      </c>
      <c r="P553" s="148" t="s">
        <v>102</v>
      </c>
      <c r="Q553" s="148">
        <v>50</v>
      </c>
      <c r="R553" s="148"/>
      <c r="S553" s="148">
        <v>2000</v>
      </c>
      <c r="T553" s="148"/>
      <c r="U553" s="148">
        <v>3500</v>
      </c>
      <c r="V553" s="148"/>
      <c r="W553" s="148"/>
      <c r="X553" s="148"/>
      <c r="Y553" s="148"/>
      <c r="Z553" s="148"/>
      <c r="AA553" s="148"/>
      <c r="AB553" s="148"/>
      <c r="AC553" s="148"/>
      <c r="AD553" s="148"/>
      <c r="AE553" s="148"/>
      <c r="AF553" s="148"/>
      <c r="AG553" s="148"/>
      <c r="AH553" s="148"/>
      <c r="AI553" s="148"/>
      <c r="AJ553" s="148"/>
      <c r="AK553" s="148"/>
      <c r="AL553" s="148"/>
      <c r="AM553" s="148"/>
      <c r="AN553" s="148"/>
      <c r="AO553" s="148"/>
      <c r="AP553" s="148"/>
      <c r="AQ553" s="148"/>
      <c r="AR553" s="148"/>
      <c r="AS553" s="148"/>
      <c r="AT553" s="148"/>
      <c r="AU553" s="148"/>
      <c r="AV553" s="148"/>
      <c r="AW553" s="148"/>
      <c r="AX553" s="148"/>
      <c r="AY553" s="148"/>
      <c r="AZ553" s="148"/>
      <c r="BA553" s="148"/>
      <c r="BB553" s="148"/>
      <c r="BC553" s="148"/>
      <c r="BD553" s="148"/>
      <c r="BE553" s="148"/>
      <c r="BF553" s="148"/>
      <c r="BG553" s="148"/>
      <c r="BH553" s="148"/>
      <c r="BI553" s="148"/>
      <c r="BJ553" s="148"/>
      <c r="BK553" s="148"/>
      <c r="BL553" s="148"/>
      <c r="BM553" s="148"/>
      <c r="BN553" s="148"/>
      <c r="BO553" s="148"/>
      <c r="BP553" s="148"/>
      <c r="BQ553" s="148"/>
      <c r="BR553" s="148"/>
      <c r="BS553" s="148"/>
      <c r="BT553" s="148"/>
      <c r="BU553" s="148"/>
      <c r="BV553" s="148"/>
      <c r="BW553" s="148"/>
      <c r="BX553" s="148"/>
      <c r="BY553" s="170"/>
    </row>
    <row r="554" spans="1:77" x14ac:dyDescent="0.15">
      <c r="A554" s="148">
        <v>1402010032</v>
      </c>
      <c r="B554" s="149" t="s">
        <v>525</v>
      </c>
      <c r="C554" s="148" t="s">
        <v>100</v>
      </c>
      <c r="D554" s="148"/>
      <c r="E554" s="148" t="s">
        <v>85</v>
      </c>
      <c r="F554" s="148">
        <v>60000</v>
      </c>
      <c r="G554" s="148">
        <v>37500</v>
      </c>
      <c r="H554" s="148"/>
      <c r="I554" s="148"/>
      <c r="J554" s="161"/>
      <c r="K554" s="161"/>
      <c r="L554" s="161"/>
      <c r="M554" s="166" t="s">
        <v>101</v>
      </c>
      <c r="N554" s="166"/>
      <c r="O554" s="148" t="s">
        <v>79</v>
      </c>
      <c r="P554" s="148" t="s">
        <v>102</v>
      </c>
      <c r="Q554" s="148">
        <v>65</v>
      </c>
      <c r="R554" s="148"/>
      <c r="S554" s="148">
        <v>2000</v>
      </c>
      <c r="T554" s="148"/>
      <c r="U554" s="148">
        <v>3500</v>
      </c>
      <c r="V554" s="148"/>
      <c r="W554" s="148"/>
      <c r="X554" s="148"/>
      <c r="Y554" s="148"/>
      <c r="Z554" s="148"/>
      <c r="AA554" s="148"/>
      <c r="AB554" s="148"/>
      <c r="AC554" s="148"/>
      <c r="AD554" s="148"/>
      <c r="AE554" s="148"/>
      <c r="AF554" s="148"/>
      <c r="AG554" s="148"/>
      <c r="AH554" s="148"/>
      <c r="AI554" s="148"/>
      <c r="AJ554" s="148"/>
      <c r="AK554" s="148"/>
      <c r="AL554" s="148"/>
      <c r="AM554" s="148"/>
      <c r="AN554" s="148"/>
      <c r="AO554" s="148"/>
      <c r="AP554" s="148"/>
      <c r="AQ554" s="148"/>
      <c r="AR554" s="148"/>
      <c r="AS554" s="148"/>
      <c r="AT554" s="148"/>
      <c r="AU554" s="148"/>
      <c r="AV554" s="148"/>
      <c r="AW554" s="148"/>
      <c r="AX554" s="148"/>
      <c r="AY554" s="148"/>
      <c r="AZ554" s="148"/>
      <c r="BA554" s="148"/>
      <c r="BB554" s="148"/>
      <c r="BC554" s="148"/>
      <c r="BD554" s="148"/>
      <c r="BE554" s="148"/>
      <c r="BF554" s="148"/>
      <c r="BG554" s="148"/>
      <c r="BH554" s="148"/>
      <c r="BI554" s="148"/>
      <c r="BJ554" s="148"/>
      <c r="BK554" s="148"/>
      <c r="BL554" s="148"/>
      <c r="BM554" s="148"/>
      <c r="BN554" s="148"/>
      <c r="BO554" s="148"/>
      <c r="BP554" s="148"/>
      <c r="BQ554" s="148"/>
      <c r="BR554" s="148"/>
      <c r="BS554" s="148"/>
      <c r="BT554" s="148"/>
      <c r="BU554" s="148"/>
      <c r="BV554" s="148"/>
      <c r="BW554" s="148"/>
      <c r="BX554" s="148"/>
      <c r="BY554" s="170"/>
    </row>
    <row r="555" spans="1:77" x14ac:dyDescent="0.15">
      <c r="A555" s="148">
        <v>1402010042</v>
      </c>
      <c r="B555" s="149" t="s">
        <v>525</v>
      </c>
      <c r="C555" s="148" t="s">
        <v>100</v>
      </c>
      <c r="D555" s="148"/>
      <c r="E555" s="148" t="s">
        <v>85</v>
      </c>
      <c r="F555" s="148">
        <v>60000</v>
      </c>
      <c r="G555" s="148">
        <v>37500</v>
      </c>
      <c r="H555" s="148"/>
      <c r="I555" s="148"/>
      <c r="J555" s="161"/>
      <c r="K555" s="161"/>
      <c r="L555" s="161"/>
      <c r="M555" s="166" t="s">
        <v>101</v>
      </c>
      <c r="N555" s="166"/>
      <c r="O555" s="148" t="s">
        <v>79</v>
      </c>
      <c r="P555" s="148" t="s">
        <v>102</v>
      </c>
      <c r="Q555" s="148">
        <v>80</v>
      </c>
      <c r="R555" s="148"/>
      <c r="S555" s="148">
        <v>2000</v>
      </c>
      <c r="T555" s="148"/>
      <c r="U555" s="148">
        <v>3500</v>
      </c>
      <c r="V555" s="148"/>
      <c r="W555" s="148"/>
      <c r="X555" s="148"/>
      <c r="Y555" s="148"/>
      <c r="Z555" s="148"/>
      <c r="AA555" s="148"/>
      <c r="AB555" s="148"/>
      <c r="AC555" s="148"/>
      <c r="AD555" s="148"/>
      <c r="AE555" s="148"/>
      <c r="AF555" s="148"/>
      <c r="AG555" s="148"/>
      <c r="AH555" s="148"/>
      <c r="AI555" s="148"/>
      <c r="AJ555" s="148"/>
      <c r="AK555" s="148"/>
      <c r="AL555" s="148"/>
      <c r="AM555" s="148"/>
      <c r="AN555" s="148"/>
      <c r="AO555" s="148"/>
      <c r="AP555" s="148"/>
      <c r="AQ555" s="148"/>
      <c r="AR555" s="148"/>
      <c r="AS555" s="148"/>
      <c r="AT555" s="148"/>
      <c r="AU555" s="148"/>
      <c r="AV555" s="148"/>
      <c r="AW555" s="148"/>
      <c r="AX555" s="148"/>
      <c r="AY555" s="148"/>
      <c r="AZ555" s="148"/>
      <c r="BA555" s="148"/>
      <c r="BB555" s="148"/>
      <c r="BC555" s="148"/>
      <c r="BD555" s="148"/>
      <c r="BE555" s="148"/>
      <c r="BF555" s="148"/>
      <c r="BG555" s="148"/>
      <c r="BH555" s="148"/>
      <c r="BI555" s="148"/>
      <c r="BJ555" s="148"/>
      <c r="BK555" s="148"/>
      <c r="BL555" s="148"/>
      <c r="BM555" s="148"/>
      <c r="BN555" s="148"/>
      <c r="BO555" s="148"/>
      <c r="BP555" s="148"/>
      <c r="BQ555" s="148"/>
      <c r="BR555" s="148"/>
      <c r="BS555" s="148"/>
      <c r="BT555" s="148"/>
      <c r="BU555" s="148"/>
      <c r="BV555" s="148"/>
      <c r="BW555" s="148"/>
      <c r="BX555" s="148"/>
      <c r="BY555" s="170"/>
    </row>
    <row r="556" spans="1:77" x14ac:dyDescent="0.15">
      <c r="A556" s="148">
        <v>1402010013</v>
      </c>
      <c r="B556" s="149" t="s">
        <v>526</v>
      </c>
      <c r="C556" s="148" t="s">
        <v>89</v>
      </c>
      <c r="D556" s="148"/>
      <c r="E556" s="148" t="s">
        <v>78</v>
      </c>
      <c r="F556" s="148"/>
      <c r="G556" s="148"/>
      <c r="H556" s="148"/>
      <c r="I556" s="148"/>
      <c r="J556" s="161"/>
      <c r="K556" s="161"/>
      <c r="L556" s="161"/>
      <c r="M556" s="161"/>
      <c r="N556" s="161"/>
      <c r="O556" s="148" t="s">
        <v>90</v>
      </c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  <c r="AC556" s="148"/>
      <c r="AD556" s="148">
        <v>1402010101</v>
      </c>
      <c r="AE556" s="148"/>
      <c r="AF556" s="148"/>
      <c r="AG556" s="148"/>
      <c r="AH556" s="148"/>
      <c r="AI556" s="148"/>
      <c r="AJ556" s="148"/>
      <c r="AK556" s="148"/>
      <c r="AL556" s="148"/>
      <c r="AM556" s="148"/>
      <c r="AN556" s="148"/>
      <c r="AO556" s="148"/>
      <c r="AP556" s="148"/>
      <c r="AQ556" s="148"/>
      <c r="AR556" s="148"/>
      <c r="AS556" s="148"/>
      <c r="AT556" s="148"/>
      <c r="AU556" s="148"/>
      <c r="AV556" s="148"/>
      <c r="AW556" s="148"/>
      <c r="AX556" s="148"/>
      <c r="AY556" s="148"/>
      <c r="AZ556" s="148"/>
      <c r="BA556" s="148"/>
      <c r="BB556" s="148"/>
      <c r="BC556" s="148"/>
      <c r="BD556" s="148"/>
      <c r="BE556" s="148"/>
      <c r="BF556" s="148"/>
      <c r="BG556" s="148"/>
      <c r="BH556" s="148"/>
      <c r="BI556" s="148"/>
      <c r="BJ556" s="148"/>
      <c r="BK556" s="148"/>
      <c r="BL556" s="148"/>
      <c r="BM556" s="148"/>
      <c r="BN556" s="148"/>
      <c r="BO556" s="148"/>
      <c r="BP556" s="148"/>
      <c r="BQ556" s="148"/>
      <c r="BR556" s="148"/>
      <c r="BS556" s="148"/>
      <c r="BT556" s="148"/>
      <c r="BU556" s="148"/>
      <c r="BV556" s="148"/>
      <c r="BW556" s="148"/>
      <c r="BX556" s="148"/>
      <c r="BY556" s="170"/>
    </row>
    <row r="557" spans="1:77" x14ac:dyDescent="0.15">
      <c r="A557" s="148">
        <v>1402020011</v>
      </c>
      <c r="B557" s="149" t="s">
        <v>527</v>
      </c>
      <c r="C557" s="148" t="s">
        <v>100</v>
      </c>
      <c r="D557" s="148"/>
      <c r="E557" s="148" t="s">
        <v>83</v>
      </c>
      <c r="F557" s="148">
        <v>70000</v>
      </c>
      <c r="G557" s="148"/>
      <c r="H557" s="148"/>
      <c r="I557" s="148"/>
      <c r="J557" s="161"/>
      <c r="K557" s="161"/>
      <c r="L557" s="161"/>
      <c r="M557" s="166" t="s">
        <v>101</v>
      </c>
      <c r="N557" s="166" t="s">
        <v>842</v>
      </c>
      <c r="O557" s="148" t="s">
        <v>79</v>
      </c>
      <c r="P557" s="148" t="s">
        <v>102</v>
      </c>
      <c r="Q557" s="148">
        <v>100</v>
      </c>
      <c r="R557" s="148"/>
      <c r="S557" s="148">
        <v>2500</v>
      </c>
      <c r="T557" s="148"/>
      <c r="U557" s="148">
        <v>3500</v>
      </c>
      <c r="V557" s="148"/>
      <c r="W557" s="148"/>
      <c r="X557" s="148"/>
      <c r="Y557" s="148"/>
      <c r="Z557" s="148"/>
      <c r="AA557" s="148"/>
      <c r="AB557" s="148"/>
      <c r="AC557" s="148"/>
      <c r="AD557" s="148"/>
      <c r="AE557" s="148"/>
      <c r="AF557" s="148"/>
      <c r="AG557" s="148"/>
      <c r="AH557" s="148"/>
      <c r="AI557" s="148"/>
      <c r="AJ557" s="148" t="s">
        <v>90</v>
      </c>
      <c r="AK557" s="148"/>
      <c r="AL557" s="148"/>
      <c r="AM557" s="148"/>
      <c r="AN557" s="148"/>
      <c r="AO557" s="148"/>
      <c r="AP557" s="148"/>
      <c r="AQ557" s="148"/>
      <c r="AR557" s="148"/>
      <c r="AS557" s="148"/>
      <c r="AT557" s="148"/>
      <c r="AU557" s="148"/>
      <c r="AV557" s="148"/>
      <c r="AW557" s="148"/>
      <c r="AX557" s="148">
        <v>1402020201</v>
      </c>
      <c r="AY557" s="148">
        <v>1402020101</v>
      </c>
      <c r="AZ557" s="148"/>
      <c r="BA557" s="148"/>
      <c r="BB557" s="148"/>
      <c r="BC557" s="148"/>
      <c r="BD557" s="148"/>
      <c r="BE557" s="148" t="s">
        <v>90</v>
      </c>
      <c r="BF557" s="148"/>
      <c r="BG557" s="148"/>
      <c r="BH557" s="148"/>
      <c r="BI557" s="148"/>
      <c r="BJ557" s="148"/>
      <c r="BK557" s="148"/>
      <c r="BL557" s="148"/>
      <c r="BM557" s="148"/>
      <c r="BN557" s="148"/>
      <c r="BO557" s="148"/>
      <c r="BP557" s="148"/>
      <c r="BQ557" s="148"/>
      <c r="BR557" s="148"/>
      <c r="BS557" s="148">
        <v>1402020401</v>
      </c>
      <c r="BT557" s="148">
        <v>1402020301</v>
      </c>
      <c r="BU557" s="148"/>
      <c r="BV557" s="148"/>
      <c r="BW557" s="148"/>
      <c r="BX557" s="148"/>
      <c r="BY557" s="170"/>
    </row>
    <row r="558" spans="1:77" x14ac:dyDescent="0.15">
      <c r="A558" s="148">
        <v>1402020021</v>
      </c>
      <c r="B558" s="149" t="s">
        <v>527</v>
      </c>
      <c r="C558" s="148" t="s">
        <v>100</v>
      </c>
      <c r="D558" s="148"/>
      <c r="E558" s="148" t="s">
        <v>83</v>
      </c>
      <c r="F558" s="148">
        <v>70000</v>
      </c>
      <c r="G558" s="148"/>
      <c r="H558" s="148"/>
      <c r="I558" s="148"/>
      <c r="J558" s="161"/>
      <c r="K558" s="161"/>
      <c r="L558" s="161"/>
      <c r="M558" s="166" t="s">
        <v>101</v>
      </c>
      <c r="N558" s="166" t="s">
        <v>842</v>
      </c>
      <c r="O558" s="148" t="s">
        <v>79</v>
      </c>
      <c r="P558" s="148" t="s">
        <v>102</v>
      </c>
      <c r="Q558" s="148">
        <v>160</v>
      </c>
      <c r="R558" s="148"/>
      <c r="S558" s="148">
        <v>2500</v>
      </c>
      <c r="T558" s="148"/>
      <c r="U558" s="148">
        <v>3500</v>
      </c>
      <c r="V558" s="148"/>
      <c r="W558" s="148"/>
      <c r="X558" s="148"/>
      <c r="Y558" s="148"/>
      <c r="Z558" s="148"/>
      <c r="AA558" s="148"/>
      <c r="AB558" s="148"/>
      <c r="AC558" s="148"/>
      <c r="AD558" s="148"/>
      <c r="AE558" s="148"/>
      <c r="AF558" s="148"/>
      <c r="AG558" s="148"/>
      <c r="AH558" s="148"/>
      <c r="AI558" s="148"/>
      <c r="AJ558" s="148" t="s">
        <v>90</v>
      </c>
      <c r="AK558" s="148"/>
      <c r="AL558" s="148"/>
      <c r="AM558" s="148"/>
      <c r="AN558" s="148"/>
      <c r="AO558" s="148"/>
      <c r="AP558" s="148"/>
      <c r="AQ558" s="148"/>
      <c r="AR558" s="148"/>
      <c r="AS558" s="148"/>
      <c r="AT558" s="148"/>
      <c r="AU558" s="148"/>
      <c r="AV558" s="148"/>
      <c r="AW558" s="148"/>
      <c r="AX558" s="148">
        <v>1402020201</v>
      </c>
      <c r="AY558" s="148">
        <v>1402020101</v>
      </c>
      <c r="AZ558" s="148"/>
      <c r="BA558" s="148"/>
      <c r="BB558" s="148"/>
      <c r="BC558" s="148"/>
      <c r="BD558" s="148"/>
      <c r="BE558" s="148" t="s">
        <v>90</v>
      </c>
      <c r="BF558" s="148"/>
      <c r="BG558" s="148"/>
      <c r="BH558" s="148"/>
      <c r="BI558" s="148"/>
      <c r="BJ558" s="148"/>
      <c r="BK558" s="148"/>
      <c r="BL558" s="148"/>
      <c r="BM558" s="148"/>
      <c r="BN558" s="148"/>
      <c r="BO558" s="148"/>
      <c r="BP558" s="148"/>
      <c r="BQ558" s="148"/>
      <c r="BR558" s="148"/>
      <c r="BS558" s="148">
        <v>1402020401</v>
      </c>
      <c r="BT558" s="148">
        <v>1402020301</v>
      </c>
      <c r="BU558" s="148"/>
      <c r="BV558" s="148"/>
      <c r="BW558" s="148"/>
      <c r="BX558" s="148"/>
      <c r="BY558" s="170"/>
    </row>
    <row r="559" spans="1:77" x14ac:dyDescent="0.15">
      <c r="A559" s="148">
        <v>1402020031</v>
      </c>
      <c r="B559" s="149" t="s">
        <v>527</v>
      </c>
      <c r="C559" s="148" t="s">
        <v>100</v>
      </c>
      <c r="D559" s="148"/>
      <c r="E559" s="148" t="s">
        <v>83</v>
      </c>
      <c r="F559" s="148">
        <v>70000</v>
      </c>
      <c r="G559" s="148"/>
      <c r="H559" s="148"/>
      <c r="I559" s="148"/>
      <c r="J559" s="161"/>
      <c r="K559" s="161"/>
      <c r="L559" s="161"/>
      <c r="M559" s="166" t="s">
        <v>101</v>
      </c>
      <c r="N559" s="166" t="s">
        <v>842</v>
      </c>
      <c r="O559" s="148" t="s">
        <v>79</v>
      </c>
      <c r="P559" s="148" t="s">
        <v>102</v>
      </c>
      <c r="Q559" s="148">
        <v>220</v>
      </c>
      <c r="R559" s="148"/>
      <c r="S559" s="148">
        <v>2500</v>
      </c>
      <c r="T559" s="148"/>
      <c r="U559" s="148">
        <v>3500</v>
      </c>
      <c r="V559" s="148"/>
      <c r="W559" s="148"/>
      <c r="X559" s="148"/>
      <c r="Y559" s="148"/>
      <c r="Z559" s="148"/>
      <c r="AA559" s="148"/>
      <c r="AB559" s="148"/>
      <c r="AC559" s="148"/>
      <c r="AD559" s="148"/>
      <c r="AE559" s="148"/>
      <c r="AF559" s="148"/>
      <c r="AG559" s="148"/>
      <c r="AH559" s="148"/>
      <c r="AI559" s="148"/>
      <c r="AJ559" s="148" t="s">
        <v>90</v>
      </c>
      <c r="AK559" s="148"/>
      <c r="AL559" s="148"/>
      <c r="AM559" s="148"/>
      <c r="AN559" s="148"/>
      <c r="AO559" s="148"/>
      <c r="AP559" s="148"/>
      <c r="AQ559" s="148"/>
      <c r="AR559" s="148"/>
      <c r="AS559" s="148"/>
      <c r="AT559" s="148"/>
      <c r="AU559" s="148"/>
      <c r="AV559" s="148"/>
      <c r="AW559" s="148"/>
      <c r="AX559" s="148">
        <v>1402020201</v>
      </c>
      <c r="AY559" s="148">
        <v>1402020101</v>
      </c>
      <c r="AZ559" s="148"/>
      <c r="BA559" s="148"/>
      <c r="BB559" s="148"/>
      <c r="BC559" s="148"/>
      <c r="BD559" s="148"/>
      <c r="BE559" s="148" t="s">
        <v>90</v>
      </c>
      <c r="BF559" s="148"/>
      <c r="BG559" s="148"/>
      <c r="BH559" s="148"/>
      <c r="BI559" s="148"/>
      <c r="BJ559" s="148"/>
      <c r="BK559" s="148"/>
      <c r="BL559" s="148"/>
      <c r="BM559" s="148"/>
      <c r="BN559" s="148"/>
      <c r="BO559" s="148"/>
      <c r="BP559" s="148"/>
      <c r="BQ559" s="148"/>
      <c r="BR559" s="148"/>
      <c r="BS559" s="148">
        <v>1402020401</v>
      </c>
      <c r="BT559" s="148">
        <v>1402020301</v>
      </c>
      <c r="BU559" s="148"/>
      <c r="BV559" s="148"/>
      <c r="BW559" s="148"/>
      <c r="BX559" s="148"/>
      <c r="BY559" s="170"/>
    </row>
    <row r="560" spans="1:77" x14ac:dyDescent="0.15">
      <c r="A560" s="148">
        <v>1402020041</v>
      </c>
      <c r="B560" s="149" t="s">
        <v>527</v>
      </c>
      <c r="C560" s="148" t="s">
        <v>100</v>
      </c>
      <c r="D560" s="148"/>
      <c r="E560" s="148" t="s">
        <v>83</v>
      </c>
      <c r="F560" s="148">
        <v>70000</v>
      </c>
      <c r="G560" s="148"/>
      <c r="H560" s="148"/>
      <c r="I560" s="148"/>
      <c r="J560" s="161"/>
      <c r="K560" s="161"/>
      <c r="L560" s="161"/>
      <c r="M560" s="166" t="s">
        <v>101</v>
      </c>
      <c r="N560" s="166" t="s">
        <v>842</v>
      </c>
      <c r="O560" s="148" t="s">
        <v>79</v>
      </c>
      <c r="P560" s="148" t="s">
        <v>102</v>
      </c>
      <c r="Q560" s="148">
        <v>280</v>
      </c>
      <c r="R560" s="148"/>
      <c r="S560" s="148">
        <v>2500</v>
      </c>
      <c r="T560" s="148"/>
      <c r="U560" s="148">
        <v>3500</v>
      </c>
      <c r="V560" s="148"/>
      <c r="W560" s="148"/>
      <c r="X560" s="148"/>
      <c r="Y560" s="148"/>
      <c r="Z560" s="148"/>
      <c r="AA560" s="148"/>
      <c r="AB560" s="148"/>
      <c r="AC560" s="148"/>
      <c r="AD560" s="148"/>
      <c r="AE560" s="148"/>
      <c r="AF560" s="148"/>
      <c r="AG560" s="148"/>
      <c r="AH560" s="148"/>
      <c r="AI560" s="148"/>
      <c r="AJ560" s="148" t="s">
        <v>90</v>
      </c>
      <c r="AK560" s="148"/>
      <c r="AL560" s="148"/>
      <c r="AM560" s="148"/>
      <c r="AN560" s="148"/>
      <c r="AO560" s="148"/>
      <c r="AP560" s="148"/>
      <c r="AQ560" s="148"/>
      <c r="AR560" s="148"/>
      <c r="AS560" s="148"/>
      <c r="AT560" s="148"/>
      <c r="AU560" s="148"/>
      <c r="AV560" s="148"/>
      <c r="AW560" s="148"/>
      <c r="AX560" s="148">
        <v>1402020201</v>
      </c>
      <c r="AY560" s="148">
        <v>1402020101</v>
      </c>
      <c r="AZ560" s="148"/>
      <c r="BA560" s="148"/>
      <c r="BB560" s="148"/>
      <c r="BC560" s="148"/>
      <c r="BD560" s="148"/>
      <c r="BE560" s="148" t="s">
        <v>90</v>
      </c>
      <c r="BF560" s="148"/>
      <c r="BG560" s="148"/>
      <c r="BH560" s="148"/>
      <c r="BI560" s="148"/>
      <c r="BJ560" s="148"/>
      <c r="BK560" s="148"/>
      <c r="BL560" s="148"/>
      <c r="BM560" s="148"/>
      <c r="BN560" s="148"/>
      <c r="BO560" s="148"/>
      <c r="BP560" s="148"/>
      <c r="BQ560" s="148"/>
      <c r="BR560" s="148"/>
      <c r="BS560" s="148">
        <v>1402020401</v>
      </c>
      <c r="BT560" s="148">
        <v>1402020301</v>
      </c>
      <c r="BU560" s="148"/>
      <c r="BV560" s="148"/>
      <c r="BW560" s="148"/>
      <c r="BX560" s="148"/>
      <c r="BY560" s="170"/>
    </row>
    <row r="561" spans="1:77" x14ac:dyDescent="0.15">
      <c r="A561" s="148">
        <v>1402040011</v>
      </c>
      <c r="B561" s="149" t="s">
        <v>528</v>
      </c>
      <c r="C561" s="148" t="s">
        <v>100</v>
      </c>
      <c r="D561" s="148"/>
      <c r="E561" s="148" t="s">
        <v>85</v>
      </c>
      <c r="F561" s="148">
        <v>80000</v>
      </c>
      <c r="G561" s="148">
        <v>200000</v>
      </c>
      <c r="H561" s="148"/>
      <c r="I561" s="148"/>
      <c r="J561" s="161"/>
      <c r="K561" s="161"/>
      <c r="L561" s="161"/>
      <c r="M561" s="166" t="s">
        <v>101</v>
      </c>
      <c r="N561" s="166"/>
      <c r="O561" s="148" t="s">
        <v>79</v>
      </c>
      <c r="P561" s="148" t="s">
        <v>102</v>
      </c>
      <c r="Q561" s="148">
        <v>175</v>
      </c>
      <c r="R561" s="148"/>
      <c r="S561" s="148">
        <v>2500</v>
      </c>
      <c r="T561" s="148"/>
      <c r="U561" s="148">
        <v>3500</v>
      </c>
      <c r="V561" s="148"/>
      <c r="W561" s="148"/>
      <c r="X561" s="148"/>
      <c r="Y561" s="148"/>
      <c r="Z561" s="148"/>
      <c r="AA561" s="148"/>
      <c r="AB561" s="148"/>
      <c r="AC561" s="148"/>
      <c r="AD561" s="148"/>
      <c r="AE561" s="148"/>
      <c r="AF561" s="148"/>
      <c r="AG561" s="148"/>
      <c r="AH561" s="148"/>
      <c r="AI561" s="148"/>
      <c r="AJ561" s="148"/>
      <c r="AK561" s="148"/>
      <c r="AL561" s="148"/>
      <c r="AM561" s="148"/>
      <c r="AN561" s="148"/>
      <c r="AO561" s="148"/>
      <c r="AP561" s="148"/>
      <c r="AQ561" s="148"/>
      <c r="AR561" s="148"/>
      <c r="AS561" s="148"/>
      <c r="AT561" s="148"/>
      <c r="AU561" s="148"/>
      <c r="AV561" s="148"/>
      <c r="AW561" s="148"/>
      <c r="AX561" s="148"/>
      <c r="AY561" s="148"/>
      <c r="AZ561" s="148"/>
      <c r="BA561" s="148"/>
      <c r="BB561" s="148"/>
      <c r="BC561" s="148"/>
      <c r="BD561" s="148"/>
      <c r="BE561" s="148"/>
      <c r="BF561" s="148"/>
      <c r="BG561" s="148"/>
      <c r="BH561" s="148"/>
      <c r="BI561" s="148"/>
      <c r="BJ561" s="148"/>
      <c r="BK561" s="148"/>
      <c r="BL561" s="148"/>
      <c r="BM561" s="148"/>
      <c r="BN561" s="148"/>
      <c r="BO561" s="148"/>
      <c r="BP561" s="148"/>
      <c r="BQ561" s="148"/>
      <c r="BR561" s="148"/>
      <c r="BS561" s="148"/>
      <c r="BT561" s="148"/>
      <c r="BU561" s="148"/>
      <c r="BV561" s="148"/>
      <c r="BW561" s="148"/>
      <c r="BX561" s="148"/>
      <c r="BY561" s="170"/>
    </row>
    <row r="562" spans="1:77" x14ac:dyDescent="0.15">
      <c r="A562" s="148">
        <v>1402040012</v>
      </c>
      <c r="B562" s="149" t="s">
        <v>529</v>
      </c>
      <c r="C562" s="148" t="s">
        <v>89</v>
      </c>
      <c r="D562" s="148"/>
      <c r="E562" s="148" t="s">
        <v>78</v>
      </c>
      <c r="F562" s="148"/>
      <c r="G562" s="148"/>
      <c r="H562" s="148"/>
      <c r="I562" s="148"/>
      <c r="J562" s="161"/>
      <c r="K562" s="161"/>
      <c r="L562" s="161"/>
      <c r="M562" s="161"/>
      <c r="N562" s="161"/>
      <c r="O562" s="148" t="s">
        <v>90</v>
      </c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  <c r="AC562" s="148"/>
      <c r="AD562" s="148">
        <v>1402040101</v>
      </c>
      <c r="AE562" s="148"/>
      <c r="AF562" s="148"/>
      <c r="AG562" s="148"/>
      <c r="AH562" s="148"/>
      <c r="AI562" s="148"/>
      <c r="AJ562" s="148"/>
      <c r="AK562" s="148"/>
      <c r="AL562" s="148"/>
      <c r="AM562" s="148"/>
      <c r="AN562" s="148"/>
      <c r="AO562" s="148"/>
      <c r="AP562" s="148"/>
      <c r="AQ562" s="148"/>
      <c r="AR562" s="148"/>
      <c r="AS562" s="148"/>
      <c r="AT562" s="148"/>
      <c r="AU562" s="148"/>
      <c r="AV562" s="148"/>
      <c r="AW562" s="148"/>
      <c r="AX562" s="148"/>
      <c r="AY562" s="148"/>
      <c r="AZ562" s="148"/>
      <c r="BA562" s="148"/>
      <c r="BB562" s="148"/>
      <c r="BC562" s="148"/>
      <c r="BD562" s="148"/>
      <c r="BE562" s="148"/>
      <c r="BF562" s="148"/>
      <c r="BG562" s="148"/>
      <c r="BH562" s="148"/>
      <c r="BI562" s="148"/>
      <c r="BJ562" s="148"/>
      <c r="BK562" s="148"/>
      <c r="BL562" s="148"/>
      <c r="BM562" s="148"/>
      <c r="BN562" s="148"/>
      <c r="BO562" s="148"/>
      <c r="BP562" s="148"/>
      <c r="BQ562" s="148"/>
      <c r="BR562" s="148"/>
      <c r="BS562" s="148"/>
      <c r="BT562" s="148"/>
      <c r="BU562" s="148"/>
      <c r="BV562" s="148"/>
      <c r="BW562" s="148"/>
      <c r="BX562" s="148"/>
      <c r="BY562" s="170"/>
    </row>
    <row r="563" spans="1:77" x14ac:dyDescent="0.15">
      <c r="A563" s="148">
        <v>1402040021</v>
      </c>
      <c r="B563" s="149" t="s">
        <v>528</v>
      </c>
      <c r="C563" s="148" t="s">
        <v>100</v>
      </c>
      <c r="D563" s="148"/>
      <c r="E563" s="148" t="s">
        <v>85</v>
      </c>
      <c r="F563" s="148">
        <v>80000</v>
      </c>
      <c r="G563" s="148">
        <v>200000</v>
      </c>
      <c r="H563" s="148"/>
      <c r="I563" s="148"/>
      <c r="J563" s="161"/>
      <c r="K563" s="161"/>
      <c r="L563" s="161"/>
      <c r="M563" s="166" t="s">
        <v>101</v>
      </c>
      <c r="N563" s="166"/>
      <c r="O563" s="148" t="s">
        <v>79</v>
      </c>
      <c r="P563" s="148" t="s">
        <v>102</v>
      </c>
      <c r="Q563" s="148">
        <v>250</v>
      </c>
      <c r="R563" s="148"/>
      <c r="S563" s="148">
        <v>2500</v>
      </c>
      <c r="T563" s="148"/>
      <c r="U563" s="148">
        <v>3500</v>
      </c>
      <c r="V563" s="148"/>
      <c r="W563" s="148"/>
      <c r="X563" s="148"/>
      <c r="Y563" s="148"/>
      <c r="Z563" s="148"/>
      <c r="AA563" s="148"/>
      <c r="AB563" s="148"/>
      <c r="AC563" s="148"/>
      <c r="AD563" s="148"/>
      <c r="AE563" s="148"/>
      <c r="AF563" s="148"/>
      <c r="AG563" s="148"/>
      <c r="AH563" s="148"/>
      <c r="AI563" s="148"/>
      <c r="AJ563" s="148"/>
      <c r="AK563" s="148"/>
      <c r="AL563" s="148"/>
      <c r="AM563" s="148"/>
      <c r="AN563" s="148"/>
      <c r="AO563" s="148"/>
      <c r="AP563" s="148"/>
      <c r="AQ563" s="148"/>
      <c r="AR563" s="148"/>
      <c r="AS563" s="148"/>
      <c r="AT563" s="148"/>
      <c r="AU563" s="148"/>
      <c r="AV563" s="148"/>
      <c r="AW563" s="148"/>
      <c r="AX563" s="148"/>
      <c r="AY563" s="148"/>
      <c r="AZ563" s="148"/>
      <c r="BA563" s="148"/>
      <c r="BB563" s="148"/>
      <c r="BC563" s="148"/>
      <c r="BD563" s="148"/>
      <c r="BE563" s="148"/>
      <c r="BF563" s="148"/>
      <c r="BG563" s="148"/>
      <c r="BH563" s="148"/>
      <c r="BI563" s="148"/>
      <c r="BJ563" s="148"/>
      <c r="BK563" s="148"/>
      <c r="BL563" s="148"/>
      <c r="BM563" s="148"/>
      <c r="BN563" s="148"/>
      <c r="BO563" s="148"/>
      <c r="BP563" s="148"/>
      <c r="BQ563" s="148"/>
      <c r="BR563" s="148"/>
      <c r="BS563" s="148"/>
      <c r="BT563" s="148"/>
      <c r="BU563" s="148"/>
      <c r="BV563" s="148"/>
      <c r="BW563" s="148"/>
      <c r="BX563" s="148"/>
      <c r="BY563" s="170"/>
    </row>
    <row r="564" spans="1:77" x14ac:dyDescent="0.15">
      <c r="A564" s="148">
        <v>1402040022</v>
      </c>
      <c r="B564" s="149" t="s">
        <v>529</v>
      </c>
      <c r="C564" s="148" t="s">
        <v>89</v>
      </c>
      <c r="D564" s="148"/>
      <c r="E564" s="148" t="s">
        <v>78</v>
      </c>
      <c r="F564" s="148"/>
      <c r="G564" s="148"/>
      <c r="H564" s="148"/>
      <c r="I564" s="148"/>
      <c r="J564" s="161"/>
      <c r="K564" s="161"/>
      <c r="L564" s="161"/>
      <c r="M564" s="161"/>
      <c r="N564" s="161"/>
      <c r="O564" s="148" t="s">
        <v>90</v>
      </c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  <c r="AC564" s="148"/>
      <c r="AD564" s="148">
        <v>1402040102</v>
      </c>
      <c r="AE564" s="148"/>
      <c r="AF564" s="148"/>
      <c r="AG564" s="148"/>
      <c r="AH564" s="148"/>
      <c r="AI564" s="148"/>
      <c r="AJ564" s="148"/>
      <c r="AK564" s="148"/>
      <c r="AL564" s="148"/>
      <c r="AM564" s="148"/>
      <c r="AN564" s="148"/>
      <c r="AO564" s="148"/>
      <c r="AP564" s="148"/>
      <c r="AQ564" s="148"/>
      <c r="AR564" s="148"/>
      <c r="AS564" s="148"/>
      <c r="AT564" s="148"/>
      <c r="AU564" s="148"/>
      <c r="AV564" s="148"/>
      <c r="AW564" s="148"/>
      <c r="AX564" s="148"/>
      <c r="AY564" s="148"/>
      <c r="AZ564" s="148"/>
      <c r="BA564" s="148"/>
      <c r="BB564" s="148"/>
      <c r="BC564" s="148"/>
      <c r="BD564" s="148"/>
      <c r="BE564" s="148"/>
      <c r="BF564" s="148"/>
      <c r="BG564" s="148"/>
      <c r="BH564" s="148"/>
      <c r="BI564" s="148"/>
      <c r="BJ564" s="148"/>
      <c r="BK564" s="148"/>
      <c r="BL564" s="148"/>
      <c r="BM564" s="148"/>
      <c r="BN564" s="148"/>
      <c r="BO564" s="148"/>
      <c r="BP564" s="148"/>
      <c r="BQ564" s="148"/>
      <c r="BR564" s="148"/>
      <c r="BS564" s="148"/>
      <c r="BT564" s="148"/>
      <c r="BU564" s="148"/>
      <c r="BV564" s="148"/>
      <c r="BW564" s="148"/>
      <c r="BX564" s="148"/>
      <c r="BY564" s="170"/>
    </row>
    <row r="565" spans="1:77" x14ac:dyDescent="0.15">
      <c r="A565" s="148">
        <v>1402041011</v>
      </c>
      <c r="B565" s="149" t="s">
        <v>530</v>
      </c>
      <c r="C565" s="148" t="s">
        <v>89</v>
      </c>
      <c r="D565" s="148"/>
      <c r="E565" s="148" t="s">
        <v>78</v>
      </c>
      <c r="F565" s="148"/>
      <c r="G565" s="148"/>
      <c r="H565" s="148"/>
      <c r="I565" s="148"/>
      <c r="J565" s="161"/>
      <c r="K565" s="161"/>
      <c r="L565" s="161"/>
      <c r="M565" s="161"/>
      <c r="N565" s="161"/>
      <c r="O565" s="148" t="s">
        <v>531</v>
      </c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  <c r="AC565" s="148"/>
      <c r="AD565" s="148"/>
      <c r="AE565" s="148">
        <v>1402040</v>
      </c>
      <c r="AF565" s="148"/>
      <c r="AG565" s="148"/>
      <c r="AH565" s="148"/>
      <c r="AI565" s="148"/>
      <c r="AJ565" s="148"/>
      <c r="AK565" s="148"/>
      <c r="AL565" s="148"/>
      <c r="AM565" s="148"/>
      <c r="AN565" s="148"/>
      <c r="AO565" s="148"/>
      <c r="AP565" s="148"/>
      <c r="AQ565" s="148"/>
      <c r="AR565" s="148"/>
      <c r="AS565" s="148"/>
      <c r="AT565" s="148"/>
      <c r="AU565" s="148"/>
      <c r="AV565" s="148"/>
      <c r="AW565" s="148"/>
      <c r="AX565" s="148"/>
      <c r="AY565" s="148"/>
      <c r="AZ565" s="148"/>
      <c r="BA565" s="148"/>
      <c r="BB565" s="148"/>
      <c r="BC565" s="148"/>
      <c r="BD565" s="148"/>
      <c r="BE565" s="148"/>
      <c r="BF565" s="148"/>
      <c r="BG565" s="148"/>
      <c r="BH565" s="148"/>
      <c r="BI565" s="148"/>
      <c r="BJ565" s="148"/>
      <c r="BK565" s="148"/>
      <c r="BL565" s="148"/>
      <c r="BM565" s="148"/>
      <c r="BN565" s="148"/>
      <c r="BO565" s="148"/>
      <c r="BP565" s="148"/>
      <c r="BQ565" s="148"/>
      <c r="BR565" s="148"/>
      <c r="BS565" s="148"/>
      <c r="BT565" s="148"/>
      <c r="BU565" s="148"/>
      <c r="BV565" s="148"/>
      <c r="BW565" s="148"/>
      <c r="BX565" s="148"/>
      <c r="BY565" s="170"/>
    </row>
    <row r="566" spans="1:77" s="19" customFormat="1" x14ac:dyDescent="0.15">
      <c r="A566" s="151">
        <v>1302001011</v>
      </c>
      <c r="B566" s="157" t="s">
        <v>532</v>
      </c>
      <c r="C566" s="151" t="s">
        <v>77</v>
      </c>
      <c r="D566" s="151"/>
      <c r="E566" s="151" t="s">
        <v>78</v>
      </c>
      <c r="F566" s="151"/>
      <c r="G566" s="151"/>
      <c r="H566" s="151"/>
      <c r="I566" s="151"/>
      <c r="J566" s="165"/>
      <c r="K566" s="165"/>
      <c r="L566" s="165"/>
      <c r="M566" s="165"/>
      <c r="N566" s="165"/>
      <c r="O566" s="151" t="s">
        <v>79</v>
      </c>
      <c r="P566" s="151" t="s">
        <v>80</v>
      </c>
      <c r="Q566" s="151"/>
      <c r="R566" s="151">
        <v>10000</v>
      </c>
      <c r="S566" s="151"/>
      <c r="T566" s="151">
        <v>10000</v>
      </c>
      <c r="U566" s="151"/>
      <c r="V566" s="151" t="s">
        <v>101</v>
      </c>
      <c r="W566" s="151"/>
      <c r="X566" s="151"/>
      <c r="Y566" s="151"/>
      <c r="Z566" s="151"/>
      <c r="AA566" s="151"/>
      <c r="AB566" s="151"/>
      <c r="AC566" s="151"/>
      <c r="AD566" s="151"/>
      <c r="AE566" s="151"/>
      <c r="AF566" s="151"/>
      <c r="AG566" s="151"/>
      <c r="AH566" s="151"/>
      <c r="AI566" s="151"/>
      <c r="AJ566" s="151"/>
      <c r="AK566" s="151"/>
      <c r="AL566" s="151"/>
      <c r="AM566" s="151"/>
      <c r="AN566" s="151"/>
      <c r="AO566" s="151"/>
      <c r="AP566" s="151"/>
      <c r="AQ566" s="151"/>
      <c r="AR566" s="151"/>
      <c r="AS566" s="151"/>
      <c r="AT566" s="151"/>
      <c r="AU566" s="151"/>
      <c r="AV566" s="151"/>
      <c r="AW566" s="151"/>
      <c r="AX566" s="151"/>
      <c r="AY566" s="151"/>
      <c r="AZ566" s="151"/>
      <c r="BA566" s="151"/>
      <c r="BB566" s="151"/>
      <c r="BC566" s="151"/>
      <c r="BD566" s="151"/>
      <c r="BE566" s="151"/>
      <c r="BF566" s="151"/>
      <c r="BG566" s="151"/>
      <c r="BH566" s="151"/>
      <c r="BI566" s="151"/>
      <c r="BJ566" s="151"/>
      <c r="BK566" s="151"/>
      <c r="BL566" s="151"/>
      <c r="BM566" s="151"/>
      <c r="BN566" s="151"/>
      <c r="BO566" s="151"/>
      <c r="BP566" s="151"/>
      <c r="BQ566" s="151"/>
      <c r="BR566" s="151"/>
      <c r="BS566" s="151"/>
      <c r="BT566" s="151"/>
      <c r="BU566" s="151"/>
      <c r="BV566" s="151"/>
      <c r="BW566" s="151"/>
      <c r="BX566" s="151"/>
      <c r="BY566" s="174"/>
    </row>
    <row r="567" spans="1:77" s="19" customFormat="1" x14ac:dyDescent="0.15">
      <c r="A567" s="151">
        <v>1302010011</v>
      </c>
      <c r="B567" s="157" t="s">
        <v>533</v>
      </c>
      <c r="C567" s="151" t="s">
        <v>100</v>
      </c>
      <c r="D567" s="151"/>
      <c r="E567" s="151" t="s">
        <v>83</v>
      </c>
      <c r="F567" s="151">
        <v>150000</v>
      </c>
      <c r="G567" s="151"/>
      <c r="H567" s="151"/>
      <c r="I567" s="151"/>
      <c r="J567" s="165"/>
      <c r="K567" s="165"/>
      <c r="L567" s="165"/>
      <c r="M567" s="165"/>
      <c r="N567" s="165" t="s">
        <v>842</v>
      </c>
      <c r="O567" s="151" t="s">
        <v>79</v>
      </c>
      <c r="P567" s="151" t="s">
        <v>80</v>
      </c>
      <c r="Q567" s="169">
        <v>100</v>
      </c>
      <c r="R567" s="169">
        <v>2500</v>
      </c>
      <c r="S567" s="151"/>
      <c r="T567" s="151"/>
      <c r="U567" s="151"/>
      <c r="V567" s="151"/>
      <c r="W567" s="151"/>
      <c r="X567" s="151"/>
      <c r="Y567" s="151"/>
      <c r="Z567" s="151"/>
      <c r="AA567" s="151"/>
      <c r="AB567" s="151"/>
      <c r="AC567" s="151"/>
      <c r="AD567" s="151"/>
      <c r="AE567" s="151"/>
      <c r="AF567" s="151"/>
      <c r="AG567" s="151"/>
      <c r="AH567" s="151"/>
      <c r="AI567" s="151"/>
      <c r="AJ567" s="151" t="s">
        <v>90</v>
      </c>
      <c r="AK567" s="151"/>
      <c r="AL567" s="151"/>
      <c r="AM567" s="151"/>
      <c r="AN567" s="151"/>
      <c r="AO567" s="151"/>
      <c r="AP567" s="151"/>
      <c r="AQ567" s="151"/>
      <c r="AR567" s="151"/>
      <c r="AS567" s="151"/>
      <c r="AT567" s="151"/>
      <c r="AU567" s="151"/>
      <c r="AV567" s="151"/>
      <c r="AW567" s="151"/>
      <c r="AX567" s="151">
        <v>1302010101</v>
      </c>
      <c r="AY567" s="151">
        <v>1302010101</v>
      </c>
      <c r="AZ567" s="151"/>
      <c r="BA567" s="151"/>
      <c r="BB567" s="151"/>
      <c r="BC567" s="151"/>
      <c r="BD567" s="151"/>
      <c r="BE567" s="151"/>
      <c r="BF567" s="151"/>
      <c r="BG567" s="151"/>
      <c r="BH567" s="151"/>
      <c r="BI567" s="151"/>
      <c r="BJ567" s="151"/>
      <c r="BK567" s="151"/>
      <c r="BL567" s="151"/>
      <c r="BM567" s="151"/>
      <c r="BN567" s="151"/>
      <c r="BO567" s="151"/>
      <c r="BP567" s="151"/>
      <c r="BQ567" s="151"/>
      <c r="BR567" s="151"/>
      <c r="BS567" s="151"/>
      <c r="BT567" s="151"/>
      <c r="BU567" s="151"/>
      <c r="BV567" s="151"/>
      <c r="BW567" s="151"/>
      <c r="BX567" s="151"/>
      <c r="BY567" s="174"/>
    </row>
    <row r="568" spans="1:77" s="19" customFormat="1" x14ac:dyDescent="0.15">
      <c r="A568" s="151">
        <v>1302010012</v>
      </c>
      <c r="B568" s="157" t="s">
        <v>534</v>
      </c>
      <c r="C568" s="151" t="s">
        <v>100</v>
      </c>
      <c r="D568" s="151"/>
      <c r="E568" s="151" t="s">
        <v>83</v>
      </c>
      <c r="F568" s="151">
        <v>100000</v>
      </c>
      <c r="G568" s="151"/>
      <c r="H568" s="151"/>
      <c r="I568" s="151"/>
      <c r="J568" s="165"/>
      <c r="K568" s="165"/>
      <c r="L568" s="165"/>
      <c r="M568" s="165"/>
      <c r="N568" s="165" t="s">
        <v>842</v>
      </c>
      <c r="O568" s="151" t="s">
        <v>79</v>
      </c>
      <c r="P568" s="151" t="s">
        <v>80</v>
      </c>
      <c r="Q568" s="169">
        <v>100</v>
      </c>
      <c r="R568" s="169">
        <v>2500</v>
      </c>
      <c r="S568" s="151"/>
      <c r="T568" s="151"/>
      <c r="U568" s="151"/>
      <c r="V568" s="151"/>
      <c r="W568" s="151" t="s">
        <v>522</v>
      </c>
      <c r="X568" s="151">
        <v>13020101</v>
      </c>
      <c r="Y568" s="151" t="s">
        <v>308</v>
      </c>
      <c r="Z568" s="151">
        <v>-5000</v>
      </c>
      <c r="AA568" s="151"/>
      <c r="AB568" s="151"/>
      <c r="AC568" s="151"/>
      <c r="AD568" s="151"/>
      <c r="AE568" s="151"/>
      <c r="AF568" s="151"/>
      <c r="AG568" s="151"/>
      <c r="AH568" s="151"/>
      <c r="AI568" s="151"/>
      <c r="AJ568" s="151"/>
      <c r="AK568" s="151"/>
      <c r="AL568" s="151"/>
      <c r="AM568" s="151"/>
      <c r="AN568" s="151"/>
      <c r="AO568" s="151"/>
      <c r="AP568" s="151"/>
      <c r="AQ568" s="151"/>
      <c r="AR568" s="151"/>
      <c r="AS568" s="151"/>
      <c r="AT568" s="151"/>
      <c r="AU568" s="151"/>
      <c r="AV568" s="151"/>
      <c r="AW568" s="151"/>
      <c r="AX568" s="151"/>
      <c r="AY568" s="151"/>
      <c r="AZ568" s="151"/>
      <c r="BA568" s="151"/>
      <c r="BB568" s="151"/>
      <c r="BC568" s="151"/>
      <c r="BD568" s="151"/>
      <c r="BE568" s="151"/>
      <c r="BF568" s="151"/>
      <c r="BG568" s="151"/>
      <c r="BH568" s="151"/>
      <c r="BI568" s="151"/>
      <c r="BJ568" s="151"/>
      <c r="BK568" s="151"/>
      <c r="BL568" s="151"/>
      <c r="BM568" s="151"/>
      <c r="BN568" s="151"/>
      <c r="BO568" s="151"/>
      <c r="BP568" s="151"/>
      <c r="BQ568" s="151"/>
      <c r="BR568" s="151"/>
      <c r="BS568" s="151"/>
      <c r="BT568" s="151"/>
      <c r="BU568" s="151"/>
      <c r="BV568" s="151"/>
      <c r="BW568" s="151"/>
      <c r="BX568" s="151"/>
      <c r="BY568" s="174"/>
    </row>
    <row r="569" spans="1:77" s="19" customFormat="1" x14ac:dyDescent="0.15">
      <c r="A569" s="151">
        <v>1302010021</v>
      </c>
      <c r="B569" s="157" t="s">
        <v>533</v>
      </c>
      <c r="C569" s="151" t="s">
        <v>100</v>
      </c>
      <c r="D569" s="151"/>
      <c r="E569" s="151" t="s">
        <v>83</v>
      </c>
      <c r="F569" s="151">
        <v>150000</v>
      </c>
      <c r="G569" s="151"/>
      <c r="H569" s="151"/>
      <c r="I569" s="151"/>
      <c r="J569" s="165"/>
      <c r="K569" s="165"/>
      <c r="L569" s="165"/>
      <c r="M569" s="165"/>
      <c r="N569" s="165" t="s">
        <v>842</v>
      </c>
      <c r="O569" s="151" t="s">
        <v>79</v>
      </c>
      <c r="P569" s="151" t="s">
        <v>80</v>
      </c>
      <c r="Q569" s="169">
        <v>150</v>
      </c>
      <c r="R569" s="169">
        <v>2500</v>
      </c>
      <c r="S569" s="151"/>
      <c r="T569" s="151"/>
      <c r="U569" s="151"/>
      <c r="V569" s="151"/>
      <c r="W569" s="151"/>
      <c r="X569" s="151"/>
      <c r="Y569" s="151"/>
      <c r="Z569" s="151"/>
      <c r="AA569" s="151"/>
      <c r="AB569" s="151"/>
      <c r="AC569" s="151"/>
      <c r="AD569" s="151"/>
      <c r="AE569" s="151"/>
      <c r="AF569" s="151"/>
      <c r="AG569" s="151"/>
      <c r="AH569" s="151"/>
      <c r="AI569" s="151"/>
      <c r="AJ569" s="151" t="s">
        <v>90</v>
      </c>
      <c r="AK569" s="151"/>
      <c r="AL569" s="151"/>
      <c r="AM569" s="151"/>
      <c r="AN569" s="151"/>
      <c r="AO569" s="151"/>
      <c r="AP569" s="151"/>
      <c r="AQ569" s="151"/>
      <c r="AR569" s="151"/>
      <c r="AS569" s="151"/>
      <c r="AT569" s="151"/>
      <c r="AU569" s="151"/>
      <c r="AV569" s="151"/>
      <c r="AW569" s="151"/>
      <c r="AX569" s="151">
        <v>1302010101</v>
      </c>
      <c r="AY569" s="151">
        <v>1302010101</v>
      </c>
      <c r="AZ569" s="151"/>
      <c r="BA569" s="151"/>
      <c r="BB569" s="151"/>
      <c r="BC569" s="151"/>
      <c r="BD569" s="151"/>
      <c r="BE569" s="151"/>
      <c r="BF569" s="151"/>
      <c r="BG569" s="151"/>
      <c r="BH569" s="151"/>
      <c r="BI569" s="151"/>
      <c r="BJ569" s="151"/>
      <c r="BK569" s="151"/>
      <c r="BL569" s="151"/>
      <c r="BM569" s="151"/>
      <c r="BN569" s="151"/>
      <c r="BO569" s="151"/>
      <c r="BP569" s="151"/>
      <c r="BQ569" s="151"/>
      <c r="BR569" s="151"/>
      <c r="BS569" s="151"/>
      <c r="BT569" s="151"/>
      <c r="BU569" s="151"/>
      <c r="BV569" s="151"/>
      <c r="BW569" s="151"/>
      <c r="BX569" s="151"/>
      <c r="BY569" s="174"/>
    </row>
    <row r="570" spans="1:77" s="19" customFormat="1" x14ac:dyDescent="0.15">
      <c r="A570" s="151">
        <v>1302010022</v>
      </c>
      <c r="B570" s="157" t="s">
        <v>534</v>
      </c>
      <c r="C570" s="151" t="s">
        <v>100</v>
      </c>
      <c r="D570" s="151"/>
      <c r="E570" s="151" t="s">
        <v>83</v>
      </c>
      <c r="F570" s="151">
        <v>100000</v>
      </c>
      <c r="G570" s="151"/>
      <c r="H570" s="151"/>
      <c r="I570" s="151"/>
      <c r="J570" s="165"/>
      <c r="K570" s="165"/>
      <c r="L570" s="165"/>
      <c r="M570" s="165"/>
      <c r="N570" s="165" t="s">
        <v>842</v>
      </c>
      <c r="O570" s="151" t="s">
        <v>79</v>
      </c>
      <c r="P570" s="151" t="s">
        <v>80</v>
      </c>
      <c r="Q570" s="169">
        <v>150</v>
      </c>
      <c r="R570" s="169">
        <v>2500</v>
      </c>
      <c r="S570" s="151"/>
      <c r="T570" s="151"/>
      <c r="U570" s="151"/>
      <c r="V570" s="151"/>
      <c r="W570" s="151" t="s">
        <v>522</v>
      </c>
      <c r="X570" s="151">
        <v>13020101</v>
      </c>
      <c r="Y570" s="151" t="s">
        <v>308</v>
      </c>
      <c r="Z570" s="151">
        <v>-5000</v>
      </c>
      <c r="AA570" s="151"/>
      <c r="AB570" s="151"/>
      <c r="AC570" s="151"/>
      <c r="AD570" s="151"/>
      <c r="AE570" s="151"/>
      <c r="AF570" s="151"/>
      <c r="AG570" s="151"/>
      <c r="AH570" s="151"/>
      <c r="AI570" s="151"/>
      <c r="AJ570" s="151"/>
      <c r="AK570" s="151"/>
      <c r="AL570" s="151"/>
      <c r="AM570" s="151"/>
      <c r="AN570" s="151"/>
      <c r="AO570" s="151"/>
      <c r="AP570" s="151"/>
      <c r="AQ570" s="151"/>
      <c r="AR570" s="151"/>
      <c r="AS570" s="151"/>
      <c r="AT570" s="151"/>
      <c r="AU570" s="151"/>
      <c r="AV570" s="151"/>
      <c r="AW570" s="151"/>
      <c r="AX570" s="151"/>
      <c r="AY570" s="151"/>
      <c r="AZ570" s="151"/>
      <c r="BA570" s="151"/>
      <c r="BB570" s="151"/>
      <c r="BC570" s="151"/>
      <c r="BD570" s="151"/>
      <c r="BE570" s="151"/>
      <c r="BF570" s="151"/>
      <c r="BG570" s="151"/>
      <c r="BH570" s="151"/>
      <c r="BI570" s="151"/>
      <c r="BJ570" s="151"/>
      <c r="BK570" s="151"/>
      <c r="BL570" s="151"/>
      <c r="BM570" s="151"/>
      <c r="BN570" s="151"/>
      <c r="BO570" s="151"/>
      <c r="BP570" s="151"/>
      <c r="BQ570" s="151"/>
      <c r="BR570" s="151"/>
      <c r="BS570" s="151"/>
      <c r="BT570" s="151"/>
      <c r="BU570" s="151"/>
      <c r="BV570" s="151"/>
      <c r="BW570" s="151"/>
      <c r="BX570" s="151"/>
      <c r="BY570" s="174"/>
    </row>
    <row r="571" spans="1:77" s="19" customFormat="1" x14ac:dyDescent="0.15">
      <c r="A571" s="151">
        <v>1302010031</v>
      </c>
      <c r="B571" s="157" t="s">
        <v>533</v>
      </c>
      <c r="C571" s="151" t="s">
        <v>100</v>
      </c>
      <c r="D571" s="151"/>
      <c r="E571" s="151" t="s">
        <v>83</v>
      </c>
      <c r="F571" s="151">
        <v>150000</v>
      </c>
      <c r="G571" s="151"/>
      <c r="H571" s="151"/>
      <c r="I571" s="151"/>
      <c r="J571" s="165"/>
      <c r="K571" s="165"/>
      <c r="L571" s="165"/>
      <c r="M571" s="165"/>
      <c r="N571" s="165" t="s">
        <v>842</v>
      </c>
      <c r="O571" s="151" t="s">
        <v>79</v>
      </c>
      <c r="P571" s="151" t="s">
        <v>80</v>
      </c>
      <c r="Q571" s="169">
        <v>200</v>
      </c>
      <c r="R571" s="169">
        <v>2500</v>
      </c>
      <c r="S571" s="151"/>
      <c r="T571" s="151"/>
      <c r="U571" s="151"/>
      <c r="V571" s="151"/>
      <c r="W571" s="151"/>
      <c r="X571" s="151"/>
      <c r="Y571" s="151"/>
      <c r="Z571" s="151"/>
      <c r="AA571" s="151"/>
      <c r="AB571" s="151"/>
      <c r="AC571" s="151"/>
      <c r="AD571" s="151"/>
      <c r="AE571" s="151"/>
      <c r="AF571" s="151"/>
      <c r="AG571" s="151"/>
      <c r="AH571" s="151"/>
      <c r="AI571" s="151"/>
      <c r="AJ571" s="151" t="s">
        <v>90</v>
      </c>
      <c r="AK571" s="151"/>
      <c r="AL571" s="151"/>
      <c r="AM571" s="151"/>
      <c r="AN571" s="151"/>
      <c r="AO571" s="151"/>
      <c r="AP571" s="151"/>
      <c r="AQ571" s="151"/>
      <c r="AR571" s="151"/>
      <c r="AS571" s="151"/>
      <c r="AT571" s="151"/>
      <c r="AU571" s="151"/>
      <c r="AV571" s="151"/>
      <c r="AW571" s="151"/>
      <c r="AX571" s="151">
        <v>1302010101</v>
      </c>
      <c r="AY571" s="151">
        <v>1302010101</v>
      </c>
      <c r="AZ571" s="151"/>
      <c r="BA571" s="151"/>
      <c r="BB571" s="151"/>
      <c r="BC571" s="151"/>
      <c r="BD571" s="151"/>
      <c r="BE571" s="151"/>
      <c r="BF571" s="151"/>
      <c r="BG571" s="151"/>
      <c r="BH571" s="151"/>
      <c r="BI571" s="151"/>
      <c r="BJ571" s="151"/>
      <c r="BK571" s="151"/>
      <c r="BL571" s="151"/>
      <c r="BM571" s="151"/>
      <c r="BN571" s="151"/>
      <c r="BO571" s="151"/>
      <c r="BP571" s="151"/>
      <c r="BQ571" s="151"/>
      <c r="BR571" s="151"/>
      <c r="BS571" s="151"/>
      <c r="BT571" s="151"/>
      <c r="BU571" s="151"/>
      <c r="BV571" s="151"/>
      <c r="BW571" s="151"/>
      <c r="BX571" s="151"/>
      <c r="BY571" s="174"/>
    </row>
    <row r="572" spans="1:77" s="19" customFormat="1" x14ac:dyDescent="0.15">
      <c r="A572" s="151">
        <v>1302010032</v>
      </c>
      <c r="B572" s="157" t="s">
        <v>534</v>
      </c>
      <c r="C572" s="151" t="s">
        <v>100</v>
      </c>
      <c r="D572" s="151"/>
      <c r="E572" s="151" t="s">
        <v>83</v>
      </c>
      <c r="F572" s="151">
        <v>100000</v>
      </c>
      <c r="G572" s="151"/>
      <c r="H572" s="151"/>
      <c r="I572" s="151"/>
      <c r="J572" s="165"/>
      <c r="K572" s="165"/>
      <c r="L572" s="165"/>
      <c r="M572" s="165"/>
      <c r="N572" s="165" t="s">
        <v>842</v>
      </c>
      <c r="O572" s="151" t="s">
        <v>79</v>
      </c>
      <c r="P572" s="151" t="s">
        <v>80</v>
      </c>
      <c r="Q572" s="169">
        <v>200</v>
      </c>
      <c r="R572" s="169">
        <v>2500</v>
      </c>
      <c r="S572" s="151"/>
      <c r="T572" s="151"/>
      <c r="U572" s="151"/>
      <c r="V572" s="151"/>
      <c r="W572" s="151" t="s">
        <v>522</v>
      </c>
      <c r="X572" s="151">
        <v>13020101</v>
      </c>
      <c r="Y572" s="151" t="s">
        <v>308</v>
      </c>
      <c r="Z572" s="151">
        <v>-5000</v>
      </c>
      <c r="AA572" s="151"/>
      <c r="AB572" s="151"/>
      <c r="AC572" s="151"/>
      <c r="AD572" s="151"/>
      <c r="AE572" s="151"/>
      <c r="AF572" s="151"/>
      <c r="AG572" s="151"/>
      <c r="AH572" s="151"/>
      <c r="AI572" s="151"/>
      <c r="AJ572" s="151"/>
      <c r="AK572" s="151"/>
      <c r="AL572" s="151"/>
      <c r="AM572" s="151"/>
      <c r="AN572" s="151"/>
      <c r="AO572" s="151"/>
      <c r="AP572" s="151"/>
      <c r="AQ572" s="151"/>
      <c r="AR572" s="151"/>
      <c r="AS572" s="151"/>
      <c r="AT572" s="151"/>
      <c r="AU572" s="151"/>
      <c r="AV572" s="151"/>
      <c r="AW572" s="151"/>
      <c r="AX572" s="151"/>
      <c r="AY572" s="151"/>
      <c r="AZ572" s="151"/>
      <c r="BA572" s="151"/>
      <c r="BB572" s="151"/>
      <c r="BC572" s="151"/>
      <c r="BD572" s="151"/>
      <c r="BE572" s="151"/>
      <c r="BF572" s="151"/>
      <c r="BG572" s="151"/>
      <c r="BH572" s="151"/>
      <c r="BI572" s="151"/>
      <c r="BJ572" s="151"/>
      <c r="BK572" s="151"/>
      <c r="BL572" s="151"/>
      <c r="BM572" s="151"/>
      <c r="BN572" s="151"/>
      <c r="BO572" s="151"/>
      <c r="BP572" s="151"/>
      <c r="BQ572" s="151"/>
      <c r="BR572" s="151"/>
      <c r="BS572" s="151"/>
      <c r="BT572" s="151"/>
      <c r="BU572" s="151"/>
      <c r="BV572" s="151"/>
      <c r="BW572" s="151"/>
      <c r="BX572" s="151"/>
      <c r="BY572" s="174"/>
    </row>
    <row r="573" spans="1:77" s="19" customFormat="1" x14ac:dyDescent="0.15">
      <c r="A573" s="151">
        <v>1302010041</v>
      </c>
      <c r="B573" s="157" t="s">
        <v>533</v>
      </c>
      <c r="C573" s="151" t="s">
        <v>100</v>
      </c>
      <c r="D573" s="151"/>
      <c r="E573" s="151" t="s">
        <v>83</v>
      </c>
      <c r="F573" s="151">
        <v>150000</v>
      </c>
      <c r="G573" s="151"/>
      <c r="H573" s="151"/>
      <c r="I573" s="151"/>
      <c r="J573" s="165"/>
      <c r="K573" s="165"/>
      <c r="L573" s="165"/>
      <c r="M573" s="165"/>
      <c r="N573" s="165" t="s">
        <v>842</v>
      </c>
      <c r="O573" s="151" t="s">
        <v>79</v>
      </c>
      <c r="P573" s="151" t="s">
        <v>80</v>
      </c>
      <c r="Q573" s="169">
        <v>250</v>
      </c>
      <c r="R573" s="169">
        <v>2500</v>
      </c>
      <c r="S573" s="151"/>
      <c r="T573" s="151"/>
      <c r="U573" s="151"/>
      <c r="V573" s="151"/>
      <c r="W573" s="151"/>
      <c r="X573" s="151"/>
      <c r="Y573" s="151"/>
      <c r="Z573" s="151"/>
      <c r="AA573" s="151"/>
      <c r="AB573" s="151"/>
      <c r="AC573" s="151"/>
      <c r="AD573" s="151"/>
      <c r="AE573" s="151"/>
      <c r="AF573" s="151"/>
      <c r="AG573" s="151"/>
      <c r="AH573" s="151"/>
      <c r="AI573" s="151"/>
      <c r="AJ573" s="151" t="s">
        <v>90</v>
      </c>
      <c r="AK573" s="151"/>
      <c r="AL573" s="151"/>
      <c r="AM573" s="151"/>
      <c r="AN573" s="151"/>
      <c r="AO573" s="151"/>
      <c r="AP573" s="151"/>
      <c r="AQ573" s="151"/>
      <c r="AR573" s="151"/>
      <c r="AS573" s="151"/>
      <c r="AT573" s="151"/>
      <c r="AU573" s="151"/>
      <c r="AV573" s="151"/>
      <c r="AW573" s="151"/>
      <c r="AX573" s="151">
        <v>1302010101</v>
      </c>
      <c r="AY573" s="151">
        <v>1302010101</v>
      </c>
      <c r="AZ573" s="151"/>
      <c r="BA573" s="151"/>
      <c r="BB573" s="151"/>
      <c r="BC573" s="151"/>
      <c r="BD573" s="151"/>
      <c r="BE573" s="151"/>
      <c r="BF573" s="151"/>
      <c r="BG573" s="151"/>
      <c r="BH573" s="151"/>
      <c r="BI573" s="151"/>
      <c r="BJ573" s="151"/>
      <c r="BK573" s="151"/>
      <c r="BL573" s="151"/>
      <c r="BM573" s="151"/>
      <c r="BN573" s="151"/>
      <c r="BO573" s="151"/>
      <c r="BP573" s="151"/>
      <c r="BQ573" s="151"/>
      <c r="BR573" s="151"/>
      <c r="BS573" s="151"/>
      <c r="BT573" s="151"/>
      <c r="BU573" s="151"/>
      <c r="BV573" s="151"/>
      <c r="BW573" s="151"/>
      <c r="BX573" s="151"/>
      <c r="BY573" s="174"/>
    </row>
    <row r="574" spans="1:77" s="19" customFormat="1" x14ac:dyDescent="0.15">
      <c r="A574" s="151">
        <v>1302010042</v>
      </c>
      <c r="B574" s="157" t="s">
        <v>534</v>
      </c>
      <c r="C574" s="151" t="s">
        <v>100</v>
      </c>
      <c r="D574" s="151"/>
      <c r="E574" s="151" t="s">
        <v>83</v>
      </c>
      <c r="F574" s="151">
        <v>100000</v>
      </c>
      <c r="G574" s="151"/>
      <c r="H574" s="151"/>
      <c r="I574" s="151"/>
      <c r="J574" s="165"/>
      <c r="K574" s="165"/>
      <c r="L574" s="165"/>
      <c r="M574" s="165"/>
      <c r="N574" s="165" t="s">
        <v>842</v>
      </c>
      <c r="O574" s="151" t="s">
        <v>79</v>
      </c>
      <c r="P574" s="151" t="s">
        <v>80</v>
      </c>
      <c r="Q574" s="169">
        <v>250</v>
      </c>
      <c r="R574" s="169">
        <v>2500</v>
      </c>
      <c r="S574" s="151"/>
      <c r="T574" s="151"/>
      <c r="U574" s="151"/>
      <c r="V574" s="151"/>
      <c r="W574" s="151" t="s">
        <v>522</v>
      </c>
      <c r="X574" s="151">
        <v>13020101</v>
      </c>
      <c r="Y574" s="151" t="s">
        <v>308</v>
      </c>
      <c r="Z574" s="151">
        <v>-5000</v>
      </c>
      <c r="AA574" s="151"/>
      <c r="AB574" s="151"/>
      <c r="AC574" s="151"/>
      <c r="AD574" s="151"/>
      <c r="AE574" s="151"/>
      <c r="AF574" s="151"/>
      <c r="AG574" s="151"/>
      <c r="AH574" s="151"/>
      <c r="AI574" s="151"/>
      <c r="AJ574" s="151"/>
      <c r="AK574" s="151"/>
      <c r="AL574" s="151"/>
      <c r="AM574" s="151"/>
      <c r="AN574" s="151"/>
      <c r="AO574" s="151"/>
      <c r="AP574" s="151"/>
      <c r="AQ574" s="151"/>
      <c r="AR574" s="151"/>
      <c r="AS574" s="151"/>
      <c r="AT574" s="151"/>
      <c r="AU574" s="151"/>
      <c r="AV574" s="151"/>
      <c r="AW574" s="151"/>
      <c r="AX574" s="151"/>
      <c r="AY574" s="151"/>
      <c r="AZ574" s="151"/>
      <c r="BA574" s="151"/>
      <c r="BB574" s="151"/>
      <c r="BC574" s="151"/>
      <c r="BD574" s="151"/>
      <c r="BE574" s="151"/>
      <c r="BF574" s="151"/>
      <c r="BG574" s="151"/>
      <c r="BH574" s="151"/>
      <c r="BI574" s="151"/>
      <c r="BJ574" s="151"/>
      <c r="BK574" s="151"/>
      <c r="BL574" s="151"/>
      <c r="BM574" s="151"/>
      <c r="BN574" s="151"/>
      <c r="BO574" s="151"/>
      <c r="BP574" s="151"/>
      <c r="BQ574" s="151"/>
      <c r="BR574" s="151"/>
      <c r="BS574" s="151"/>
      <c r="BT574" s="151"/>
      <c r="BU574" s="151"/>
      <c r="BV574" s="151"/>
      <c r="BW574" s="151"/>
      <c r="BX574" s="151"/>
      <c r="BY574" s="174"/>
    </row>
    <row r="575" spans="1:77" s="19" customFormat="1" x14ac:dyDescent="0.15">
      <c r="A575" s="151">
        <v>1302020011</v>
      </c>
      <c r="B575" s="157" t="s">
        <v>535</v>
      </c>
      <c r="C575" s="151" t="s">
        <v>536</v>
      </c>
      <c r="D575" s="151" t="s">
        <v>101</v>
      </c>
      <c r="E575" s="151" t="s">
        <v>85</v>
      </c>
      <c r="F575" s="151">
        <v>80000</v>
      </c>
      <c r="G575" s="151">
        <v>3000000</v>
      </c>
      <c r="H575" s="151"/>
      <c r="I575" s="151"/>
      <c r="J575" s="165"/>
      <c r="K575" s="165"/>
      <c r="L575" s="165"/>
      <c r="M575" s="165" t="s">
        <v>101</v>
      </c>
      <c r="N575" s="165" t="s">
        <v>842</v>
      </c>
      <c r="O575" s="151" t="s">
        <v>90</v>
      </c>
      <c r="P575" s="151"/>
      <c r="Q575" s="169"/>
      <c r="R575" s="169"/>
      <c r="S575" s="151"/>
      <c r="T575" s="151"/>
      <c r="U575" s="151"/>
      <c r="V575" s="151"/>
      <c r="W575" s="151"/>
      <c r="X575" s="151"/>
      <c r="Y575" s="151"/>
      <c r="Z575" s="151"/>
      <c r="AA575" s="151"/>
      <c r="AB575" s="151"/>
      <c r="AC575" s="151">
        <v>1302020101</v>
      </c>
      <c r="AD575" s="151">
        <v>1302020101</v>
      </c>
      <c r="AE575" s="151"/>
      <c r="AF575" s="151"/>
      <c r="AG575" s="151"/>
      <c r="AH575" s="151"/>
      <c r="AI575" s="151"/>
      <c r="AJ575" s="151"/>
      <c r="AK575" s="151"/>
      <c r="AL575" s="151"/>
      <c r="AM575" s="151"/>
      <c r="AN575" s="151"/>
      <c r="AO575" s="151"/>
      <c r="AP575" s="151"/>
      <c r="AQ575" s="151"/>
      <c r="AR575" s="151"/>
      <c r="AS575" s="151"/>
      <c r="AT575" s="151"/>
      <c r="AU575" s="151"/>
      <c r="AV575" s="151"/>
      <c r="AW575" s="151"/>
      <c r="AX575" s="151"/>
      <c r="AY575" s="151"/>
      <c r="AZ575" s="151"/>
      <c r="BA575" s="151"/>
      <c r="BB575" s="151"/>
      <c r="BC575" s="151"/>
      <c r="BD575" s="151"/>
      <c r="BE575" s="151"/>
      <c r="BF575" s="151"/>
      <c r="BG575" s="151"/>
      <c r="BH575" s="151"/>
      <c r="BI575" s="151"/>
      <c r="BJ575" s="151"/>
      <c r="BK575" s="151"/>
      <c r="BL575" s="151"/>
      <c r="BM575" s="151"/>
      <c r="BN575" s="151"/>
      <c r="BO575" s="151"/>
      <c r="BP575" s="151"/>
      <c r="BQ575" s="151"/>
      <c r="BR575" s="151"/>
      <c r="BS575" s="151"/>
      <c r="BT575" s="151"/>
      <c r="BU575" s="151"/>
      <c r="BV575" s="151"/>
      <c r="BW575" s="151"/>
      <c r="BX575" s="151"/>
      <c r="BY575" s="174"/>
    </row>
    <row r="576" spans="1:77" s="19" customFormat="1" x14ac:dyDescent="0.15">
      <c r="A576" s="151">
        <v>1302020012</v>
      </c>
      <c r="B576" s="157" t="s">
        <v>537</v>
      </c>
      <c r="C576" s="151" t="s">
        <v>100</v>
      </c>
      <c r="D576" s="151" t="s">
        <v>101</v>
      </c>
      <c r="E576" s="151" t="s">
        <v>83</v>
      </c>
      <c r="F576" s="151">
        <v>80000</v>
      </c>
      <c r="G576" s="151"/>
      <c r="H576" s="151"/>
      <c r="I576" s="151"/>
      <c r="J576" s="165"/>
      <c r="K576" s="165"/>
      <c r="L576" s="165"/>
      <c r="M576" s="165" t="s">
        <v>101</v>
      </c>
      <c r="N576" s="165" t="s">
        <v>842</v>
      </c>
      <c r="O576" s="151" t="s">
        <v>79</v>
      </c>
      <c r="P576" s="151" t="s">
        <v>80</v>
      </c>
      <c r="Q576" s="169">
        <v>120</v>
      </c>
      <c r="R576" s="169">
        <v>2500</v>
      </c>
      <c r="S576" s="151"/>
      <c r="T576" s="151"/>
      <c r="U576" s="151"/>
      <c r="V576" s="151"/>
      <c r="W576" s="151" t="s">
        <v>538</v>
      </c>
      <c r="X576" s="151">
        <v>500000</v>
      </c>
      <c r="Y576" s="151" t="s">
        <v>171</v>
      </c>
      <c r="Z576" s="151">
        <f>AA576/3</f>
        <v>24</v>
      </c>
      <c r="AA576" s="151">
        <f>Q576*0.6</f>
        <v>72</v>
      </c>
      <c r="AB576" s="151"/>
      <c r="AC576" s="151"/>
      <c r="AD576" s="151"/>
      <c r="AE576" s="151"/>
      <c r="AF576" s="151"/>
      <c r="AG576" s="151"/>
      <c r="AH576" s="151"/>
      <c r="AI576" s="151"/>
      <c r="AJ576" s="151"/>
      <c r="AK576" s="151"/>
      <c r="AL576" s="151"/>
      <c r="AM576" s="151"/>
      <c r="AN576" s="151"/>
      <c r="AO576" s="151"/>
      <c r="AP576" s="151"/>
      <c r="AQ576" s="151"/>
      <c r="AR576" s="151"/>
      <c r="AS576" s="151"/>
      <c r="AT576" s="151"/>
      <c r="AU576" s="151"/>
      <c r="AV576" s="151"/>
      <c r="AW576" s="151"/>
      <c r="AX576" s="151"/>
      <c r="AY576" s="151"/>
      <c r="AZ576" s="151"/>
      <c r="BA576" s="151"/>
      <c r="BB576" s="151"/>
      <c r="BC576" s="151"/>
      <c r="BD576" s="151"/>
      <c r="BE576" s="151"/>
      <c r="BF576" s="151"/>
      <c r="BG576" s="151"/>
      <c r="BH576" s="151"/>
      <c r="BI576" s="151"/>
      <c r="BJ576" s="151"/>
      <c r="BK576" s="151"/>
      <c r="BL576" s="151"/>
      <c r="BM576" s="151"/>
      <c r="BN576" s="151"/>
      <c r="BO576" s="151"/>
      <c r="BP576" s="151"/>
      <c r="BQ576" s="151"/>
      <c r="BR576" s="151"/>
      <c r="BS576" s="151"/>
      <c r="BT576" s="151"/>
      <c r="BU576" s="151"/>
      <c r="BV576" s="151"/>
      <c r="BW576" s="151"/>
      <c r="BX576" s="151"/>
      <c r="BY576" s="174"/>
    </row>
    <row r="577" spans="1:77" s="19" customFormat="1" x14ac:dyDescent="0.15">
      <c r="A577" s="151">
        <v>1302020022</v>
      </c>
      <c r="B577" s="157" t="s">
        <v>537</v>
      </c>
      <c r="C577" s="151" t="s">
        <v>100</v>
      </c>
      <c r="D577" s="151" t="s">
        <v>101</v>
      </c>
      <c r="E577" s="151" t="s">
        <v>83</v>
      </c>
      <c r="F577" s="151">
        <v>80000</v>
      </c>
      <c r="G577" s="151"/>
      <c r="H577" s="151"/>
      <c r="I577" s="151"/>
      <c r="J577" s="165"/>
      <c r="K577" s="165"/>
      <c r="L577" s="165"/>
      <c r="M577" s="165" t="s">
        <v>101</v>
      </c>
      <c r="N577" s="165" t="s">
        <v>842</v>
      </c>
      <c r="O577" s="151" t="s">
        <v>79</v>
      </c>
      <c r="P577" s="151" t="s">
        <v>80</v>
      </c>
      <c r="Q577" s="169">
        <v>180</v>
      </c>
      <c r="R577" s="169">
        <v>2500</v>
      </c>
      <c r="S577" s="151"/>
      <c r="T577" s="151"/>
      <c r="U577" s="151"/>
      <c r="V577" s="151"/>
      <c r="W577" s="151" t="s">
        <v>538</v>
      </c>
      <c r="X577" s="151">
        <v>375000</v>
      </c>
      <c r="Y577" s="151" t="s">
        <v>171</v>
      </c>
      <c r="Z577" s="151">
        <f t="shared" ref="Z577:Z579" si="0">AA577/3</f>
        <v>36</v>
      </c>
      <c r="AA577" s="151">
        <f>Q577*0.6</f>
        <v>108</v>
      </c>
      <c r="AB577" s="151"/>
      <c r="AC577" s="151"/>
      <c r="AD577" s="151"/>
      <c r="AE577" s="151"/>
      <c r="AF577" s="151"/>
      <c r="AG577" s="151"/>
      <c r="AH577" s="151"/>
      <c r="AI577" s="151"/>
      <c r="AJ577" s="151"/>
      <c r="AK577" s="151"/>
      <c r="AL577" s="151"/>
      <c r="AM577" s="151"/>
      <c r="AN577" s="151"/>
      <c r="AO577" s="151"/>
      <c r="AP577" s="151"/>
      <c r="AQ577" s="151"/>
      <c r="AR577" s="151"/>
      <c r="AS577" s="151"/>
      <c r="AT577" s="151"/>
      <c r="AU577" s="151"/>
      <c r="AV577" s="151"/>
      <c r="AW577" s="151"/>
      <c r="AX577" s="151"/>
      <c r="AY577" s="151"/>
      <c r="AZ577" s="151"/>
      <c r="BA577" s="151"/>
      <c r="BB577" s="151"/>
      <c r="BC577" s="151"/>
      <c r="BD577" s="151"/>
      <c r="BE577" s="151"/>
      <c r="BF577" s="151"/>
      <c r="BG577" s="151"/>
      <c r="BH577" s="151"/>
      <c r="BI577" s="151"/>
      <c r="BJ577" s="151"/>
      <c r="BK577" s="151"/>
      <c r="BL577" s="151"/>
      <c r="BM577" s="151"/>
      <c r="BN577" s="151"/>
      <c r="BO577" s="151"/>
      <c r="BP577" s="151"/>
      <c r="BQ577" s="151"/>
      <c r="BR577" s="151"/>
      <c r="BS577" s="151"/>
      <c r="BT577" s="151"/>
      <c r="BU577" s="151"/>
      <c r="BV577" s="151"/>
      <c r="BW577" s="151"/>
      <c r="BX577" s="151"/>
      <c r="BY577" s="174"/>
    </row>
    <row r="578" spans="1:77" s="19" customFormat="1" x14ac:dyDescent="0.15">
      <c r="A578" s="151">
        <v>1302020032</v>
      </c>
      <c r="B578" s="157" t="s">
        <v>537</v>
      </c>
      <c r="C578" s="151" t="s">
        <v>100</v>
      </c>
      <c r="D578" s="151" t="s">
        <v>101</v>
      </c>
      <c r="E578" s="151" t="s">
        <v>83</v>
      </c>
      <c r="F578" s="151">
        <v>80000</v>
      </c>
      <c r="G578" s="151"/>
      <c r="H578" s="151"/>
      <c r="I578" s="151"/>
      <c r="J578" s="165"/>
      <c r="K578" s="165"/>
      <c r="L578" s="165"/>
      <c r="M578" s="165" t="s">
        <v>101</v>
      </c>
      <c r="N578" s="165" t="s">
        <v>842</v>
      </c>
      <c r="O578" s="151" t="s">
        <v>79</v>
      </c>
      <c r="P578" s="151" t="s">
        <v>80</v>
      </c>
      <c r="Q578" s="169">
        <v>240</v>
      </c>
      <c r="R578" s="169">
        <v>2500</v>
      </c>
      <c r="S578" s="151"/>
      <c r="T578" s="151"/>
      <c r="U578" s="151"/>
      <c r="V578" s="151"/>
      <c r="W578" s="151" t="s">
        <v>538</v>
      </c>
      <c r="X578" s="151">
        <v>300000</v>
      </c>
      <c r="Y578" s="151" t="s">
        <v>171</v>
      </c>
      <c r="Z578" s="151">
        <f t="shared" si="0"/>
        <v>48</v>
      </c>
      <c r="AA578" s="151">
        <f>Q578*0.6</f>
        <v>144</v>
      </c>
      <c r="AB578" s="151"/>
      <c r="AC578" s="151"/>
      <c r="AD578" s="151"/>
      <c r="AE578" s="151"/>
      <c r="AF578" s="151"/>
      <c r="AG578" s="151"/>
      <c r="AH578" s="151"/>
      <c r="AI578" s="151"/>
      <c r="AJ578" s="151"/>
      <c r="AK578" s="151"/>
      <c r="AL578" s="151"/>
      <c r="AM578" s="151"/>
      <c r="AN578" s="151"/>
      <c r="AO578" s="151"/>
      <c r="AP578" s="151"/>
      <c r="AQ578" s="151"/>
      <c r="AR578" s="151"/>
      <c r="AS578" s="151"/>
      <c r="AT578" s="151"/>
      <c r="AU578" s="151"/>
      <c r="AV578" s="151"/>
      <c r="AW578" s="151"/>
      <c r="AX578" s="151"/>
      <c r="AY578" s="151"/>
      <c r="AZ578" s="151"/>
      <c r="BA578" s="151"/>
      <c r="BB578" s="151"/>
      <c r="BC578" s="151"/>
      <c r="BD578" s="151"/>
      <c r="BE578" s="151"/>
      <c r="BF578" s="151"/>
      <c r="BG578" s="151"/>
      <c r="BH578" s="151"/>
      <c r="BI578" s="151"/>
      <c r="BJ578" s="151"/>
      <c r="BK578" s="151"/>
      <c r="BL578" s="151"/>
      <c r="BM578" s="151"/>
      <c r="BN578" s="151"/>
      <c r="BO578" s="151"/>
      <c r="BP578" s="151"/>
      <c r="BQ578" s="151"/>
      <c r="BR578" s="151"/>
      <c r="BS578" s="151"/>
      <c r="BT578" s="151"/>
      <c r="BU578" s="151"/>
      <c r="BV578" s="151"/>
      <c r="BW578" s="151"/>
      <c r="BX578" s="151"/>
      <c r="BY578" s="174"/>
    </row>
    <row r="579" spans="1:77" s="19" customFormat="1" x14ac:dyDescent="0.15">
      <c r="A579" s="151">
        <v>1302020042</v>
      </c>
      <c r="B579" s="157" t="s">
        <v>537</v>
      </c>
      <c r="C579" s="151" t="s">
        <v>100</v>
      </c>
      <c r="D579" s="151" t="s">
        <v>101</v>
      </c>
      <c r="E579" s="151" t="s">
        <v>83</v>
      </c>
      <c r="F579" s="151">
        <v>80000</v>
      </c>
      <c r="G579" s="151"/>
      <c r="H579" s="151"/>
      <c r="I579" s="151"/>
      <c r="J579" s="165"/>
      <c r="K579" s="165"/>
      <c r="L579" s="165"/>
      <c r="M579" s="165" t="s">
        <v>101</v>
      </c>
      <c r="N579" s="165" t="s">
        <v>842</v>
      </c>
      <c r="O579" s="151" t="s">
        <v>79</v>
      </c>
      <c r="P579" s="151" t="s">
        <v>80</v>
      </c>
      <c r="Q579" s="169">
        <v>300</v>
      </c>
      <c r="R579" s="169">
        <v>2500</v>
      </c>
      <c r="S579" s="151"/>
      <c r="T579" s="151"/>
      <c r="U579" s="151"/>
      <c r="V579" s="151"/>
      <c r="W579" s="151" t="s">
        <v>538</v>
      </c>
      <c r="X579" s="151">
        <v>250000</v>
      </c>
      <c r="Y579" s="151" t="s">
        <v>171</v>
      </c>
      <c r="Z579" s="151">
        <f t="shared" si="0"/>
        <v>60</v>
      </c>
      <c r="AA579" s="151">
        <f>Q579*0.6</f>
        <v>180</v>
      </c>
      <c r="AB579" s="151"/>
      <c r="AC579" s="151"/>
      <c r="AD579" s="151"/>
      <c r="AE579" s="151"/>
      <c r="AF579" s="151"/>
      <c r="AG579" s="151"/>
      <c r="AH579" s="151"/>
      <c r="AI579" s="151"/>
      <c r="AJ579" s="151"/>
      <c r="AK579" s="151"/>
      <c r="AL579" s="151"/>
      <c r="AM579" s="151"/>
      <c r="AN579" s="151"/>
      <c r="AO579" s="151"/>
      <c r="AP579" s="151"/>
      <c r="AQ579" s="151"/>
      <c r="AR579" s="151"/>
      <c r="AS579" s="151"/>
      <c r="AT579" s="151"/>
      <c r="AU579" s="151"/>
      <c r="AV579" s="151"/>
      <c r="AW579" s="151"/>
      <c r="AX579" s="151"/>
      <c r="AY579" s="151"/>
      <c r="AZ579" s="151"/>
      <c r="BA579" s="151"/>
      <c r="BB579" s="151"/>
      <c r="BC579" s="151"/>
      <c r="BD579" s="151"/>
      <c r="BE579" s="151"/>
      <c r="BF579" s="151"/>
      <c r="BG579" s="151"/>
      <c r="BH579" s="151"/>
      <c r="BI579" s="151"/>
      <c r="BJ579" s="151"/>
      <c r="BK579" s="151"/>
      <c r="BL579" s="151"/>
      <c r="BM579" s="151"/>
      <c r="BN579" s="151"/>
      <c r="BO579" s="151"/>
      <c r="BP579" s="151"/>
      <c r="BQ579" s="151"/>
      <c r="BR579" s="151"/>
      <c r="BS579" s="151"/>
      <c r="BT579" s="151"/>
      <c r="BU579" s="151"/>
      <c r="BV579" s="151"/>
      <c r="BW579" s="151"/>
      <c r="BX579" s="151"/>
      <c r="BY579" s="174"/>
    </row>
    <row r="580" spans="1:77" s="19" customFormat="1" x14ac:dyDescent="0.15">
      <c r="A580" s="151">
        <v>1302020013</v>
      </c>
      <c r="B580" s="157" t="s">
        <v>539</v>
      </c>
      <c r="C580" s="151" t="s">
        <v>89</v>
      </c>
      <c r="D580" s="151"/>
      <c r="E580" s="151" t="s">
        <v>78</v>
      </c>
      <c r="F580" s="151"/>
      <c r="G580" s="151"/>
      <c r="H580" s="151"/>
      <c r="I580" s="151"/>
      <c r="J580" s="165"/>
      <c r="K580" s="165"/>
      <c r="L580" s="165"/>
      <c r="M580" s="165"/>
      <c r="N580" s="165"/>
      <c r="O580" s="151" t="s">
        <v>516</v>
      </c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  <c r="AB580" s="151"/>
      <c r="AC580" s="151"/>
      <c r="AD580" s="151"/>
      <c r="AE580" s="151" t="s">
        <v>517</v>
      </c>
      <c r="AF580" s="151">
        <v>1302020</v>
      </c>
      <c r="AG580" s="151" t="s">
        <v>308</v>
      </c>
      <c r="AH580" s="151">
        <v>-5000</v>
      </c>
      <c r="AI580" s="151"/>
      <c r="AJ580" s="151"/>
      <c r="AK580" s="151"/>
      <c r="AL580" s="151"/>
      <c r="AM580" s="151"/>
      <c r="AN580" s="151"/>
      <c r="AO580" s="151"/>
      <c r="AP580" s="151"/>
      <c r="AQ580" s="151"/>
      <c r="AR580" s="151"/>
      <c r="AS580" s="151"/>
      <c r="AT580" s="151"/>
      <c r="AU580" s="151"/>
      <c r="AV580" s="151"/>
      <c r="AW580" s="151"/>
      <c r="AX580" s="151"/>
      <c r="AY580" s="151"/>
      <c r="AZ580" s="151"/>
      <c r="BA580" s="151"/>
      <c r="BB580" s="151"/>
      <c r="BC580" s="151"/>
      <c r="BD580" s="151"/>
      <c r="BE580" s="151"/>
      <c r="BF580" s="151"/>
      <c r="BG580" s="151"/>
      <c r="BH580" s="151"/>
      <c r="BI580" s="151"/>
      <c r="BJ580" s="151"/>
      <c r="BK580" s="151"/>
      <c r="BL580" s="151"/>
      <c r="BM580" s="151"/>
      <c r="BN580" s="151"/>
      <c r="BO580" s="151"/>
      <c r="BP580" s="151"/>
      <c r="BQ580" s="151"/>
      <c r="BR580" s="151"/>
      <c r="BS580" s="151"/>
      <c r="BT580" s="151"/>
      <c r="BU580" s="151"/>
      <c r="BV580" s="151"/>
      <c r="BW580" s="151"/>
      <c r="BX580" s="151"/>
      <c r="BY580" s="174"/>
    </row>
    <row r="581" spans="1:77" s="19" customFormat="1" x14ac:dyDescent="0.15">
      <c r="A581" s="151">
        <v>1302020014</v>
      </c>
      <c r="B581" s="157" t="s">
        <v>540</v>
      </c>
      <c r="C581" s="151" t="s">
        <v>112</v>
      </c>
      <c r="D581" s="151"/>
      <c r="E581" s="151" t="s">
        <v>83</v>
      </c>
      <c r="F581" s="151">
        <v>200000</v>
      </c>
      <c r="G581" s="151"/>
      <c r="H581" s="151"/>
      <c r="I581" s="151"/>
      <c r="J581" s="165"/>
      <c r="K581" s="165"/>
      <c r="L581" s="165"/>
      <c r="M581" s="165"/>
      <c r="N581" s="165"/>
      <c r="O581" s="151" t="s">
        <v>90</v>
      </c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  <c r="AB581" s="151"/>
      <c r="AC581" s="151">
        <v>1302020201</v>
      </c>
      <c r="AD581" s="151">
        <v>1302020201</v>
      </c>
      <c r="AE581" s="151"/>
      <c r="AF581" s="151"/>
      <c r="AG581" s="151"/>
      <c r="AH581" s="151"/>
      <c r="AI581" s="151"/>
      <c r="AJ581" s="151"/>
      <c r="AK581" s="151"/>
      <c r="AL581" s="151"/>
      <c r="AM581" s="151"/>
      <c r="AN581" s="151"/>
      <c r="AO581" s="151"/>
      <c r="AP581" s="151"/>
      <c r="AQ581" s="151"/>
      <c r="AR581" s="151"/>
      <c r="AS581" s="151"/>
      <c r="AT581" s="151"/>
      <c r="AU581" s="151"/>
      <c r="AV581" s="151"/>
      <c r="AW581" s="151"/>
      <c r="AX581" s="151"/>
      <c r="AY581" s="151"/>
      <c r="AZ581" s="151"/>
      <c r="BA581" s="151"/>
      <c r="BB581" s="151"/>
      <c r="BC581" s="151"/>
      <c r="BD581" s="151"/>
      <c r="BE581" s="151"/>
      <c r="BF581" s="151"/>
      <c r="BG581" s="151"/>
      <c r="BH581" s="151"/>
      <c r="BI581" s="151"/>
      <c r="BJ581" s="151"/>
      <c r="BK581" s="151"/>
      <c r="BL581" s="151"/>
      <c r="BM581" s="151"/>
      <c r="BN581" s="151"/>
      <c r="BO581" s="151"/>
      <c r="BP581" s="151"/>
      <c r="BQ581" s="151"/>
      <c r="BR581" s="151"/>
      <c r="BS581" s="151"/>
      <c r="BT581" s="151"/>
      <c r="BU581" s="151"/>
      <c r="BV581" s="151"/>
      <c r="BW581" s="151"/>
      <c r="BX581" s="151"/>
      <c r="BY581" s="174"/>
    </row>
    <row r="582" spans="1:77" s="19" customFormat="1" x14ac:dyDescent="0.15">
      <c r="A582" s="151">
        <v>1302020024</v>
      </c>
      <c r="B582" s="157" t="s">
        <v>540</v>
      </c>
      <c r="C582" s="151" t="s">
        <v>112</v>
      </c>
      <c r="D582" s="151"/>
      <c r="E582" s="151" t="s">
        <v>83</v>
      </c>
      <c r="F582" s="151">
        <v>200000</v>
      </c>
      <c r="G582" s="151"/>
      <c r="H582" s="151"/>
      <c r="I582" s="151"/>
      <c r="J582" s="165"/>
      <c r="K582" s="165"/>
      <c r="L582" s="165"/>
      <c r="M582" s="165"/>
      <c r="N582" s="165"/>
      <c r="O582" s="151" t="s">
        <v>90</v>
      </c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  <c r="AB582" s="151"/>
      <c r="AC582" s="151">
        <v>1302020202</v>
      </c>
      <c r="AD582" s="151">
        <v>1302020202</v>
      </c>
      <c r="AE582" s="151"/>
      <c r="AF582" s="151"/>
      <c r="AG582" s="151"/>
      <c r="AH582" s="151"/>
      <c r="AI582" s="151"/>
      <c r="AJ582" s="151"/>
      <c r="AK582" s="151"/>
      <c r="AL582" s="151"/>
      <c r="AM582" s="151"/>
      <c r="AN582" s="151"/>
      <c r="AO582" s="151"/>
      <c r="AP582" s="151"/>
      <c r="AQ582" s="151"/>
      <c r="AR582" s="151"/>
      <c r="AS582" s="151"/>
      <c r="AT582" s="151"/>
      <c r="AU582" s="151"/>
      <c r="AV582" s="151"/>
      <c r="AW582" s="151"/>
      <c r="AX582" s="151"/>
      <c r="AY582" s="151"/>
      <c r="AZ582" s="151"/>
      <c r="BA582" s="151"/>
      <c r="BB582" s="151"/>
      <c r="BC582" s="151"/>
      <c r="BD582" s="151"/>
      <c r="BE582" s="151"/>
      <c r="BF582" s="151"/>
      <c r="BG582" s="151"/>
      <c r="BH582" s="151"/>
      <c r="BI582" s="151"/>
      <c r="BJ582" s="151"/>
      <c r="BK582" s="151"/>
      <c r="BL582" s="151"/>
      <c r="BM582" s="151"/>
      <c r="BN582" s="151"/>
      <c r="BO582" s="151"/>
      <c r="BP582" s="151"/>
      <c r="BQ582" s="151"/>
      <c r="BR582" s="151"/>
      <c r="BS582" s="151"/>
      <c r="BT582" s="151"/>
      <c r="BU582" s="151"/>
      <c r="BV582" s="151"/>
      <c r="BW582" s="151"/>
      <c r="BX582" s="151"/>
      <c r="BY582" s="174"/>
    </row>
    <row r="583" spans="1:77" s="19" customFormat="1" x14ac:dyDescent="0.15">
      <c r="A583" s="151">
        <v>1302020034</v>
      </c>
      <c r="B583" s="157" t="s">
        <v>540</v>
      </c>
      <c r="C583" s="151" t="s">
        <v>112</v>
      </c>
      <c r="D583" s="151"/>
      <c r="E583" s="151" t="s">
        <v>83</v>
      </c>
      <c r="F583" s="151">
        <v>200000</v>
      </c>
      <c r="G583" s="151"/>
      <c r="H583" s="151"/>
      <c r="I583" s="151"/>
      <c r="J583" s="165"/>
      <c r="K583" s="165"/>
      <c r="L583" s="165"/>
      <c r="M583" s="165"/>
      <c r="N583" s="165"/>
      <c r="O583" s="151" t="s">
        <v>90</v>
      </c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  <c r="AB583" s="151"/>
      <c r="AC583" s="151">
        <v>1302020203</v>
      </c>
      <c r="AD583" s="151">
        <v>1302020203</v>
      </c>
      <c r="AE583" s="151"/>
      <c r="AF583" s="151"/>
      <c r="AG583" s="151"/>
      <c r="AH583" s="151"/>
      <c r="AI583" s="151"/>
      <c r="AJ583" s="151"/>
      <c r="AK583" s="151"/>
      <c r="AL583" s="151"/>
      <c r="AM583" s="151"/>
      <c r="AN583" s="151"/>
      <c r="AO583" s="151"/>
      <c r="AP583" s="151"/>
      <c r="AQ583" s="151"/>
      <c r="AR583" s="151"/>
      <c r="AS583" s="151"/>
      <c r="AT583" s="151"/>
      <c r="AU583" s="151"/>
      <c r="AV583" s="151"/>
      <c r="AW583" s="151"/>
      <c r="AX583" s="151"/>
      <c r="AY583" s="151"/>
      <c r="AZ583" s="151"/>
      <c r="BA583" s="151"/>
      <c r="BB583" s="151"/>
      <c r="BC583" s="151"/>
      <c r="BD583" s="151"/>
      <c r="BE583" s="151"/>
      <c r="BF583" s="151"/>
      <c r="BG583" s="151"/>
      <c r="BH583" s="151"/>
      <c r="BI583" s="151"/>
      <c r="BJ583" s="151"/>
      <c r="BK583" s="151"/>
      <c r="BL583" s="151"/>
      <c r="BM583" s="151"/>
      <c r="BN583" s="151"/>
      <c r="BO583" s="151"/>
      <c r="BP583" s="151"/>
      <c r="BQ583" s="151"/>
      <c r="BR583" s="151"/>
      <c r="BS583" s="151"/>
      <c r="BT583" s="151"/>
      <c r="BU583" s="151"/>
      <c r="BV583" s="151"/>
      <c r="BW583" s="151"/>
      <c r="BX583" s="151"/>
      <c r="BY583" s="174"/>
    </row>
    <row r="584" spans="1:77" s="19" customFormat="1" x14ac:dyDescent="0.15">
      <c r="A584" s="151">
        <v>1302020044</v>
      </c>
      <c r="B584" s="157" t="s">
        <v>540</v>
      </c>
      <c r="C584" s="151" t="s">
        <v>112</v>
      </c>
      <c r="D584" s="151"/>
      <c r="E584" s="151" t="s">
        <v>83</v>
      </c>
      <c r="F584" s="151">
        <v>200000</v>
      </c>
      <c r="G584" s="151"/>
      <c r="H584" s="151"/>
      <c r="I584" s="151"/>
      <c r="J584" s="165"/>
      <c r="K584" s="165"/>
      <c r="L584" s="165"/>
      <c r="M584" s="165"/>
      <c r="N584" s="165"/>
      <c r="O584" s="151" t="s">
        <v>90</v>
      </c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  <c r="AB584" s="151"/>
      <c r="AC584" s="151">
        <v>1302020204</v>
      </c>
      <c r="AD584" s="151">
        <v>1302020204</v>
      </c>
      <c r="AE584" s="151"/>
      <c r="AF584" s="151"/>
      <c r="AG584" s="151"/>
      <c r="AH584" s="151"/>
      <c r="AI584" s="151"/>
      <c r="AJ584" s="151"/>
      <c r="AK584" s="151"/>
      <c r="AL584" s="151"/>
      <c r="AM584" s="151"/>
      <c r="AN584" s="151"/>
      <c r="AO584" s="151"/>
      <c r="AP584" s="151"/>
      <c r="AQ584" s="151"/>
      <c r="AR584" s="151"/>
      <c r="AS584" s="151"/>
      <c r="AT584" s="151"/>
      <c r="AU584" s="151"/>
      <c r="AV584" s="151"/>
      <c r="AW584" s="151"/>
      <c r="AX584" s="151"/>
      <c r="AY584" s="151"/>
      <c r="AZ584" s="151"/>
      <c r="BA584" s="151"/>
      <c r="BB584" s="151"/>
      <c r="BC584" s="151"/>
      <c r="BD584" s="151"/>
      <c r="BE584" s="151"/>
      <c r="BF584" s="151"/>
      <c r="BG584" s="151"/>
      <c r="BH584" s="151"/>
      <c r="BI584" s="151"/>
      <c r="BJ584" s="151"/>
      <c r="BK584" s="151"/>
      <c r="BL584" s="151"/>
      <c r="BM584" s="151"/>
      <c r="BN584" s="151"/>
      <c r="BO584" s="151"/>
      <c r="BP584" s="151"/>
      <c r="BQ584" s="151"/>
      <c r="BR584" s="151"/>
      <c r="BS584" s="151"/>
      <c r="BT584" s="151"/>
      <c r="BU584" s="151"/>
      <c r="BV584" s="151"/>
      <c r="BW584" s="151"/>
      <c r="BX584" s="151"/>
      <c r="BY584" s="174"/>
    </row>
    <row r="585" spans="1:77" s="19" customFormat="1" x14ac:dyDescent="0.15">
      <c r="A585" s="151">
        <v>1302020015</v>
      </c>
      <c r="B585" s="157" t="s">
        <v>541</v>
      </c>
      <c r="C585" s="151" t="s">
        <v>542</v>
      </c>
      <c r="D585" s="151"/>
      <c r="E585" s="151" t="s">
        <v>85</v>
      </c>
      <c r="F585" s="151">
        <v>80000</v>
      </c>
      <c r="G585" s="151">
        <v>3000000</v>
      </c>
      <c r="H585" s="151"/>
      <c r="I585" s="151"/>
      <c r="J585" s="165"/>
      <c r="K585" s="165"/>
      <c r="L585" s="165"/>
      <c r="M585" s="165"/>
      <c r="N585" s="165"/>
      <c r="O585" s="151" t="s">
        <v>79</v>
      </c>
      <c r="P585" s="151" t="s">
        <v>80</v>
      </c>
      <c r="Q585" s="151">
        <v>120</v>
      </c>
      <c r="R585" s="169">
        <v>2500</v>
      </c>
      <c r="S585" s="151"/>
      <c r="T585" s="151"/>
      <c r="U585" s="151"/>
      <c r="V585" s="151"/>
      <c r="W585" s="151" t="s">
        <v>538</v>
      </c>
      <c r="X585" s="151">
        <v>500000</v>
      </c>
      <c r="Y585" s="151" t="s">
        <v>171</v>
      </c>
      <c r="Z585" s="151">
        <f>AA585/3</f>
        <v>24</v>
      </c>
      <c r="AA585" s="151">
        <f>Q585*0.6</f>
        <v>72</v>
      </c>
      <c r="AB585" s="151"/>
      <c r="AC585" s="151"/>
      <c r="AD585" s="151"/>
      <c r="AE585" s="151"/>
      <c r="AF585" s="151"/>
      <c r="AG585" s="151"/>
      <c r="AH585" s="151"/>
      <c r="AI585" s="151"/>
      <c r="AJ585" s="151"/>
      <c r="AK585" s="151"/>
      <c r="AL585" s="151"/>
      <c r="AM585" s="151"/>
      <c r="AN585" s="151"/>
      <c r="AO585" s="151"/>
      <c r="AP585" s="151"/>
      <c r="AQ585" s="151"/>
      <c r="AR585" s="151"/>
      <c r="AS585" s="151"/>
      <c r="AT585" s="151"/>
      <c r="AU585" s="151"/>
      <c r="AV585" s="151"/>
      <c r="AW585" s="151"/>
      <c r="AX585" s="151"/>
      <c r="AY585" s="151"/>
      <c r="AZ585" s="151"/>
      <c r="BA585" s="151"/>
      <c r="BB585" s="151"/>
      <c r="BC585" s="151"/>
      <c r="BD585" s="151"/>
      <c r="BE585" s="151"/>
      <c r="BF585" s="151"/>
      <c r="BG585" s="151"/>
      <c r="BH585" s="151"/>
      <c r="BI585" s="151"/>
      <c r="BJ585" s="151"/>
      <c r="BK585" s="151"/>
      <c r="BL585" s="151"/>
      <c r="BM585" s="151"/>
      <c r="BN585" s="151"/>
      <c r="BO585" s="151"/>
      <c r="BP585" s="151"/>
      <c r="BQ585" s="151"/>
      <c r="BR585" s="151"/>
      <c r="BS585" s="151"/>
      <c r="BT585" s="151"/>
      <c r="BU585" s="151"/>
      <c r="BV585" s="151"/>
      <c r="BW585" s="151"/>
      <c r="BX585" s="151"/>
      <c r="BY585" s="174"/>
    </row>
    <row r="586" spans="1:77" s="19" customFormat="1" x14ac:dyDescent="0.15">
      <c r="A586" s="151">
        <v>1302020025</v>
      </c>
      <c r="B586" s="157" t="s">
        <v>541</v>
      </c>
      <c r="C586" s="151" t="s">
        <v>542</v>
      </c>
      <c r="D586" s="151"/>
      <c r="E586" s="151" t="s">
        <v>85</v>
      </c>
      <c r="F586" s="151">
        <v>80000</v>
      </c>
      <c r="G586" s="151">
        <v>3000000</v>
      </c>
      <c r="H586" s="151"/>
      <c r="I586" s="151"/>
      <c r="J586" s="165"/>
      <c r="K586" s="165"/>
      <c r="L586" s="165"/>
      <c r="M586" s="165"/>
      <c r="N586" s="165"/>
      <c r="O586" s="151" t="s">
        <v>79</v>
      </c>
      <c r="P586" s="151" t="s">
        <v>80</v>
      </c>
      <c r="Q586" s="151">
        <v>180</v>
      </c>
      <c r="R586" s="169">
        <v>2500</v>
      </c>
      <c r="S586" s="151"/>
      <c r="T586" s="151"/>
      <c r="U586" s="151"/>
      <c r="V586" s="151"/>
      <c r="W586" s="151" t="s">
        <v>538</v>
      </c>
      <c r="X586" s="151">
        <v>375000</v>
      </c>
      <c r="Y586" s="151" t="s">
        <v>171</v>
      </c>
      <c r="Z586" s="151">
        <f t="shared" ref="Z586:Z588" si="1">AA586/3</f>
        <v>36</v>
      </c>
      <c r="AA586" s="151">
        <f>Q586*0.6</f>
        <v>108</v>
      </c>
      <c r="AB586" s="151"/>
      <c r="AC586" s="151"/>
      <c r="AD586" s="151"/>
      <c r="AE586" s="151"/>
      <c r="AF586" s="151"/>
      <c r="AG586" s="151"/>
      <c r="AH586" s="151"/>
      <c r="AI586" s="151"/>
      <c r="AJ586" s="151"/>
      <c r="AK586" s="151"/>
      <c r="AL586" s="151"/>
      <c r="AM586" s="151"/>
      <c r="AN586" s="151"/>
      <c r="AO586" s="151"/>
      <c r="AP586" s="151"/>
      <c r="AQ586" s="151"/>
      <c r="AR586" s="151"/>
      <c r="AS586" s="151"/>
      <c r="AT586" s="151"/>
      <c r="AU586" s="151"/>
      <c r="AV586" s="151"/>
      <c r="AW586" s="151"/>
      <c r="AX586" s="151"/>
      <c r="AY586" s="151"/>
      <c r="AZ586" s="151"/>
      <c r="BA586" s="151"/>
      <c r="BB586" s="151"/>
      <c r="BC586" s="151"/>
      <c r="BD586" s="151"/>
      <c r="BE586" s="151"/>
      <c r="BF586" s="151"/>
      <c r="BG586" s="151"/>
      <c r="BH586" s="151"/>
      <c r="BI586" s="151"/>
      <c r="BJ586" s="151"/>
      <c r="BK586" s="151"/>
      <c r="BL586" s="151"/>
      <c r="BM586" s="151"/>
      <c r="BN586" s="151"/>
      <c r="BO586" s="151"/>
      <c r="BP586" s="151"/>
      <c r="BQ586" s="151"/>
      <c r="BR586" s="151"/>
      <c r="BS586" s="151"/>
      <c r="BT586" s="151"/>
      <c r="BU586" s="151"/>
      <c r="BV586" s="151"/>
      <c r="BW586" s="151"/>
      <c r="BX586" s="151"/>
      <c r="BY586" s="174"/>
    </row>
    <row r="587" spans="1:77" s="19" customFormat="1" x14ac:dyDescent="0.15">
      <c r="A587" s="151">
        <v>1302020035</v>
      </c>
      <c r="B587" s="157" t="s">
        <v>541</v>
      </c>
      <c r="C587" s="151" t="s">
        <v>542</v>
      </c>
      <c r="D587" s="151"/>
      <c r="E587" s="151" t="s">
        <v>85</v>
      </c>
      <c r="F587" s="151">
        <v>80000</v>
      </c>
      <c r="G587" s="151">
        <v>3000000</v>
      </c>
      <c r="H587" s="151"/>
      <c r="I587" s="151"/>
      <c r="J587" s="165"/>
      <c r="K587" s="165"/>
      <c r="L587" s="165"/>
      <c r="M587" s="165"/>
      <c r="N587" s="165"/>
      <c r="O587" s="151" t="s">
        <v>79</v>
      </c>
      <c r="P587" s="151" t="s">
        <v>80</v>
      </c>
      <c r="Q587" s="151">
        <v>240</v>
      </c>
      <c r="R587" s="169">
        <v>2500</v>
      </c>
      <c r="S587" s="151"/>
      <c r="T587" s="151"/>
      <c r="U587" s="151"/>
      <c r="V587" s="151"/>
      <c r="W587" s="151" t="s">
        <v>538</v>
      </c>
      <c r="X587" s="151">
        <v>300000</v>
      </c>
      <c r="Y587" s="151" t="s">
        <v>171</v>
      </c>
      <c r="Z587" s="151">
        <f t="shared" si="1"/>
        <v>48</v>
      </c>
      <c r="AA587" s="151">
        <f>Q587*0.6</f>
        <v>144</v>
      </c>
      <c r="AB587" s="151"/>
      <c r="AC587" s="151"/>
      <c r="AD587" s="151"/>
      <c r="AE587" s="151"/>
      <c r="AF587" s="151"/>
      <c r="AG587" s="151"/>
      <c r="AH587" s="151"/>
      <c r="AI587" s="151"/>
      <c r="AJ587" s="151"/>
      <c r="AK587" s="151"/>
      <c r="AL587" s="151"/>
      <c r="AM587" s="151"/>
      <c r="AN587" s="151"/>
      <c r="AO587" s="151"/>
      <c r="AP587" s="151"/>
      <c r="AQ587" s="151"/>
      <c r="AR587" s="151"/>
      <c r="AS587" s="151"/>
      <c r="AT587" s="151"/>
      <c r="AU587" s="151"/>
      <c r="AV587" s="151"/>
      <c r="AW587" s="151"/>
      <c r="AX587" s="151"/>
      <c r="AY587" s="151"/>
      <c r="AZ587" s="151"/>
      <c r="BA587" s="151"/>
      <c r="BB587" s="151"/>
      <c r="BC587" s="151"/>
      <c r="BD587" s="151"/>
      <c r="BE587" s="151"/>
      <c r="BF587" s="151"/>
      <c r="BG587" s="151"/>
      <c r="BH587" s="151"/>
      <c r="BI587" s="151"/>
      <c r="BJ587" s="151"/>
      <c r="BK587" s="151"/>
      <c r="BL587" s="151"/>
      <c r="BM587" s="151"/>
      <c r="BN587" s="151"/>
      <c r="BO587" s="151"/>
      <c r="BP587" s="151"/>
      <c r="BQ587" s="151"/>
      <c r="BR587" s="151"/>
      <c r="BS587" s="151"/>
      <c r="BT587" s="151"/>
      <c r="BU587" s="151"/>
      <c r="BV587" s="151"/>
      <c r="BW587" s="151"/>
      <c r="BX587" s="151"/>
      <c r="BY587" s="174"/>
    </row>
    <row r="588" spans="1:77" s="19" customFormat="1" x14ac:dyDescent="0.15">
      <c r="A588" s="151">
        <v>1302020045</v>
      </c>
      <c r="B588" s="157" t="s">
        <v>541</v>
      </c>
      <c r="C588" s="151" t="s">
        <v>542</v>
      </c>
      <c r="D588" s="151"/>
      <c r="E588" s="151" t="s">
        <v>85</v>
      </c>
      <c r="F588" s="151">
        <v>80000</v>
      </c>
      <c r="G588" s="151">
        <v>3000000</v>
      </c>
      <c r="H588" s="151"/>
      <c r="I588" s="151"/>
      <c r="J588" s="165"/>
      <c r="K588" s="165"/>
      <c r="L588" s="165"/>
      <c r="M588" s="165"/>
      <c r="N588" s="165"/>
      <c r="O588" s="151" t="s">
        <v>79</v>
      </c>
      <c r="P588" s="151" t="s">
        <v>80</v>
      </c>
      <c r="Q588" s="151">
        <v>300</v>
      </c>
      <c r="R588" s="169">
        <v>2500</v>
      </c>
      <c r="S588" s="151"/>
      <c r="T588" s="151"/>
      <c r="U588" s="151"/>
      <c r="V588" s="151"/>
      <c r="W588" s="151" t="s">
        <v>538</v>
      </c>
      <c r="X588" s="151">
        <v>250000</v>
      </c>
      <c r="Y588" s="151" t="s">
        <v>171</v>
      </c>
      <c r="Z588" s="151">
        <f t="shared" si="1"/>
        <v>60</v>
      </c>
      <c r="AA588" s="151">
        <f>Q588*0.6</f>
        <v>180</v>
      </c>
      <c r="AB588" s="151"/>
      <c r="AC588" s="151"/>
      <c r="AD588" s="151"/>
      <c r="AE588" s="151"/>
      <c r="AF588" s="151"/>
      <c r="AG588" s="151"/>
      <c r="AH588" s="151"/>
      <c r="AI588" s="151"/>
      <c r="AJ588" s="151"/>
      <c r="AK588" s="151"/>
      <c r="AL588" s="151"/>
      <c r="AM588" s="151"/>
      <c r="AN588" s="151"/>
      <c r="AO588" s="151"/>
      <c r="AP588" s="151"/>
      <c r="AQ588" s="151"/>
      <c r="AR588" s="151"/>
      <c r="AS588" s="151"/>
      <c r="AT588" s="151"/>
      <c r="AU588" s="151"/>
      <c r="AV588" s="151"/>
      <c r="AW588" s="151"/>
      <c r="AX588" s="151"/>
      <c r="AY588" s="151"/>
      <c r="AZ588" s="151"/>
      <c r="BA588" s="151"/>
      <c r="BB588" s="151"/>
      <c r="BC588" s="151"/>
      <c r="BD588" s="151"/>
      <c r="BE588" s="151"/>
      <c r="BF588" s="151"/>
      <c r="BG588" s="151"/>
      <c r="BH588" s="151"/>
      <c r="BI588" s="151"/>
      <c r="BJ588" s="151"/>
      <c r="BK588" s="151"/>
      <c r="BL588" s="151"/>
      <c r="BM588" s="151"/>
      <c r="BN588" s="151"/>
      <c r="BO588" s="151"/>
      <c r="BP588" s="151"/>
      <c r="BQ588" s="151"/>
      <c r="BR588" s="151"/>
      <c r="BS588" s="151"/>
      <c r="BT588" s="151"/>
      <c r="BU588" s="151"/>
      <c r="BV588" s="151"/>
      <c r="BW588" s="151"/>
      <c r="BX588" s="151"/>
      <c r="BY588" s="174"/>
    </row>
    <row r="589" spans="1:77" s="19" customFormat="1" x14ac:dyDescent="0.15">
      <c r="A589" s="151">
        <v>1302020016</v>
      </c>
      <c r="B589" s="157" t="s">
        <v>543</v>
      </c>
      <c r="C589" s="151" t="s">
        <v>100</v>
      </c>
      <c r="D589" s="151"/>
      <c r="E589" s="151" t="s">
        <v>83</v>
      </c>
      <c r="F589" s="151">
        <v>150000</v>
      </c>
      <c r="G589" s="151"/>
      <c r="H589" s="151"/>
      <c r="I589" s="151"/>
      <c r="J589" s="165"/>
      <c r="K589" s="165"/>
      <c r="L589" s="165"/>
      <c r="M589" s="165"/>
      <c r="N589" s="165"/>
      <c r="O589" s="151" t="s">
        <v>98</v>
      </c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  <c r="AB589" s="151"/>
      <c r="AC589" s="151"/>
      <c r="AD589" s="151"/>
      <c r="AE589" s="151">
        <v>130202001</v>
      </c>
      <c r="AF589" s="151"/>
      <c r="AG589" s="151"/>
      <c r="AH589" s="151"/>
      <c r="AI589" s="151"/>
      <c r="AJ589" s="151"/>
      <c r="AK589" s="151"/>
      <c r="AL589" s="151"/>
      <c r="AM589" s="151"/>
      <c r="AN589" s="151"/>
      <c r="AO589" s="151"/>
      <c r="AP589" s="151"/>
      <c r="AQ589" s="151"/>
      <c r="AR589" s="151"/>
      <c r="AS589" s="151"/>
      <c r="AT589" s="151"/>
      <c r="AU589" s="151"/>
      <c r="AV589" s="151"/>
      <c r="AW589" s="151"/>
      <c r="AX589" s="151"/>
      <c r="AY589" s="151"/>
      <c r="AZ589" s="151"/>
      <c r="BA589" s="151"/>
      <c r="BB589" s="151"/>
      <c r="BC589" s="151"/>
      <c r="BD589" s="151"/>
      <c r="BE589" s="151"/>
      <c r="BF589" s="151"/>
      <c r="BG589" s="151"/>
      <c r="BH589" s="151"/>
      <c r="BI589" s="151"/>
      <c r="BJ589" s="151"/>
      <c r="BK589" s="151"/>
      <c r="BL589" s="151"/>
      <c r="BM589" s="151"/>
      <c r="BN589" s="151"/>
      <c r="BO589" s="151"/>
      <c r="BP589" s="151"/>
      <c r="BQ589" s="151"/>
      <c r="BR589" s="151"/>
      <c r="BS589" s="151"/>
      <c r="BT589" s="151"/>
      <c r="BU589" s="151"/>
      <c r="BV589" s="151"/>
      <c r="BW589" s="151"/>
      <c r="BX589" s="151"/>
      <c r="BY589" s="174"/>
    </row>
    <row r="590" spans="1:77" s="19" customFormat="1" x14ac:dyDescent="0.15">
      <c r="A590" s="151">
        <v>1302040013</v>
      </c>
      <c r="B590" s="157" t="s">
        <v>544</v>
      </c>
      <c r="C590" s="151" t="s">
        <v>89</v>
      </c>
      <c r="D590" s="151"/>
      <c r="E590" s="151"/>
      <c r="F590" s="151"/>
      <c r="G590" s="151"/>
      <c r="H590" s="151"/>
      <c r="I590" s="151"/>
      <c r="J590" s="165"/>
      <c r="K590" s="165"/>
      <c r="L590" s="165"/>
      <c r="M590" s="165"/>
      <c r="N590" s="165"/>
      <c r="O590" s="151" t="s">
        <v>98</v>
      </c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  <c r="AB590" s="151"/>
      <c r="AC590" s="151"/>
      <c r="AD590" s="151"/>
      <c r="AE590" s="151">
        <v>130204001</v>
      </c>
      <c r="AF590" s="151"/>
      <c r="AG590" s="151"/>
      <c r="AH590" s="151"/>
      <c r="AI590" s="151"/>
      <c r="AJ590" s="151"/>
      <c r="AK590" s="151"/>
      <c r="AL590" s="151"/>
      <c r="AM590" s="151"/>
      <c r="AN590" s="151"/>
      <c r="AO590" s="151"/>
      <c r="AP590" s="151"/>
      <c r="AQ590" s="151"/>
      <c r="AR590" s="151"/>
      <c r="AS590" s="151"/>
      <c r="AT590" s="151"/>
      <c r="AU590" s="151"/>
      <c r="AV590" s="151"/>
      <c r="AW590" s="151"/>
      <c r="AX590" s="151"/>
      <c r="AY590" s="151"/>
      <c r="AZ590" s="151"/>
      <c r="BA590" s="151"/>
      <c r="BB590" s="151"/>
      <c r="BC590" s="151"/>
      <c r="BD590" s="151"/>
      <c r="BE590" s="151"/>
      <c r="BF590" s="151"/>
      <c r="BG590" s="151"/>
      <c r="BH590" s="151"/>
      <c r="BI590" s="151"/>
      <c r="BJ590" s="151"/>
      <c r="BK590" s="151"/>
      <c r="BL590" s="151"/>
      <c r="BM590" s="151"/>
      <c r="BN590" s="151"/>
      <c r="BO590" s="151"/>
      <c r="BP590" s="151"/>
      <c r="BQ590" s="151"/>
      <c r="BR590" s="151"/>
      <c r="BS590" s="151"/>
      <c r="BT590" s="151"/>
      <c r="BU590" s="151"/>
      <c r="BV590" s="151"/>
      <c r="BW590" s="151"/>
      <c r="BX590" s="151"/>
      <c r="BY590" s="174"/>
    </row>
    <row r="591" spans="1:77" s="19" customFormat="1" x14ac:dyDescent="0.15">
      <c r="A591" s="151">
        <v>1302040023</v>
      </c>
      <c r="B591" s="157" t="s">
        <v>544</v>
      </c>
      <c r="C591" s="151" t="s">
        <v>89</v>
      </c>
      <c r="D591" s="151"/>
      <c r="E591" s="151"/>
      <c r="F591" s="151"/>
      <c r="G591" s="151"/>
      <c r="H591" s="151"/>
      <c r="I591" s="151"/>
      <c r="J591" s="165"/>
      <c r="K591" s="165"/>
      <c r="L591" s="165"/>
      <c r="M591" s="165"/>
      <c r="N591" s="165"/>
      <c r="O591" s="151" t="s">
        <v>98</v>
      </c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  <c r="AB591" s="151"/>
      <c r="AC591" s="151"/>
      <c r="AD591" s="151"/>
      <c r="AE591" s="151">
        <v>130204002</v>
      </c>
      <c r="AF591" s="151"/>
      <c r="AG591" s="151"/>
      <c r="AH591" s="151"/>
      <c r="AI591" s="151"/>
      <c r="AJ591" s="151"/>
      <c r="AK591" s="151"/>
      <c r="AL591" s="151"/>
      <c r="AM591" s="151"/>
      <c r="AN591" s="151"/>
      <c r="AO591" s="151"/>
      <c r="AP591" s="151"/>
      <c r="AQ591" s="151"/>
      <c r="AR591" s="151"/>
      <c r="AS591" s="151"/>
      <c r="AT591" s="151"/>
      <c r="AU591" s="151"/>
      <c r="AV591" s="151"/>
      <c r="AW591" s="151"/>
      <c r="AX591" s="151"/>
      <c r="AY591" s="151"/>
      <c r="AZ591" s="151"/>
      <c r="BA591" s="151"/>
      <c r="BB591" s="151"/>
      <c r="BC591" s="151"/>
      <c r="BD591" s="151"/>
      <c r="BE591" s="151"/>
      <c r="BF591" s="151"/>
      <c r="BG591" s="151"/>
      <c r="BH591" s="151"/>
      <c r="BI591" s="151"/>
      <c r="BJ591" s="151"/>
      <c r="BK591" s="151"/>
      <c r="BL591" s="151"/>
      <c r="BM591" s="151"/>
      <c r="BN591" s="151"/>
      <c r="BO591" s="151"/>
      <c r="BP591" s="151"/>
      <c r="BQ591" s="151"/>
      <c r="BR591" s="151"/>
      <c r="BS591" s="151"/>
      <c r="BT591" s="151"/>
      <c r="BU591" s="151"/>
      <c r="BV591" s="151"/>
      <c r="BW591" s="151"/>
      <c r="BX591" s="151"/>
      <c r="BY591" s="174"/>
    </row>
    <row r="592" spans="1:77" s="19" customFormat="1" x14ac:dyDescent="0.15">
      <c r="A592" s="151">
        <v>1302040011</v>
      </c>
      <c r="B592" s="157" t="s">
        <v>545</v>
      </c>
      <c r="C592" s="151" t="s">
        <v>546</v>
      </c>
      <c r="D592" s="151"/>
      <c r="E592" s="151" t="s">
        <v>78</v>
      </c>
      <c r="F592" s="151"/>
      <c r="G592" s="151"/>
      <c r="H592" s="151"/>
      <c r="I592" s="151"/>
      <c r="J592" s="165"/>
      <c r="K592" s="165"/>
      <c r="L592" s="165"/>
      <c r="M592" s="165" t="s">
        <v>101</v>
      </c>
      <c r="N592" s="165"/>
      <c r="O592" s="151" t="s">
        <v>90</v>
      </c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  <c r="AB592" s="151"/>
      <c r="AC592" s="151"/>
      <c r="AD592" s="151">
        <v>1302040401</v>
      </c>
      <c r="AE592" s="151"/>
      <c r="AF592" s="151"/>
      <c r="AG592" s="151"/>
      <c r="AH592" s="151"/>
      <c r="AI592" s="151"/>
      <c r="AJ592" s="151" t="s">
        <v>90</v>
      </c>
      <c r="AK592" s="151"/>
      <c r="AL592" s="151"/>
      <c r="AM592" s="151"/>
      <c r="AN592" s="151"/>
      <c r="AO592" s="151"/>
      <c r="AP592" s="151"/>
      <c r="AQ592" s="151"/>
      <c r="AR592" s="151"/>
      <c r="AS592" s="151"/>
      <c r="AT592" s="151"/>
      <c r="AU592" s="151"/>
      <c r="AV592" s="151"/>
      <c r="AW592" s="151"/>
      <c r="AX592" s="151"/>
      <c r="AY592" s="151">
        <v>1302040301</v>
      </c>
      <c r="AZ592" s="151"/>
      <c r="BA592" s="151"/>
      <c r="BB592" s="151"/>
      <c r="BC592" s="151"/>
      <c r="BD592" s="151"/>
      <c r="BE592" s="151"/>
      <c r="BF592" s="151"/>
      <c r="BG592" s="151"/>
      <c r="BH592" s="151"/>
      <c r="BI592" s="151"/>
      <c r="BJ592" s="151"/>
      <c r="BK592" s="151"/>
      <c r="BL592" s="151"/>
      <c r="BM592" s="151"/>
      <c r="BN592" s="151"/>
      <c r="BO592" s="151"/>
      <c r="BP592" s="151"/>
      <c r="BQ592" s="151"/>
      <c r="BR592" s="151"/>
      <c r="BS592" s="151"/>
      <c r="BT592" s="151"/>
      <c r="BU592" s="151"/>
      <c r="BV592" s="151"/>
      <c r="BW592" s="151"/>
      <c r="BX592" s="151"/>
      <c r="BY592" s="174"/>
    </row>
    <row r="593" spans="1:77" s="19" customFormat="1" x14ac:dyDescent="0.15">
      <c r="A593" s="151">
        <v>1302040012</v>
      </c>
      <c r="B593" s="157" t="s">
        <v>547</v>
      </c>
      <c r="C593" s="151" t="s">
        <v>548</v>
      </c>
      <c r="D593" s="151"/>
      <c r="E593" s="151" t="s">
        <v>78</v>
      </c>
      <c r="F593" s="151"/>
      <c r="G593" s="151"/>
      <c r="H593" s="151"/>
      <c r="I593" s="151"/>
      <c r="J593" s="165"/>
      <c r="K593" s="165"/>
      <c r="L593" s="165"/>
      <c r="M593" s="165" t="s">
        <v>101</v>
      </c>
      <c r="N593" s="165"/>
      <c r="O593" s="151" t="s">
        <v>90</v>
      </c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  <c r="AB593" s="151"/>
      <c r="AC593" s="151"/>
      <c r="AD593" s="151">
        <v>1302040201</v>
      </c>
      <c r="AE593" s="151"/>
      <c r="AF593" s="151"/>
      <c r="AG593" s="151"/>
      <c r="AH593" s="151"/>
      <c r="AI593" s="151"/>
      <c r="AJ593" s="151"/>
      <c r="AK593" s="151"/>
      <c r="AL593" s="151"/>
      <c r="AM593" s="151"/>
      <c r="AN593" s="151"/>
      <c r="AO593" s="151"/>
      <c r="AP593" s="151"/>
      <c r="AQ593" s="151"/>
      <c r="AR593" s="151"/>
      <c r="AS593" s="151"/>
      <c r="AT593" s="151"/>
      <c r="AU593" s="151"/>
      <c r="AV593" s="151"/>
      <c r="AW593" s="151"/>
      <c r="AX593" s="151"/>
      <c r="AY593" s="151"/>
      <c r="AZ593" s="151"/>
      <c r="BA593" s="151"/>
      <c r="BB593" s="151"/>
      <c r="BC593" s="151"/>
      <c r="BD593" s="151"/>
      <c r="BE593" s="151"/>
      <c r="BF593" s="151"/>
      <c r="BG593" s="151"/>
      <c r="BH593" s="151"/>
      <c r="BI593" s="151"/>
      <c r="BJ593" s="151"/>
      <c r="BK593" s="151"/>
      <c r="BL593" s="151"/>
      <c r="BM593" s="151"/>
      <c r="BN593" s="151"/>
      <c r="BO593" s="151"/>
      <c r="BP593" s="151"/>
      <c r="BQ593" s="151"/>
      <c r="BR593" s="151"/>
      <c r="BS593" s="151"/>
      <c r="BT593" s="151"/>
      <c r="BU593" s="151"/>
      <c r="BV593" s="151"/>
      <c r="BW593" s="151"/>
      <c r="BX593" s="151"/>
      <c r="BY593" s="174"/>
    </row>
    <row r="594" spans="1:77" s="19" customFormat="1" x14ac:dyDescent="0.15">
      <c r="A594" s="151">
        <v>1302040021</v>
      </c>
      <c r="B594" s="157" t="s">
        <v>545</v>
      </c>
      <c r="C594" s="151" t="s">
        <v>546</v>
      </c>
      <c r="D594" s="151"/>
      <c r="E594" s="151" t="s">
        <v>78</v>
      </c>
      <c r="F594" s="151"/>
      <c r="G594" s="151"/>
      <c r="H594" s="151"/>
      <c r="I594" s="151"/>
      <c r="J594" s="165"/>
      <c r="K594" s="165"/>
      <c r="L594" s="165"/>
      <c r="M594" s="165" t="s">
        <v>101</v>
      </c>
      <c r="N594" s="165"/>
      <c r="O594" s="151" t="s">
        <v>90</v>
      </c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  <c r="AB594" s="151"/>
      <c r="AC594" s="151"/>
      <c r="AD594" s="151">
        <v>1302040402</v>
      </c>
      <c r="AE594" s="151"/>
      <c r="AF594" s="151"/>
      <c r="AG594" s="151"/>
      <c r="AH594" s="151"/>
      <c r="AI594" s="151"/>
      <c r="AJ594" s="151" t="s">
        <v>90</v>
      </c>
      <c r="AK594" s="151"/>
      <c r="AL594" s="151"/>
      <c r="AM594" s="151"/>
      <c r="AN594" s="151"/>
      <c r="AO594" s="151"/>
      <c r="AP594" s="151"/>
      <c r="AQ594" s="151"/>
      <c r="AR594" s="151"/>
      <c r="AS594" s="151"/>
      <c r="AT594" s="151"/>
      <c r="AU594" s="151"/>
      <c r="AV594" s="151"/>
      <c r="AW594" s="151"/>
      <c r="AX594" s="151"/>
      <c r="AY594" s="151">
        <v>1302040302</v>
      </c>
      <c r="AZ594" s="151"/>
      <c r="BA594" s="151"/>
      <c r="BB594" s="151"/>
      <c r="BC594" s="151"/>
      <c r="BD594" s="151"/>
      <c r="BE594" s="151"/>
      <c r="BF594" s="151"/>
      <c r="BG594" s="151"/>
      <c r="BH594" s="151"/>
      <c r="BI594" s="151"/>
      <c r="BJ594" s="151"/>
      <c r="BK594" s="151"/>
      <c r="BL594" s="151"/>
      <c r="BM594" s="151"/>
      <c r="BN594" s="151"/>
      <c r="BO594" s="151"/>
      <c r="BP594" s="151"/>
      <c r="BQ594" s="151"/>
      <c r="BR594" s="151"/>
      <c r="BS594" s="151"/>
      <c r="BT594" s="151"/>
      <c r="BU594" s="151"/>
      <c r="BV594" s="151"/>
      <c r="BW594" s="151"/>
      <c r="BX594" s="151"/>
      <c r="BY594" s="174"/>
    </row>
    <row r="595" spans="1:77" s="19" customFormat="1" x14ac:dyDescent="0.15">
      <c r="A595" s="151">
        <v>1302040022</v>
      </c>
      <c r="B595" s="157" t="s">
        <v>547</v>
      </c>
      <c r="C595" s="151" t="s">
        <v>548</v>
      </c>
      <c r="D595" s="151"/>
      <c r="E595" s="151" t="s">
        <v>78</v>
      </c>
      <c r="F595" s="151"/>
      <c r="G595" s="151"/>
      <c r="H595" s="151"/>
      <c r="I595" s="151"/>
      <c r="J595" s="165"/>
      <c r="K595" s="165"/>
      <c r="L595" s="165"/>
      <c r="M595" s="165" t="s">
        <v>101</v>
      </c>
      <c r="N595" s="165"/>
      <c r="O595" s="151" t="s">
        <v>90</v>
      </c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  <c r="AB595" s="151"/>
      <c r="AC595" s="151"/>
      <c r="AD595" s="151">
        <v>1302040202</v>
      </c>
      <c r="AE595" s="151"/>
      <c r="AF595" s="151"/>
      <c r="AG595" s="151"/>
      <c r="AH595" s="151"/>
      <c r="AI595" s="151"/>
      <c r="AJ595" s="151"/>
      <c r="AK595" s="151"/>
      <c r="AL595" s="151"/>
      <c r="AM595" s="151"/>
      <c r="AN595" s="151"/>
      <c r="AO595" s="151"/>
      <c r="AP595" s="151"/>
      <c r="AQ595" s="151"/>
      <c r="AR595" s="151"/>
      <c r="AS595" s="151"/>
      <c r="AT595" s="151"/>
      <c r="AU595" s="151"/>
      <c r="AV595" s="151"/>
      <c r="AW595" s="151"/>
      <c r="AX595" s="151"/>
      <c r="AY595" s="151"/>
      <c r="AZ595" s="151"/>
      <c r="BA595" s="151"/>
      <c r="BB595" s="151"/>
      <c r="BC595" s="151"/>
      <c r="BD595" s="151"/>
      <c r="BE595" s="151"/>
      <c r="BF595" s="151"/>
      <c r="BG595" s="151"/>
      <c r="BH595" s="151"/>
      <c r="BI595" s="151"/>
      <c r="BJ595" s="151"/>
      <c r="BK595" s="151"/>
      <c r="BL595" s="151"/>
      <c r="BM595" s="151"/>
      <c r="BN595" s="151"/>
      <c r="BO595" s="151"/>
      <c r="BP595" s="151"/>
      <c r="BQ595" s="151"/>
      <c r="BR595" s="151"/>
      <c r="BS595" s="151"/>
      <c r="BT595" s="151"/>
      <c r="BU595" s="151"/>
      <c r="BV595" s="151"/>
      <c r="BW595" s="151"/>
      <c r="BX595" s="151"/>
      <c r="BY595" s="174"/>
    </row>
    <row r="596" spans="1:77" s="19" customFormat="1" x14ac:dyDescent="0.15">
      <c r="A596" s="151">
        <v>1302200011</v>
      </c>
      <c r="B596" s="157" t="s">
        <v>549</v>
      </c>
      <c r="C596" s="151" t="s">
        <v>89</v>
      </c>
      <c r="D596" s="151"/>
      <c r="E596" s="151" t="s">
        <v>78</v>
      </c>
      <c r="F596" s="151"/>
      <c r="G596" s="151"/>
      <c r="H596" s="151"/>
      <c r="I596" s="151"/>
      <c r="J596" s="165"/>
      <c r="K596" s="165"/>
      <c r="L596" s="165"/>
      <c r="M596" s="165"/>
      <c r="N596" s="165"/>
      <c r="O596" s="151" t="s">
        <v>98</v>
      </c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  <c r="AB596" s="151"/>
      <c r="AC596" s="151"/>
      <c r="AD596" s="151"/>
      <c r="AE596" s="151">
        <v>130220001</v>
      </c>
      <c r="AF596" s="151"/>
      <c r="AG596" s="151"/>
      <c r="AH596" s="151"/>
      <c r="AI596" s="151"/>
      <c r="AJ596" s="151"/>
      <c r="AK596" s="151"/>
      <c r="AL596" s="151"/>
      <c r="AM596" s="151"/>
      <c r="AN596" s="151"/>
      <c r="AO596" s="151"/>
      <c r="AP596" s="151"/>
      <c r="AQ596" s="151"/>
      <c r="AR596" s="151"/>
      <c r="AS596" s="151"/>
      <c r="AT596" s="151"/>
      <c r="AU596" s="151"/>
      <c r="AV596" s="151"/>
      <c r="AW596" s="151"/>
      <c r="AX596" s="151"/>
      <c r="AY596" s="151"/>
      <c r="AZ596" s="151"/>
      <c r="BA596" s="151"/>
      <c r="BB596" s="151"/>
      <c r="BC596" s="151"/>
      <c r="BD596" s="151"/>
      <c r="BE596" s="151"/>
      <c r="BF596" s="151"/>
      <c r="BG596" s="151"/>
      <c r="BH596" s="151"/>
      <c r="BI596" s="151"/>
      <c r="BJ596" s="151"/>
      <c r="BK596" s="151"/>
      <c r="BL596" s="151"/>
      <c r="BM596" s="151"/>
      <c r="BN596" s="151"/>
      <c r="BO596" s="151"/>
      <c r="BP596" s="151"/>
      <c r="BQ596" s="151"/>
      <c r="BR596" s="151"/>
      <c r="BS596" s="151"/>
      <c r="BT596" s="151"/>
      <c r="BU596" s="151"/>
      <c r="BV596" s="151"/>
      <c r="BW596" s="151"/>
      <c r="BX596" s="151"/>
      <c r="BY596" s="174"/>
    </row>
    <row r="597" spans="1:77" s="19" customFormat="1" x14ac:dyDescent="0.15">
      <c r="A597" s="151">
        <v>1302200021</v>
      </c>
      <c r="B597" s="157" t="s">
        <v>549</v>
      </c>
      <c r="C597" s="151" t="s">
        <v>89</v>
      </c>
      <c r="D597" s="151"/>
      <c r="E597" s="151" t="s">
        <v>78</v>
      </c>
      <c r="F597" s="151"/>
      <c r="G597" s="151"/>
      <c r="H597" s="151"/>
      <c r="I597" s="151"/>
      <c r="J597" s="165"/>
      <c r="K597" s="165"/>
      <c r="L597" s="165"/>
      <c r="M597" s="165"/>
      <c r="N597" s="165"/>
      <c r="O597" s="151" t="s">
        <v>98</v>
      </c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  <c r="AB597" s="151"/>
      <c r="AC597" s="151"/>
      <c r="AD597" s="151"/>
      <c r="AE597" s="151">
        <v>130220002</v>
      </c>
      <c r="AF597" s="151"/>
      <c r="AG597" s="151"/>
      <c r="AH597" s="151"/>
      <c r="AI597" s="151"/>
      <c r="AJ597" s="151"/>
      <c r="AK597" s="151"/>
      <c r="AL597" s="151"/>
      <c r="AM597" s="151"/>
      <c r="AN597" s="151"/>
      <c r="AO597" s="151"/>
      <c r="AP597" s="151"/>
      <c r="AQ597" s="151"/>
      <c r="AR597" s="151"/>
      <c r="AS597" s="151"/>
      <c r="AT597" s="151"/>
      <c r="AU597" s="151"/>
      <c r="AV597" s="151"/>
      <c r="AW597" s="151"/>
      <c r="AX597" s="151"/>
      <c r="AY597" s="151"/>
      <c r="AZ597" s="151"/>
      <c r="BA597" s="151"/>
      <c r="BB597" s="151"/>
      <c r="BC597" s="151"/>
      <c r="BD597" s="151"/>
      <c r="BE597" s="151"/>
      <c r="BF597" s="151"/>
      <c r="BG597" s="151"/>
      <c r="BH597" s="151"/>
      <c r="BI597" s="151"/>
      <c r="BJ597" s="151"/>
      <c r="BK597" s="151"/>
      <c r="BL597" s="151"/>
      <c r="BM597" s="151"/>
      <c r="BN597" s="151"/>
      <c r="BO597" s="151"/>
      <c r="BP597" s="151"/>
      <c r="BQ597" s="151"/>
      <c r="BR597" s="151"/>
      <c r="BS597" s="151"/>
      <c r="BT597" s="151"/>
      <c r="BU597" s="151"/>
      <c r="BV597" s="151"/>
      <c r="BW597" s="151"/>
      <c r="BX597" s="151"/>
      <c r="BY597" s="174"/>
    </row>
    <row r="598" spans="1:77" s="19" customFormat="1" x14ac:dyDescent="0.15">
      <c r="A598" s="151">
        <v>1302200031</v>
      </c>
      <c r="B598" s="157" t="s">
        <v>549</v>
      </c>
      <c r="C598" s="151" t="s">
        <v>89</v>
      </c>
      <c r="D598" s="151"/>
      <c r="E598" s="151" t="s">
        <v>78</v>
      </c>
      <c r="F598" s="151"/>
      <c r="G598" s="151"/>
      <c r="H598" s="151"/>
      <c r="I598" s="151"/>
      <c r="J598" s="165"/>
      <c r="K598" s="165"/>
      <c r="L598" s="165"/>
      <c r="M598" s="165"/>
      <c r="N598" s="165"/>
      <c r="O598" s="151" t="s">
        <v>98</v>
      </c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  <c r="AB598" s="151"/>
      <c r="AC598" s="151"/>
      <c r="AD598" s="151"/>
      <c r="AE598" s="151">
        <v>130220003</v>
      </c>
      <c r="AF598" s="151"/>
      <c r="AG598" s="151"/>
      <c r="AH598" s="151"/>
      <c r="AI598" s="151"/>
      <c r="AJ598" s="151"/>
      <c r="AK598" s="151"/>
      <c r="AL598" s="151"/>
      <c r="AM598" s="151"/>
      <c r="AN598" s="151"/>
      <c r="AO598" s="151"/>
      <c r="AP598" s="151"/>
      <c r="AQ598" s="151"/>
      <c r="AR598" s="151"/>
      <c r="AS598" s="151"/>
      <c r="AT598" s="151"/>
      <c r="AU598" s="151"/>
      <c r="AV598" s="151"/>
      <c r="AW598" s="151"/>
      <c r="AX598" s="151"/>
      <c r="AY598" s="151"/>
      <c r="AZ598" s="151"/>
      <c r="BA598" s="151"/>
      <c r="BB598" s="151"/>
      <c r="BC598" s="151"/>
      <c r="BD598" s="151"/>
      <c r="BE598" s="151"/>
      <c r="BF598" s="151"/>
      <c r="BG598" s="151"/>
      <c r="BH598" s="151"/>
      <c r="BI598" s="151"/>
      <c r="BJ598" s="151"/>
      <c r="BK598" s="151"/>
      <c r="BL598" s="151"/>
      <c r="BM598" s="151"/>
      <c r="BN598" s="151"/>
      <c r="BO598" s="151"/>
      <c r="BP598" s="151"/>
      <c r="BQ598" s="151"/>
      <c r="BR598" s="151"/>
      <c r="BS598" s="151"/>
      <c r="BT598" s="151"/>
      <c r="BU598" s="151"/>
      <c r="BV598" s="151"/>
      <c r="BW598" s="151"/>
      <c r="BX598" s="151"/>
      <c r="BY598" s="174"/>
    </row>
    <row r="599" spans="1:77" x14ac:dyDescent="0.15">
      <c r="A599" s="148">
        <v>1202001011</v>
      </c>
      <c r="B599" s="149" t="s">
        <v>550</v>
      </c>
      <c r="C599" s="148" t="s">
        <v>77</v>
      </c>
      <c r="D599" s="148"/>
      <c r="E599" s="148" t="s">
        <v>78</v>
      </c>
      <c r="F599" s="148"/>
      <c r="G599" s="148"/>
      <c r="H599" s="148"/>
      <c r="I599" s="148"/>
      <c r="J599" s="161"/>
      <c r="K599" s="161"/>
      <c r="L599" s="161"/>
      <c r="M599" s="161"/>
      <c r="N599" s="161"/>
      <c r="O599" s="148" t="s">
        <v>79</v>
      </c>
      <c r="P599" s="148" t="s">
        <v>80</v>
      </c>
      <c r="Q599" s="148"/>
      <c r="R599" s="148">
        <v>10000</v>
      </c>
      <c r="S599" s="148"/>
      <c r="T599" s="148">
        <v>10000</v>
      </c>
      <c r="U599" s="148"/>
      <c r="V599" s="148" t="s">
        <v>101</v>
      </c>
      <c r="W599" s="148"/>
      <c r="X599" s="148"/>
      <c r="Y599" s="148"/>
      <c r="Z599" s="148"/>
      <c r="AA599" s="148"/>
      <c r="AB599" s="148"/>
      <c r="AC599" s="148"/>
      <c r="AD599" s="148"/>
      <c r="AE599" s="148"/>
      <c r="AF599" s="148"/>
      <c r="AG599" s="148"/>
      <c r="AH599" s="148"/>
      <c r="AI599" s="148"/>
      <c r="AJ599" s="148"/>
      <c r="AK599" s="148"/>
      <c r="AL599" s="148"/>
      <c r="AM599" s="148"/>
      <c r="AN599" s="148"/>
      <c r="AO599" s="148"/>
      <c r="AP599" s="148"/>
      <c r="AQ599" s="148"/>
      <c r="AR599" s="148"/>
      <c r="AS599" s="148"/>
      <c r="AT599" s="148"/>
      <c r="AU599" s="148"/>
      <c r="AV599" s="148"/>
      <c r="AW599" s="148"/>
      <c r="AX599" s="148"/>
      <c r="AY599" s="148"/>
      <c r="AZ599" s="148"/>
      <c r="BA599" s="148"/>
      <c r="BB599" s="148"/>
      <c r="BC599" s="148"/>
      <c r="BD599" s="148"/>
      <c r="BE599" s="148"/>
      <c r="BF599" s="148"/>
      <c r="BG599" s="148"/>
      <c r="BH599" s="148"/>
      <c r="BI599" s="148"/>
      <c r="BJ599" s="148"/>
      <c r="BK599" s="148"/>
      <c r="BL599" s="148"/>
      <c r="BM599" s="148"/>
      <c r="BN599" s="148"/>
      <c r="BO599" s="148"/>
      <c r="BP599" s="148"/>
      <c r="BQ599" s="148"/>
      <c r="BR599" s="148"/>
      <c r="BS599" s="148"/>
      <c r="BT599" s="148"/>
      <c r="BU599" s="148"/>
      <c r="BV599" s="148"/>
      <c r="BW599" s="148"/>
      <c r="BX599" s="148"/>
      <c r="BY599" s="170"/>
    </row>
    <row r="600" spans="1:77" x14ac:dyDescent="0.15">
      <c r="A600" s="148">
        <v>1202200011</v>
      </c>
      <c r="B600" s="149" t="s">
        <v>551</v>
      </c>
      <c r="C600" s="148" t="s">
        <v>77</v>
      </c>
      <c r="D600" s="148"/>
      <c r="E600" s="148" t="s">
        <v>78</v>
      </c>
      <c r="F600" s="148"/>
      <c r="G600" s="148"/>
      <c r="H600" s="148"/>
      <c r="I600" s="148"/>
      <c r="J600" s="161"/>
      <c r="K600" s="161"/>
      <c r="L600" s="161"/>
      <c r="M600" s="161"/>
      <c r="N600" s="161"/>
      <c r="O600" s="148" t="s">
        <v>90</v>
      </c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  <c r="AC600" s="148">
        <v>1202200201</v>
      </c>
      <c r="AD600" s="148">
        <v>1202200101</v>
      </c>
      <c r="AE600" s="148"/>
      <c r="AF600" s="148"/>
      <c r="AG600" s="148"/>
      <c r="AH600" s="148"/>
      <c r="AI600" s="148"/>
      <c r="AJ600" s="148"/>
      <c r="AK600" s="148"/>
      <c r="AL600" s="148"/>
      <c r="AM600" s="148"/>
      <c r="AN600" s="148"/>
      <c r="AO600" s="148"/>
      <c r="AP600" s="148"/>
      <c r="AQ600" s="148"/>
      <c r="AR600" s="148"/>
      <c r="AS600" s="148"/>
      <c r="AT600" s="148"/>
      <c r="AU600" s="148"/>
      <c r="AV600" s="148"/>
      <c r="AW600" s="148"/>
      <c r="AX600" s="148"/>
      <c r="AY600" s="148"/>
      <c r="AZ600" s="148"/>
      <c r="BA600" s="148"/>
      <c r="BB600" s="148"/>
      <c r="BC600" s="148"/>
      <c r="BD600" s="148"/>
      <c r="BE600" s="148"/>
      <c r="BF600" s="148"/>
      <c r="BG600" s="148"/>
      <c r="BH600" s="148"/>
      <c r="BI600" s="148"/>
      <c r="BJ600" s="148"/>
      <c r="BK600" s="148"/>
      <c r="BL600" s="148"/>
      <c r="BM600" s="148"/>
      <c r="BN600" s="148"/>
      <c r="BO600" s="148"/>
      <c r="BP600" s="148"/>
      <c r="BQ600" s="148"/>
      <c r="BR600" s="148"/>
      <c r="BS600" s="148"/>
      <c r="BT600" s="148"/>
      <c r="BU600" s="148"/>
      <c r="BV600" s="148"/>
      <c r="BW600" s="148"/>
      <c r="BX600" s="148"/>
      <c r="BY600" s="170"/>
    </row>
    <row r="601" spans="1:77" x14ac:dyDescent="0.15">
      <c r="A601" s="148">
        <v>1202200021</v>
      </c>
      <c r="B601" s="149" t="s">
        <v>551</v>
      </c>
      <c r="C601" s="148" t="s">
        <v>77</v>
      </c>
      <c r="D601" s="148"/>
      <c r="E601" s="148" t="s">
        <v>78</v>
      </c>
      <c r="F601" s="148"/>
      <c r="G601" s="148"/>
      <c r="H601" s="148"/>
      <c r="I601" s="148"/>
      <c r="J601" s="161"/>
      <c r="K601" s="161"/>
      <c r="L601" s="161"/>
      <c r="M601" s="161"/>
      <c r="N601" s="161"/>
      <c r="O601" s="148" t="s">
        <v>90</v>
      </c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  <c r="AC601" s="148">
        <v>1202200202</v>
      </c>
      <c r="AD601" s="148">
        <v>1202200102</v>
      </c>
      <c r="AE601" s="148"/>
      <c r="AF601" s="148"/>
      <c r="AG601" s="148"/>
      <c r="AH601" s="148"/>
      <c r="AI601" s="148"/>
      <c r="AJ601" s="148"/>
      <c r="AK601" s="148"/>
      <c r="AL601" s="148"/>
      <c r="AM601" s="148"/>
      <c r="AN601" s="148"/>
      <c r="AO601" s="148"/>
      <c r="AP601" s="148"/>
      <c r="AQ601" s="148"/>
      <c r="AR601" s="148"/>
      <c r="AS601" s="148"/>
      <c r="AT601" s="148"/>
      <c r="AU601" s="148"/>
      <c r="AV601" s="148"/>
      <c r="AW601" s="148"/>
      <c r="AX601" s="148"/>
      <c r="AY601" s="148"/>
      <c r="AZ601" s="148"/>
      <c r="BA601" s="148"/>
      <c r="BB601" s="148"/>
      <c r="BC601" s="148"/>
      <c r="BD601" s="148"/>
      <c r="BE601" s="148"/>
      <c r="BF601" s="148"/>
      <c r="BG601" s="148"/>
      <c r="BH601" s="148"/>
      <c r="BI601" s="148"/>
      <c r="BJ601" s="148"/>
      <c r="BK601" s="148"/>
      <c r="BL601" s="148"/>
      <c r="BM601" s="148"/>
      <c r="BN601" s="148"/>
      <c r="BO601" s="148"/>
      <c r="BP601" s="148"/>
      <c r="BQ601" s="148"/>
      <c r="BR601" s="148"/>
      <c r="BS601" s="148"/>
      <c r="BT601" s="148"/>
      <c r="BU601" s="148"/>
      <c r="BV601" s="148"/>
      <c r="BW601" s="148"/>
      <c r="BX601" s="148"/>
      <c r="BY601" s="170"/>
    </row>
    <row r="602" spans="1:77" x14ac:dyDescent="0.15">
      <c r="A602" s="148">
        <v>1202200031</v>
      </c>
      <c r="B602" s="149" t="s">
        <v>551</v>
      </c>
      <c r="C602" s="148" t="s">
        <v>77</v>
      </c>
      <c r="D602" s="148"/>
      <c r="E602" s="148" t="s">
        <v>78</v>
      </c>
      <c r="F602" s="148"/>
      <c r="G602" s="148"/>
      <c r="H602" s="148"/>
      <c r="I602" s="148"/>
      <c r="J602" s="161"/>
      <c r="K602" s="161"/>
      <c r="L602" s="161"/>
      <c r="M602" s="161"/>
      <c r="N602" s="161"/>
      <c r="O602" s="148" t="s">
        <v>90</v>
      </c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  <c r="AC602" s="148">
        <v>1202200203</v>
      </c>
      <c r="AD602" s="148">
        <v>1202200103</v>
      </c>
      <c r="AE602" s="148"/>
      <c r="AF602" s="148"/>
      <c r="AG602" s="148"/>
      <c r="AH602" s="148"/>
      <c r="AI602" s="148"/>
      <c r="AJ602" s="148"/>
      <c r="AK602" s="148"/>
      <c r="AL602" s="148"/>
      <c r="AM602" s="148"/>
      <c r="AN602" s="148"/>
      <c r="AO602" s="148"/>
      <c r="AP602" s="148"/>
      <c r="AQ602" s="148"/>
      <c r="AR602" s="148"/>
      <c r="AS602" s="148"/>
      <c r="AT602" s="148"/>
      <c r="AU602" s="148"/>
      <c r="AV602" s="148"/>
      <c r="AW602" s="148"/>
      <c r="AX602" s="148"/>
      <c r="AY602" s="148"/>
      <c r="AZ602" s="148"/>
      <c r="BA602" s="148"/>
      <c r="BB602" s="148"/>
      <c r="BC602" s="148"/>
      <c r="BD602" s="148"/>
      <c r="BE602" s="148"/>
      <c r="BF602" s="148"/>
      <c r="BG602" s="148"/>
      <c r="BH602" s="148"/>
      <c r="BI602" s="148"/>
      <c r="BJ602" s="148"/>
      <c r="BK602" s="148"/>
      <c r="BL602" s="148"/>
      <c r="BM602" s="148"/>
      <c r="BN602" s="148"/>
      <c r="BO602" s="148"/>
      <c r="BP602" s="148"/>
      <c r="BQ602" s="148"/>
      <c r="BR602" s="148"/>
      <c r="BS602" s="148"/>
      <c r="BT602" s="148"/>
      <c r="BU602" s="148"/>
      <c r="BV602" s="148"/>
      <c r="BW602" s="148"/>
      <c r="BX602" s="148"/>
      <c r="BY602" s="170"/>
    </row>
    <row r="603" spans="1:77" x14ac:dyDescent="0.15">
      <c r="A603" s="148">
        <v>1202010011</v>
      </c>
      <c r="B603" s="149" t="s">
        <v>552</v>
      </c>
      <c r="C603" s="148" t="s">
        <v>100</v>
      </c>
      <c r="D603" s="148"/>
      <c r="E603" s="148" t="s">
        <v>83</v>
      </c>
      <c r="F603" s="148">
        <v>60000</v>
      </c>
      <c r="G603" s="148"/>
      <c r="H603" s="148"/>
      <c r="I603" s="148"/>
      <c r="J603" s="161"/>
      <c r="K603" s="161"/>
      <c r="L603" s="161"/>
      <c r="M603" s="161" t="s">
        <v>101</v>
      </c>
      <c r="N603" s="161" t="s">
        <v>842</v>
      </c>
      <c r="O603" s="148" t="s">
        <v>79</v>
      </c>
      <c r="P603" s="148" t="s">
        <v>102</v>
      </c>
      <c r="Q603" s="148">
        <v>160</v>
      </c>
      <c r="R603" s="148"/>
      <c r="S603" s="148">
        <v>4500</v>
      </c>
      <c r="T603" s="148"/>
      <c r="U603" s="148">
        <v>5000</v>
      </c>
      <c r="V603" s="148"/>
      <c r="W603" s="148"/>
      <c r="X603" s="148"/>
      <c r="Y603" s="148"/>
      <c r="Z603" s="148"/>
      <c r="AA603" s="148"/>
      <c r="AB603" s="148"/>
      <c r="AC603" s="148"/>
      <c r="AD603" s="148"/>
      <c r="AE603" s="148"/>
      <c r="AF603" s="148"/>
      <c r="AG603" s="148"/>
      <c r="AH603" s="148"/>
      <c r="AI603" s="148"/>
      <c r="AJ603" s="148" t="s">
        <v>90</v>
      </c>
      <c r="AK603" s="148"/>
      <c r="AL603" s="148"/>
      <c r="AM603" s="148"/>
      <c r="AN603" s="148"/>
      <c r="AO603" s="148"/>
      <c r="AP603" s="148"/>
      <c r="AQ603" s="148"/>
      <c r="AR603" s="148"/>
      <c r="AS603" s="148"/>
      <c r="AT603" s="148"/>
      <c r="AU603" s="148"/>
      <c r="AV603" s="148"/>
      <c r="AW603" s="148"/>
      <c r="AX603" s="148">
        <v>1202010201</v>
      </c>
      <c r="AY603" s="148">
        <v>1202010101</v>
      </c>
      <c r="AZ603" s="148"/>
      <c r="BA603" s="148"/>
      <c r="BB603" s="148"/>
      <c r="BC603" s="148"/>
      <c r="BD603" s="148"/>
      <c r="BE603" s="148"/>
      <c r="BF603" s="148"/>
      <c r="BG603" s="148"/>
      <c r="BH603" s="148"/>
      <c r="BI603" s="148"/>
      <c r="BJ603" s="148"/>
      <c r="BK603" s="148"/>
      <c r="BL603" s="148"/>
      <c r="BM603" s="148"/>
      <c r="BN603" s="148"/>
      <c r="BO603" s="148"/>
      <c r="BP603" s="148"/>
      <c r="BQ603" s="148"/>
      <c r="BR603" s="148"/>
      <c r="BS603" s="148"/>
      <c r="BT603" s="148"/>
      <c r="BU603" s="148"/>
      <c r="BV603" s="148"/>
      <c r="BW603" s="148"/>
      <c r="BX603" s="148"/>
      <c r="BY603" s="170"/>
    </row>
    <row r="604" spans="1:77" x14ac:dyDescent="0.15">
      <c r="A604" s="148">
        <v>1202010021</v>
      </c>
      <c r="B604" s="149" t="s">
        <v>552</v>
      </c>
      <c r="C604" s="148" t="s">
        <v>100</v>
      </c>
      <c r="D604" s="148"/>
      <c r="E604" s="148" t="s">
        <v>83</v>
      </c>
      <c r="F604" s="148">
        <v>60000</v>
      </c>
      <c r="G604" s="148"/>
      <c r="H604" s="148"/>
      <c r="I604" s="148"/>
      <c r="J604" s="161"/>
      <c r="K604" s="161"/>
      <c r="L604" s="161"/>
      <c r="M604" s="161" t="s">
        <v>101</v>
      </c>
      <c r="N604" s="161" t="s">
        <v>842</v>
      </c>
      <c r="O604" s="148" t="s">
        <v>79</v>
      </c>
      <c r="P604" s="148" t="s">
        <v>102</v>
      </c>
      <c r="Q604" s="148">
        <v>225</v>
      </c>
      <c r="R604" s="148"/>
      <c r="S604" s="148">
        <v>4500</v>
      </c>
      <c r="T604" s="148"/>
      <c r="U604" s="148">
        <v>5000</v>
      </c>
      <c r="V604" s="148"/>
      <c r="W604" s="148"/>
      <c r="X604" s="148"/>
      <c r="Y604" s="148"/>
      <c r="Z604" s="148"/>
      <c r="AA604" s="148"/>
      <c r="AB604" s="148"/>
      <c r="AC604" s="148"/>
      <c r="AD604" s="148"/>
      <c r="AE604" s="148"/>
      <c r="AF604" s="148"/>
      <c r="AG604" s="148"/>
      <c r="AH604" s="148"/>
      <c r="AI604" s="148"/>
      <c r="AJ604" s="148" t="s">
        <v>90</v>
      </c>
      <c r="AK604" s="148"/>
      <c r="AL604" s="148"/>
      <c r="AM604" s="148"/>
      <c r="AN604" s="148"/>
      <c r="AO604" s="148"/>
      <c r="AP604" s="148"/>
      <c r="AQ604" s="148"/>
      <c r="AR604" s="148"/>
      <c r="AS604" s="148"/>
      <c r="AT604" s="148"/>
      <c r="AU604" s="148"/>
      <c r="AV604" s="148"/>
      <c r="AW604" s="148"/>
      <c r="AX604" s="148">
        <v>1202010202</v>
      </c>
      <c r="AY604" s="148">
        <v>1202010102</v>
      </c>
      <c r="AZ604" s="148"/>
      <c r="BA604" s="148"/>
      <c r="BB604" s="148"/>
      <c r="BC604" s="148"/>
      <c r="BD604" s="148"/>
      <c r="BE604" s="148"/>
      <c r="BF604" s="148"/>
      <c r="BG604" s="148"/>
      <c r="BH604" s="148"/>
      <c r="BI604" s="148"/>
      <c r="BJ604" s="148"/>
      <c r="BK604" s="148"/>
      <c r="BL604" s="148"/>
      <c r="BM604" s="148"/>
      <c r="BN604" s="148"/>
      <c r="BO604" s="148"/>
      <c r="BP604" s="148"/>
      <c r="BQ604" s="148"/>
      <c r="BR604" s="148"/>
      <c r="BS604" s="148"/>
      <c r="BT604" s="148"/>
      <c r="BU604" s="148"/>
      <c r="BV604" s="148"/>
      <c r="BW604" s="148"/>
      <c r="BX604" s="148"/>
      <c r="BY604" s="170"/>
    </row>
    <row r="605" spans="1:77" x14ac:dyDescent="0.15">
      <c r="A605" s="148">
        <v>1202010031</v>
      </c>
      <c r="B605" s="149" t="s">
        <v>552</v>
      </c>
      <c r="C605" s="148" t="s">
        <v>100</v>
      </c>
      <c r="D605" s="148"/>
      <c r="E605" s="148" t="s">
        <v>83</v>
      </c>
      <c r="F605" s="148">
        <v>60000</v>
      </c>
      <c r="G605" s="148"/>
      <c r="H605" s="148"/>
      <c r="I605" s="148"/>
      <c r="J605" s="161"/>
      <c r="K605" s="161"/>
      <c r="L605" s="161"/>
      <c r="M605" s="161" t="s">
        <v>101</v>
      </c>
      <c r="N605" s="161" t="s">
        <v>842</v>
      </c>
      <c r="O605" s="148" t="s">
        <v>79</v>
      </c>
      <c r="P605" s="148" t="s">
        <v>102</v>
      </c>
      <c r="Q605" s="148">
        <v>290</v>
      </c>
      <c r="R605" s="148"/>
      <c r="S605" s="148">
        <v>4500</v>
      </c>
      <c r="T605" s="148"/>
      <c r="U605" s="148">
        <v>5000</v>
      </c>
      <c r="V605" s="148"/>
      <c r="W605" s="148"/>
      <c r="X605" s="148"/>
      <c r="Y605" s="148"/>
      <c r="Z605" s="148"/>
      <c r="AA605" s="148"/>
      <c r="AB605" s="148"/>
      <c r="AC605" s="148"/>
      <c r="AD605" s="148"/>
      <c r="AE605" s="148"/>
      <c r="AF605" s="148"/>
      <c r="AG605" s="148"/>
      <c r="AH605" s="148"/>
      <c r="AI605" s="148"/>
      <c r="AJ605" s="148" t="s">
        <v>90</v>
      </c>
      <c r="AK605" s="148"/>
      <c r="AL605" s="148"/>
      <c r="AM605" s="148"/>
      <c r="AN605" s="148"/>
      <c r="AO605" s="148"/>
      <c r="AP605" s="148"/>
      <c r="AQ605" s="148"/>
      <c r="AR605" s="148"/>
      <c r="AS605" s="148"/>
      <c r="AT605" s="148"/>
      <c r="AU605" s="148"/>
      <c r="AV605" s="148"/>
      <c r="AW605" s="148"/>
      <c r="AX605" s="148">
        <v>1202010203</v>
      </c>
      <c r="AY605" s="148">
        <v>1202010103</v>
      </c>
      <c r="AZ605" s="148"/>
      <c r="BA605" s="148"/>
      <c r="BB605" s="148"/>
      <c r="BC605" s="148"/>
      <c r="BD605" s="148"/>
      <c r="BE605" s="148"/>
      <c r="BF605" s="148"/>
      <c r="BG605" s="148"/>
      <c r="BH605" s="148"/>
      <c r="BI605" s="148"/>
      <c r="BJ605" s="148"/>
      <c r="BK605" s="148"/>
      <c r="BL605" s="148"/>
      <c r="BM605" s="148"/>
      <c r="BN605" s="148"/>
      <c r="BO605" s="148"/>
      <c r="BP605" s="148"/>
      <c r="BQ605" s="148"/>
      <c r="BR605" s="148"/>
      <c r="BS605" s="148"/>
      <c r="BT605" s="148"/>
      <c r="BU605" s="148"/>
      <c r="BV605" s="148"/>
      <c r="BW605" s="148"/>
      <c r="BX605" s="148"/>
      <c r="BY605" s="170"/>
    </row>
    <row r="606" spans="1:77" x14ac:dyDescent="0.15">
      <c r="A606" s="148">
        <v>1202010041</v>
      </c>
      <c r="B606" s="149" t="s">
        <v>552</v>
      </c>
      <c r="C606" s="148" t="s">
        <v>100</v>
      </c>
      <c r="D606" s="148"/>
      <c r="E606" s="148" t="s">
        <v>83</v>
      </c>
      <c r="F606" s="148">
        <v>60000</v>
      </c>
      <c r="G606" s="148"/>
      <c r="H606" s="148"/>
      <c r="I606" s="148"/>
      <c r="J606" s="161"/>
      <c r="K606" s="161"/>
      <c r="L606" s="161"/>
      <c r="M606" s="161" t="s">
        <v>101</v>
      </c>
      <c r="N606" s="161" t="s">
        <v>842</v>
      </c>
      <c r="O606" s="148" t="s">
        <v>79</v>
      </c>
      <c r="P606" s="148" t="s">
        <v>102</v>
      </c>
      <c r="Q606" s="148">
        <v>355</v>
      </c>
      <c r="R606" s="148"/>
      <c r="S606" s="148">
        <v>4500</v>
      </c>
      <c r="T606" s="148"/>
      <c r="U606" s="148">
        <v>5000</v>
      </c>
      <c r="V606" s="148"/>
      <c r="W606" s="148"/>
      <c r="X606" s="148"/>
      <c r="Y606" s="148"/>
      <c r="Z606" s="148"/>
      <c r="AA606" s="148"/>
      <c r="AB606" s="148"/>
      <c r="AC606" s="148"/>
      <c r="AD606" s="148"/>
      <c r="AE606" s="148"/>
      <c r="AF606" s="148"/>
      <c r="AG606" s="148"/>
      <c r="AH606" s="148"/>
      <c r="AI606" s="148"/>
      <c r="AJ606" s="148" t="s">
        <v>90</v>
      </c>
      <c r="AK606" s="148"/>
      <c r="AL606" s="148"/>
      <c r="AM606" s="148"/>
      <c r="AN606" s="148"/>
      <c r="AO606" s="148"/>
      <c r="AP606" s="148"/>
      <c r="AQ606" s="148"/>
      <c r="AR606" s="148"/>
      <c r="AS606" s="148"/>
      <c r="AT606" s="148"/>
      <c r="AU606" s="148"/>
      <c r="AV606" s="148"/>
      <c r="AW606" s="148"/>
      <c r="AX606" s="148">
        <v>1202010204</v>
      </c>
      <c r="AY606" s="148">
        <v>1202010104</v>
      </c>
      <c r="AZ606" s="148"/>
      <c r="BA606" s="148"/>
      <c r="BB606" s="148"/>
      <c r="BC606" s="148"/>
      <c r="BD606" s="148"/>
      <c r="BE606" s="148"/>
      <c r="BF606" s="148"/>
      <c r="BG606" s="148"/>
      <c r="BH606" s="148"/>
      <c r="BI606" s="148"/>
      <c r="BJ606" s="148"/>
      <c r="BK606" s="148"/>
      <c r="BL606" s="148"/>
      <c r="BM606" s="148"/>
      <c r="BN606" s="148"/>
      <c r="BO606" s="148"/>
      <c r="BP606" s="148"/>
      <c r="BQ606" s="148"/>
      <c r="BR606" s="148"/>
      <c r="BS606" s="148"/>
      <c r="BT606" s="148"/>
      <c r="BU606" s="148"/>
      <c r="BV606" s="148"/>
      <c r="BW606" s="148"/>
      <c r="BX606" s="148"/>
      <c r="BY606" s="170"/>
    </row>
    <row r="607" spans="1:77" x14ac:dyDescent="0.15">
      <c r="A607" s="148">
        <v>1202020011</v>
      </c>
      <c r="B607" s="149" t="s">
        <v>553</v>
      </c>
      <c r="C607" s="148" t="s">
        <v>112</v>
      </c>
      <c r="D607" s="148"/>
      <c r="E607" s="148" t="s">
        <v>83</v>
      </c>
      <c r="F607" s="148">
        <v>200000</v>
      </c>
      <c r="G607" s="148"/>
      <c r="H607" s="148"/>
      <c r="I607" s="148"/>
      <c r="J607" s="161"/>
      <c r="K607" s="161"/>
      <c r="L607" s="161"/>
      <c r="M607" s="161"/>
      <c r="N607" s="161"/>
      <c r="O607" s="148" t="s">
        <v>90</v>
      </c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  <c r="AC607" s="148">
        <v>1202020101</v>
      </c>
      <c r="AD607" s="148">
        <v>1202020301</v>
      </c>
      <c r="AE607" s="148"/>
      <c r="AF607" s="148"/>
      <c r="AG607" s="148"/>
      <c r="AH607" s="148"/>
      <c r="AI607" s="148"/>
      <c r="AJ607" s="148" t="s">
        <v>90</v>
      </c>
      <c r="AK607" s="148"/>
      <c r="AL607" s="148"/>
      <c r="AM607" s="148"/>
      <c r="AN607" s="148"/>
      <c r="AO607" s="148"/>
      <c r="AP607" s="148"/>
      <c r="AQ607" s="148"/>
      <c r="AR607" s="148"/>
      <c r="AS607" s="148"/>
      <c r="AT607" s="148"/>
      <c r="AU607" s="148"/>
      <c r="AV607" s="148"/>
      <c r="AW607" s="148"/>
      <c r="AX607" s="148">
        <v>1202020401</v>
      </c>
      <c r="AY607" s="148">
        <v>1202020401</v>
      </c>
      <c r="AZ607" s="148"/>
      <c r="BA607" s="148"/>
      <c r="BB607" s="148"/>
      <c r="BC607" s="148"/>
      <c r="BD607" s="148"/>
      <c r="BE607" s="148"/>
      <c r="BF607" s="148"/>
      <c r="BG607" s="148"/>
      <c r="BH607" s="148"/>
      <c r="BI607" s="148"/>
      <c r="BJ607" s="148"/>
      <c r="BK607" s="148"/>
      <c r="BL607" s="148"/>
      <c r="BM607" s="148"/>
      <c r="BN607" s="148"/>
      <c r="BO607" s="148"/>
      <c r="BP607" s="148"/>
      <c r="BQ607" s="148"/>
      <c r="BR607" s="148"/>
      <c r="BS607" s="148"/>
      <c r="BT607" s="148"/>
      <c r="BU607" s="148"/>
      <c r="BV607" s="148"/>
      <c r="BW607" s="148"/>
      <c r="BX607" s="148"/>
      <c r="BY607" s="170"/>
    </row>
    <row r="608" spans="1:77" x14ac:dyDescent="0.15">
      <c r="A608" s="148">
        <v>1202020021</v>
      </c>
      <c r="B608" s="149" t="s">
        <v>553</v>
      </c>
      <c r="C608" s="148" t="s">
        <v>112</v>
      </c>
      <c r="D608" s="148"/>
      <c r="E608" s="148" t="s">
        <v>83</v>
      </c>
      <c r="F608" s="148">
        <v>200000</v>
      </c>
      <c r="G608" s="148"/>
      <c r="H608" s="148"/>
      <c r="I608" s="148"/>
      <c r="J608" s="161"/>
      <c r="K608" s="161"/>
      <c r="L608" s="161"/>
      <c r="M608" s="161"/>
      <c r="N608" s="161"/>
      <c r="O608" s="148" t="s">
        <v>90</v>
      </c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  <c r="AC608" s="148">
        <v>1202020102</v>
      </c>
      <c r="AD608" s="148">
        <v>1202020302</v>
      </c>
      <c r="AE608" s="148"/>
      <c r="AF608" s="148"/>
      <c r="AG608" s="148"/>
      <c r="AH608" s="148"/>
      <c r="AI608" s="148"/>
      <c r="AJ608" s="148" t="s">
        <v>90</v>
      </c>
      <c r="AK608" s="148"/>
      <c r="AL608" s="148"/>
      <c r="AM608" s="148"/>
      <c r="AN608" s="148"/>
      <c r="AO608" s="148"/>
      <c r="AP608" s="148"/>
      <c r="AQ608" s="148"/>
      <c r="AR608" s="148"/>
      <c r="AS608" s="148"/>
      <c r="AT608" s="148"/>
      <c r="AU608" s="148"/>
      <c r="AV608" s="148"/>
      <c r="AW608" s="148"/>
      <c r="AX608" s="148">
        <v>1202020402</v>
      </c>
      <c r="AY608" s="148">
        <v>1202020402</v>
      </c>
      <c r="AZ608" s="148"/>
      <c r="BA608" s="148"/>
      <c r="BB608" s="148"/>
      <c r="BC608" s="148"/>
      <c r="BD608" s="148"/>
      <c r="BE608" s="148"/>
      <c r="BF608" s="148"/>
      <c r="BG608" s="148"/>
      <c r="BH608" s="148"/>
      <c r="BI608" s="148"/>
      <c r="BJ608" s="148"/>
      <c r="BK608" s="148"/>
      <c r="BL608" s="148"/>
      <c r="BM608" s="148"/>
      <c r="BN608" s="148"/>
      <c r="BO608" s="148"/>
      <c r="BP608" s="148"/>
      <c r="BQ608" s="148"/>
      <c r="BR608" s="148"/>
      <c r="BS608" s="148"/>
      <c r="BT608" s="148"/>
      <c r="BU608" s="148"/>
      <c r="BV608" s="148"/>
      <c r="BW608" s="148"/>
      <c r="BX608" s="148"/>
      <c r="BY608" s="170"/>
    </row>
    <row r="609" spans="1:77" x14ac:dyDescent="0.15">
      <c r="A609" s="148">
        <v>1202020031</v>
      </c>
      <c r="B609" s="149" t="s">
        <v>553</v>
      </c>
      <c r="C609" s="148" t="s">
        <v>112</v>
      </c>
      <c r="D609" s="148"/>
      <c r="E609" s="148" t="s">
        <v>83</v>
      </c>
      <c r="F609" s="148">
        <v>200000</v>
      </c>
      <c r="G609" s="148"/>
      <c r="H609" s="148"/>
      <c r="I609" s="148"/>
      <c r="J609" s="161"/>
      <c r="K609" s="161"/>
      <c r="L609" s="161"/>
      <c r="M609" s="161"/>
      <c r="N609" s="161"/>
      <c r="O609" s="148" t="s">
        <v>90</v>
      </c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  <c r="AC609" s="148">
        <v>1202020103</v>
      </c>
      <c r="AD609" s="148">
        <v>1202020303</v>
      </c>
      <c r="AE609" s="148"/>
      <c r="AF609" s="148"/>
      <c r="AG609" s="148"/>
      <c r="AH609" s="148"/>
      <c r="AI609" s="148"/>
      <c r="AJ609" s="148" t="s">
        <v>90</v>
      </c>
      <c r="AK609" s="148"/>
      <c r="AL609" s="148"/>
      <c r="AM609" s="148"/>
      <c r="AN609" s="148"/>
      <c r="AO609" s="148"/>
      <c r="AP609" s="148"/>
      <c r="AQ609" s="148"/>
      <c r="AR609" s="148"/>
      <c r="AS609" s="148"/>
      <c r="AT609" s="148"/>
      <c r="AU609" s="148"/>
      <c r="AV609" s="148"/>
      <c r="AW609" s="148"/>
      <c r="AX609" s="148">
        <v>1202020403</v>
      </c>
      <c r="AY609" s="148">
        <v>1202020403</v>
      </c>
      <c r="AZ609" s="148"/>
      <c r="BA609" s="148"/>
      <c r="BB609" s="148"/>
      <c r="BC609" s="148"/>
      <c r="BD609" s="148"/>
      <c r="BE609" s="148"/>
      <c r="BF609" s="148"/>
      <c r="BG609" s="148"/>
      <c r="BH609" s="148"/>
      <c r="BI609" s="148"/>
      <c r="BJ609" s="148"/>
      <c r="BK609" s="148"/>
      <c r="BL609" s="148"/>
      <c r="BM609" s="148"/>
      <c r="BN609" s="148"/>
      <c r="BO609" s="148"/>
      <c r="BP609" s="148"/>
      <c r="BQ609" s="148"/>
      <c r="BR609" s="148"/>
      <c r="BS609" s="148"/>
      <c r="BT609" s="148"/>
      <c r="BU609" s="148"/>
      <c r="BV609" s="148"/>
      <c r="BW609" s="148"/>
      <c r="BX609" s="148"/>
      <c r="BY609" s="170"/>
    </row>
    <row r="610" spans="1:77" x14ac:dyDescent="0.15">
      <c r="A610" s="148">
        <v>1202020041</v>
      </c>
      <c r="B610" s="149" t="s">
        <v>553</v>
      </c>
      <c r="C610" s="148" t="s">
        <v>112</v>
      </c>
      <c r="D610" s="148"/>
      <c r="E610" s="148" t="s">
        <v>83</v>
      </c>
      <c r="F610" s="148">
        <v>200000</v>
      </c>
      <c r="G610" s="148"/>
      <c r="H610" s="148"/>
      <c r="I610" s="148"/>
      <c r="J610" s="161"/>
      <c r="K610" s="161"/>
      <c r="L610" s="161"/>
      <c r="M610" s="161"/>
      <c r="N610" s="161"/>
      <c r="O610" s="148" t="s">
        <v>90</v>
      </c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  <c r="AC610" s="148">
        <v>1202020104</v>
      </c>
      <c r="AD610" s="148">
        <v>1202020304</v>
      </c>
      <c r="AE610" s="148"/>
      <c r="AF610" s="148"/>
      <c r="AG610" s="148"/>
      <c r="AH610" s="148"/>
      <c r="AI610" s="148"/>
      <c r="AJ610" s="148" t="s">
        <v>90</v>
      </c>
      <c r="AK610" s="148"/>
      <c r="AL610" s="148"/>
      <c r="AM610" s="148"/>
      <c r="AN610" s="148"/>
      <c r="AO610" s="148"/>
      <c r="AP610" s="148"/>
      <c r="AQ610" s="148"/>
      <c r="AR610" s="148"/>
      <c r="AS610" s="148"/>
      <c r="AT610" s="148"/>
      <c r="AU610" s="148"/>
      <c r="AV610" s="148"/>
      <c r="AW610" s="148"/>
      <c r="AX610" s="148">
        <v>1202020404</v>
      </c>
      <c r="AY610" s="148">
        <v>1202020404</v>
      </c>
      <c r="AZ610" s="148"/>
      <c r="BA610" s="148"/>
      <c r="BB610" s="148"/>
      <c r="BC610" s="148"/>
      <c r="BD610" s="148"/>
      <c r="BE610" s="148"/>
      <c r="BF610" s="148"/>
      <c r="BG610" s="148"/>
      <c r="BH610" s="148"/>
      <c r="BI610" s="148"/>
      <c r="BJ610" s="148"/>
      <c r="BK610" s="148"/>
      <c r="BL610" s="148"/>
      <c r="BM610" s="148"/>
      <c r="BN610" s="148"/>
      <c r="BO610" s="148"/>
      <c r="BP610" s="148"/>
      <c r="BQ610" s="148"/>
      <c r="BR610" s="148"/>
      <c r="BS610" s="148"/>
      <c r="BT610" s="148"/>
      <c r="BU610" s="148"/>
      <c r="BV610" s="148"/>
      <c r="BW610" s="148"/>
      <c r="BX610" s="148"/>
      <c r="BY610" s="170"/>
    </row>
    <row r="611" spans="1:77" x14ac:dyDescent="0.15">
      <c r="A611" s="159">
        <v>1202040011</v>
      </c>
      <c r="B611" s="190" t="s">
        <v>554</v>
      </c>
      <c r="C611" s="148" t="s">
        <v>77</v>
      </c>
      <c r="D611" s="159"/>
      <c r="E611" s="148" t="s">
        <v>83</v>
      </c>
      <c r="F611" s="148">
        <v>150000</v>
      </c>
      <c r="G611" s="148"/>
      <c r="H611" s="159"/>
      <c r="I611" s="159"/>
      <c r="J611" s="191"/>
      <c r="K611" s="191"/>
      <c r="L611" s="191"/>
      <c r="M611" s="191"/>
      <c r="N611" s="191"/>
      <c r="O611" s="148" t="s">
        <v>79</v>
      </c>
      <c r="P611" s="148" t="s">
        <v>80</v>
      </c>
      <c r="Q611" s="148">
        <v>60</v>
      </c>
      <c r="R611" s="148"/>
      <c r="S611" s="148">
        <v>500</v>
      </c>
      <c r="T611" s="148"/>
      <c r="U611" s="159"/>
      <c r="V611" s="159"/>
      <c r="W611" s="159"/>
      <c r="X611" s="159"/>
      <c r="Y611" s="159"/>
      <c r="Z611" s="159"/>
      <c r="AA611" s="159"/>
      <c r="AB611" s="159"/>
      <c r="AC611" s="159"/>
      <c r="AD611" s="159"/>
      <c r="AE611" s="159"/>
      <c r="AF611" s="159"/>
      <c r="AG611" s="159"/>
      <c r="AH611" s="159"/>
      <c r="AI611" s="159"/>
      <c r="AJ611" s="159"/>
      <c r="AK611" s="159"/>
      <c r="AL611" s="159"/>
      <c r="AM611" s="159"/>
      <c r="AN611" s="159"/>
      <c r="AO611" s="159"/>
      <c r="AP611" s="159"/>
      <c r="AQ611" s="159"/>
      <c r="AR611" s="159"/>
      <c r="AS611" s="159"/>
      <c r="AT611" s="159"/>
      <c r="AU611" s="159"/>
      <c r="AV611" s="159"/>
      <c r="AW611" s="159"/>
      <c r="AX611" s="159"/>
      <c r="AY611" s="159"/>
      <c r="AZ611" s="159"/>
      <c r="BA611" s="159"/>
      <c r="BB611" s="159"/>
      <c r="BC611" s="159"/>
      <c r="BD611" s="159"/>
      <c r="BE611" s="159"/>
      <c r="BF611" s="159"/>
      <c r="BG611" s="159"/>
      <c r="BH611" s="159"/>
      <c r="BI611" s="159"/>
      <c r="BJ611" s="159"/>
      <c r="BK611" s="159"/>
      <c r="BL611" s="159"/>
      <c r="BM611" s="159"/>
      <c r="BN611" s="159"/>
      <c r="BO611" s="159"/>
      <c r="BP611" s="159"/>
      <c r="BQ611" s="159"/>
      <c r="BR611" s="159"/>
      <c r="BS611" s="159"/>
      <c r="BT611" s="159"/>
      <c r="BU611" s="159"/>
      <c r="BV611" s="159"/>
      <c r="BW611" s="159"/>
      <c r="BX611" s="159"/>
      <c r="BY611" s="159"/>
    </row>
    <row r="612" spans="1:77" x14ac:dyDescent="0.15">
      <c r="A612" s="159">
        <v>1202040021</v>
      </c>
      <c r="B612" s="190" t="s">
        <v>554</v>
      </c>
      <c r="C612" s="148" t="s">
        <v>77</v>
      </c>
      <c r="D612" s="159"/>
      <c r="E612" s="148" t="s">
        <v>83</v>
      </c>
      <c r="F612" s="148">
        <v>150000</v>
      </c>
      <c r="G612" s="148"/>
      <c r="H612" s="159"/>
      <c r="I612" s="159"/>
      <c r="J612" s="191"/>
      <c r="K612" s="191"/>
      <c r="L612" s="191"/>
      <c r="M612" s="191"/>
      <c r="N612" s="191"/>
      <c r="O612" s="148" t="s">
        <v>79</v>
      </c>
      <c r="P612" s="148" t="s">
        <v>80</v>
      </c>
      <c r="Q612" s="148">
        <v>60</v>
      </c>
      <c r="R612" s="148"/>
      <c r="S612" s="148">
        <v>500</v>
      </c>
      <c r="T612" s="148"/>
      <c r="U612" s="159"/>
      <c r="V612" s="159"/>
      <c r="W612" s="159"/>
      <c r="X612" s="159"/>
      <c r="Y612" s="159"/>
      <c r="Z612" s="159"/>
      <c r="AA612" s="159"/>
      <c r="AB612" s="159"/>
      <c r="AC612" s="159"/>
      <c r="AD612" s="159"/>
      <c r="AE612" s="159"/>
      <c r="AF612" s="159"/>
      <c r="AG612" s="159"/>
      <c r="AH612" s="159"/>
      <c r="AI612" s="159"/>
      <c r="AJ612" s="159"/>
      <c r="AK612" s="159"/>
      <c r="AL612" s="159"/>
      <c r="AM612" s="159"/>
      <c r="AN612" s="159"/>
      <c r="AO612" s="159"/>
      <c r="AP612" s="159"/>
      <c r="AQ612" s="159"/>
      <c r="AR612" s="159"/>
      <c r="AS612" s="159"/>
      <c r="AT612" s="159"/>
      <c r="AU612" s="159"/>
      <c r="AV612" s="159"/>
      <c r="AW612" s="159"/>
      <c r="AX612" s="159"/>
      <c r="AY612" s="159"/>
      <c r="AZ612" s="159"/>
      <c r="BA612" s="159"/>
      <c r="BB612" s="159"/>
      <c r="BC612" s="159"/>
      <c r="BD612" s="159"/>
      <c r="BE612" s="159"/>
      <c r="BF612" s="159"/>
      <c r="BG612" s="159"/>
      <c r="BH612" s="159"/>
      <c r="BI612" s="159"/>
      <c r="BJ612" s="159"/>
      <c r="BK612" s="159"/>
      <c r="BL612" s="159"/>
      <c r="BM612" s="159"/>
      <c r="BN612" s="159"/>
      <c r="BO612" s="159"/>
      <c r="BP612" s="159"/>
      <c r="BQ612" s="159"/>
      <c r="BR612" s="159"/>
      <c r="BS612" s="159"/>
      <c r="BT612" s="159"/>
      <c r="BU612" s="159"/>
      <c r="BV612" s="159"/>
      <c r="BW612" s="159"/>
      <c r="BX612" s="159"/>
      <c r="BY612" s="159"/>
    </row>
    <row r="613" spans="1:77" x14ac:dyDescent="0.15">
      <c r="A613" s="159">
        <v>1202040012</v>
      </c>
      <c r="B613" s="190" t="s">
        <v>555</v>
      </c>
      <c r="C613" s="159" t="s">
        <v>89</v>
      </c>
      <c r="D613" s="159"/>
      <c r="E613" s="148" t="s">
        <v>78</v>
      </c>
      <c r="F613" s="159"/>
      <c r="G613" s="159"/>
      <c r="H613" s="159"/>
      <c r="I613" s="159"/>
      <c r="J613" s="191"/>
      <c r="K613" s="191"/>
      <c r="L613" s="191"/>
      <c r="M613" s="191"/>
      <c r="N613" s="191"/>
      <c r="O613" s="148" t="s">
        <v>556</v>
      </c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  <c r="AC613" s="148"/>
      <c r="AD613" s="148"/>
      <c r="AE613" s="148">
        <v>2500</v>
      </c>
      <c r="AF613" s="148"/>
      <c r="AG613" s="148"/>
      <c r="AH613" s="148"/>
      <c r="AI613" s="148"/>
      <c r="AJ613" s="148"/>
      <c r="AK613" s="148"/>
      <c r="AL613" s="148"/>
      <c r="AM613" s="148"/>
      <c r="AN613" s="148"/>
      <c r="AO613" s="148"/>
      <c r="AP613" s="148"/>
      <c r="AQ613" s="148"/>
      <c r="AR613" s="148"/>
      <c r="AS613" s="148"/>
      <c r="AT613" s="159"/>
      <c r="AU613" s="159"/>
      <c r="AV613" s="159"/>
      <c r="AW613" s="159"/>
      <c r="AX613" s="159"/>
      <c r="AY613" s="159"/>
      <c r="AZ613" s="159"/>
      <c r="BA613" s="159"/>
      <c r="BB613" s="159"/>
      <c r="BC613" s="159"/>
      <c r="BD613" s="159"/>
      <c r="BE613" s="159"/>
      <c r="BF613" s="159"/>
      <c r="BG613" s="159"/>
      <c r="BH613" s="159"/>
      <c r="BI613" s="159"/>
      <c r="BJ613" s="159"/>
      <c r="BK613" s="159"/>
      <c r="BL613" s="159"/>
      <c r="BM613" s="159"/>
      <c r="BN613" s="159"/>
      <c r="BO613" s="159"/>
      <c r="BP613" s="159"/>
      <c r="BQ613" s="159"/>
      <c r="BR613" s="159"/>
      <c r="BS613" s="159"/>
      <c r="BT613" s="159"/>
      <c r="BU613" s="159"/>
      <c r="BV613" s="159"/>
      <c r="BW613" s="159"/>
      <c r="BX613" s="159"/>
      <c r="BY613" s="159"/>
    </row>
    <row r="614" spans="1:77" x14ac:dyDescent="0.15">
      <c r="A614" s="159">
        <v>1202040013</v>
      </c>
      <c r="B614" s="190" t="s">
        <v>557</v>
      </c>
      <c r="C614" s="159" t="s">
        <v>89</v>
      </c>
      <c r="D614" s="159"/>
      <c r="E614" s="148" t="s">
        <v>78</v>
      </c>
      <c r="F614" s="159"/>
      <c r="G614" s="159"/>
      <c r="H614" s="159"/>
      <c r="I614" s="159"/>
      <c r="J614" s="191"/>
      <c r="K614" s="191"/>
      <c r="L614" s="191"/>
      <c r="M614" s="191"/>
      <c r="N614" s="191"/>
      <c r="O614" s="148" t="s">
        <v>90</v>
      </c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  <c r="AC614" s="148"/>
      <c r="AD614" s="148">
        <v>1202040101</v>
      </c>
      <c r="AE614" s="148"/>
      <c r="AF614" s="148"/>
      <c r="AG614" s="148"/>
      <c r="AH614" s="148"/>
      <c r="AI614" s="148"/>
      <c r="AJ614" s="148"/>
      <c r="AK614" s="148"/>
      <c r="AL614" s="148"/>
      <c r="AM614" s="148"/>
      <c r="AN614" s="148"/>
      <c r="AO614" s="148"/>
      <c r="AP614" s="148"/>
      <c r="AQ614" s="148"/>
      <c r="AR614" s="148"/>
      <c r="AS614" s="148"/>
      <c r="AT614" s="159"/>
      <c r="AU614" s="159"/>
      <c r="AV614" s="159"/>
      <c r="AW614" s="159"/>
      <c r="AX614" s="159"/>
      <c r="AY614" s="159"/>
      <c r="AZ614" s="159"/>
      <c r="BA614" s="159"/>
      <c r="BB614" s="159"/>
      <c r="BC614" s="159"/>
      <c r="BD614" s="159"/>
      <c r="BE614" s="159"/>
      <c r="BF614" s="159"/>
      <c r="BG614" s="159"/>
      <c r="BH614" s="159"/>
      <c r="BI614" s="159"/>
      <c r="BJ614" s="159"/>
      <c r="BK614" s="159"/>
      <c r="BL614" s="159"/>
      <c r="BM614" s="159"/>
      <c r="BN614" s="159"/>
      <c r="BO614" s="159"/>
      <c r="BP614" s="159"/>
      <c r="BQ614" s="159"/>
      <c r="BR614" s="159"/>
      <c r="BS614" s="159"/>
      <c r="BT614" s="159"/>
      <c r="BU614" s="159"/>
      <c r="BV614" s="159"/>
      <c r="BW614" s="159"/>
      <c r="BX614" s="159"/>
      <c r="BY614" s="159"/>
    </row>
    <row r="615" spans="1:77" s="19" customFormat="1" x14ac:dyDescent="0.15">
      <c r="A615" s="151">
        <v>1301001011</v>
      </c>
      <c r="B615" s="157" t="s">
        <v>558</v>
      </c>
      <c r="C615" s="151" t="s">
        <v>77</v>
      </c>
      <c r="D615" s="151"/>
      <c r="E615" s="151" t="s">
        <v>78</v>
      </c>
      <c r="F615" s="151"/>
      <c r="G615" s="151"/>
      <c r="H615" s="151"/>
      <c r="I615" s="151"/>
      <c r="J615" s="165"/>
      <c r="K615" s="165"/>
      <c r="L615" s="165"/>
      <c r="M615" s="165"/>
      <c r="N615" s="165"/>
      <c r="O615" s="151" t="s">
        <v>79</v>
      </c>
      <c r="P615" s="151" t="s">
        <v>80</v>
      </c>
      <c r="Q615" s="151"/>
      <c r="R615" s="151">
        <v>10000</v>
      </c>
      <c r="S615" s="151"/>
      <c r="T615" s="151">
        <v>10000</v>
      </c>
      <c r="U615" s="151"/>
      <c r="V615" s="151" t="s">
        <v>101</v>
      </c>
      <c r="W615" s="151"/>
      <c r="X615" s="151"/>
      <c r="Y615" s="151"/>
      <c r="Z615" s="151"/>
      <c r="AA615" s="151"/>
      <c r="AB615" s="151"/>
      <c r="AC615" s="151"/>
      <c r="AD615" s="151"/>
      <c r="AE615" s="151"/>
      <c r="AF615" s="151"/>
      <c r="AG615" s="151"/>
      <c r="AH615" s="151"/>
      <c r="AI615" s="151"/>
      <c r="AJ615" s="151"/>
      <c r="AK615" s="151"/>
      <c r="AL615" s="151"/>
      <c r="AM615" s="151"/>
      <c r="AN615" s="151"/>
      <c r="AO615" s="151"/>
      <c r="AP615" s="151"/>
      <c r="AQ615" s="151"/>
      <c r="AR615" s="151"/>
      <c r="AS615" s="151"/>
      <c r="AT615" s="151"/>
      <c r="AU615" s="151"/>
      <c r="AV615" s="151"/>
      <c r="AW615" s="151"/>
      <c r="AX615" s="151"/>
      <c r="AY615" s="151"/>
      <c r="AZ615" s="151"/>
      <c r="BA615" s="151"/>
      <c r="BB615" s="151"/>
      <c r="BC615" s="151"/>
      <c r="BD615" s="151"/>
      <c r="BE615" s="151"/>
      <c r="BF615" s="151"/>
      <c r="BG615" s="151"/>
      <c r="BH615" s="151"/>
      <c r="BI615" s="151"/>
      <c r="BJ615" s="151"/>
      <c r="BK615" s="151"/>
      <c r="BL615" s="151"/>
      <c r="BM615" s="151"/>
      <c r="BN615" s="151"/>
      <c r="BO615" s="151"/>
      <c r="BP615" s="151"/>
      <c r="BQ615" s="151"/>
      <c r="BR615" s="151"/>
      <c r="BS615" s="151"/>
      <c r="BT615" s="151"/>
      <c r="BU615" s="151"/>
      <c r="BV615" s="151"/>
      <c r="BW615" s="151"/>
      <c r="BX615" s="151"/>
      <c r="BY615" s="151"/>
    </row>
    <row r="616" spans="1:77" s="19" customFormat="1" x14ac:dyDescent="0.15">
      <c r="A616" s="151">
        <v>1301001012</v>
      </c>
      <c r="B616" s="157" t="s">
        <v>559</v>
      </c>
      <c r="C616" s="151" t="s">
        <v>77</v>
      </c>
      <c r="D616" s="151"/>
      <c r="E616" s="151" t="s">
        <v>425</v>
      </c>
      <c r="F616" s="151">
        <v>40000</v>
      </c>
      <c r="G616" s="151">
        <v>1200</v>
      </c>
      <c r="H616" s="151"/>
      <c r="I616" s="151"/>
      <c r="J616" s="165"/>
      <c r="K616" s="165"/>
      <c r="L616" s="165"/>
      <c r="M616" s="165"/>
      <c r="N616" s="165"/>
      <c r="O616" s="151" t="s">
        <v>79</v>
      </c>
      <c r="P616" s="151" t="s">
        <v>80</v>
      </c>
      <c r="Q616" s="151"/>
      <c r="R616" s="151">
        <v>5000</v>
      </c>
      <c r="S616" s="151"/>
      <c r="T616" s="151"/>
      <c r="U616" s="151"/>
      <c r="V616" s="151" t="s">
        <v>101</v>
      </c>
      <c r="W616" s="151"/>
      <c r="X616" s="151"/>
      <c r="Y616" s="151"/>
      <c r="Z616" s="151"/>
      <c r="AA616" s="151"/>
      <c r="AB616" s="151"/>
      <c r="AC616" s="151"/>
      <c r="AD616" s="151"/>
      <c r="AE616" s="151"/>
      <c r="AF616" s="151"/>
      <c r="AG616" s="151"/>
      <c r="AH616" s="151"/>
      <c r="AI616" s="151"/>
      <c r="AJ616" s="151"/>
      <c r="AK616" s="151"/>
      <c r="AL616" s="151"/>
      <c r="AM616" s="151"/>
      <c r="AN616" s="151"/>
      <c r="AO616" s="151"/>
      <c r="AP616" s="151"/>
      <c r="AQ616" s="151"/>
      <c r="AR616" s="151"/>
      <c r="AS616" s="151"/>
      <c r="AT616" s="151"/>
      <c r="AU616" s="151"/>
      <c r="AV616" s="151"/>
      <c r="AW616" s="151"/>
      <c r="AX616" s="151"/>
      <c r="AY616" s="151"/>
      <c r="AZ616" s="151"/>
      <c r="BA616" s="151"/>
      <c r="BB616" s="151"/>
      <c r="BC616" s="151"/>
      <c r="BD616" s="151"/>
      <c r="BE616" s="151"/>
      <c r="BF616" s="151"/>
      <c r="BG616" s="151"/>
      <c r="BH616" s="151"/>
      <c r="BI616" s="151"/>
      <c r="BJ616" s="151"/>
      <c r="BK616" s="151"/>
      <c r="BL616" s="151"/>
      <c r="BM616" s="151"/>
      <c r="BN616" s="151"/>
      <c r="BO616" s="151"/>
      <c r="BP616" s="151"/>
      <c r="BQ616" s="151"/>
      <c r="BR616" s="151"/>
      <c r="BS616" s="151"/>
      <c r="BT616" s="151"/>
      <c r="BU616" s="151"/>
      <c r="BV616" s="151"/>
      <c r="BW616" s="151"/>
      <c r="BX616" s="151"/>
      <c r="BY616" s="151"/>
    </row>
    <row r="617" spans="1:77" s="19" customFormat="1" x14ac:dyDescent="0.15">
      <c r="A617" s="151">
        <v>1301002011</v>
      </c>
      <c r="B617" s="157" t="s">
        <v>560</v>
      </c>
      <c r="C617" s="151" t="s">
        <v>77</v>
      </c>
      <c r="D617" s="151"/>
      <c r="E617" s="151" t="s">
        <v>78</v>
      </c>
      <c r="F617" s="151"/>
      <c r="G617" s="151"/>
      <c r="H617" s="151"/>
      <c r="I617" s="151"/>
      <c r="J617" s="165"/>
      <c r="K617" s="165"/>
      <c r="L617" s="165"/>
      <c r="M617" s="165"/>
      <c r="N617" s="165"/>
      <c r="O617" s="151" t="s">
        <v>79</v>
      </c>
      <c r="P617" s="151" t="s">
        <v>80</v>
      </c>
      <c r="Q617" s="151"/>
      <c r="R617" s="151">
        <v>10000</v>
      </c>
      <c r="S617" s="151"/>
      <c r="T617" s="151">
        <v>10000</v>
      </c>
      <c r="U617" s="151"/>
      <c r="V617" s="151" t="s">
        <v>101</v>
      </c>
      <c r="W617" s="151"/>
      <c r="X617" s="151"/>
      <c r="Y617" s="151"/>
      <c r="Z617" s="151"/>
      <c r="AA617" s="151"/>
      <c r="AB617" s="151"/>
      <c r="AC617" s="151"/>
      <c r="AD617" s="151"/>
      <c r="AE617" s="151"/>
      <c r="AF617" s="151"/>
      <c r="AG617" s="151"/>
      <c r="AH617" s="151"/>
      <c r="AI617" s="151"/>
      <c r="AJ617" s="151"/>
      <c r="AK617" s="151"/>
      <c r="AL617" s="151"/>
      <c r="AM617" s="151"/>
      <c r="AN617" s="151"/>
      <c r="AO617" s="151"/>
      <c r="AP617" s="151"/>
      <c r="AQ617" s="151"/>
      <c r="AR617" s="151"/>
      <c r="AS617" s="151"/>
      <c r="AT617" s="151"/>
      <c r="AU617" s="151"/>
      <c r="AV617" s="151"/>
      <c r="AW617" s="151"/>
      <c r="AX617" s="151"/>
      <c r="AY617" s="151"/>
      <c r="AZ617" s="151"/>
      <c r="BA617" s="151"/>
      <c r="BB617" s="151"/>
      <c r="BC617" s="151"/>
      <c r="BD617" s="151"/>
      <c r="BE617" s="151"/>
      <c r="BF617" s="151"/>
      <c r="BG617" s="151"/>
      <c r="BH617" s="151"/>
      <c r="BI617" s="151"/>
      <c r="BJ617" s="151"/>
      <c r="BK617" s="151"/>
      <c r="BL617" s="151"/>
      <c r="BM617" s="151"/>
      <c r="BN617" s="151"/>
      <c r="BO617" s="151"/>
      <c r="BP617" s="151"/>
      <c r="BQ617" s="151"/>
      <c r="BR617" s="151"/>
      <c r="BS617" s="151"/>
      <c r="BT617" s="151"/>
      <c r="BU617" s="151"/>
      <c r="BV617" s="151"/>
      <c r="BW617" s="151"/>
      <c r="BX617" s="151"/>
      <c r="BY617" s="151"/>
    </row>
    <row r="618" spans="1:77" s="19" customFormat="1" x14ac:dyDescent="0.15">
      <c r="A618" s="151">
        <v>1301100011</v>
      </c>
      <c r="B618" s="157" t="s">
        <v>561</v>
      </c>
      <c r="C618" s="151" t="s">
        <v>77</v>
      </c>
      <c r="D618" s="151"/>
      <c r="E618" s="151" t="s">
        <v>78</v>
      </c>
      <c r="F618" s="151"/>
      <c r="G618" s="151"/>
      <c r="H618" s="151"/>
      <c r="I618" s="151"/>
      <c r="J618" s="165"/>
      <c r="K618" s="165"/>
      <c r="L618" s="165"/>
      <c r="M618" s="165"/>
      <c r="N618" s="165"/>
      <c r="O618" s="151" t="s">
        <v>79</v>
      </c>
      <c r="P618" s="151" t="s">
        <v>80</v>
      </c>
      <c r="Q618" s="17"/>
      <c r="R618" s="151">
        <v>10000</v>
      </c>
      <c r="S618" s="151"/>
      <c r="T618" s="151">
        <v>10000</v>
      </c>
      <c r="U618" s="151"/>
      <c r="V618" s="151" t="s">
        <v>101</v>
      </c>
      <c r="W618" s="151"/>
      <c r="X618" s="151"/>
      <c r="Y618" s="151"/>
      <c r="Z618" s="151"/>
      <c r="AA618" s="151"/>
      <c r="AB618" s="151"/>
      <c r="AC618" s="151"/>
      <c r="AD618" s="151"/>
      <c r="AE618" s="151"/>
      <c r="AF618" s="151"/>
      <c r="AG618" s="151"/>
      <c r="AH618" s="151"/>
      <c r="AI618" s="151"/>
      <c r="AJ618" s="151"/>
      <c r="AK618" s="151"/>
      <c r="AL618" s="151"/>
      <c r="AM618" s="151"/>
      <c r="AN618" s="151"/>
      <c r="AO618" s="151"/>
      <c r="AP618" s="151"/>
      <c r="AQ618" s="151"/>
      <c r="AR618" s="151"/>
      <c r="AS618" s="151"/>
      <c r="AT618" s="151"/>
      <c r="AU618" s="151"/>
      <c r="AV618" s="151"/>
      <c r="AW618" s="151"/>
      <c r="AX618" s="151"/>
      <c r="AY618" s="151"/>
      <c r="AZ618" s="151"/>
      <c r="BA618" s="151"/>
      <c r="BB618" s="151"/>
      <c r="BC618" s="151"/>
      <c r="BD618" s="151"/>
      <c r="BE618" s="151"/>
      <c r="BF618" s="151"/>
      <c r="BG618" s="151"/>
      <c r="BH618" s="151"/>
      <c r="BI618" s="151"/>
      <c r="BJ618" s="151"/>
      <c r="BK618" s="151"/>
      <c r="BL618" s="151"/>
      <c r="BM618" s="151"/>
      <c r="BN618" s="151"/>
      <c r="BO618" s="151"/>
      <c r="BP618" s="151"/>
      <c r="BQ618" s="151"/>
      <c r="BR618" s="151"/>
      <c r="BS618" s="151"/>
      <c r="BT618" s="151"/>
      <c r="BU618" s="151"/>
      <c r="BV618" s="151"/>
      <c r="BW618" s="151"/>
      <c r="BX618" s="151"/>
      <c r="BY618" s="151"/>
    </row>
    <row r="619" spans="1:77" s="19" customFormat="1" x14ac:dyDescent="0.15">
      <c r="A619" s="151">
        <v>1301010011</v>
      </c>
      <c r="B619" s="157" t="s">
        <v>562</v>
      </c>
      <c r="C619" s="151" t="s">
        <v>100</v>
      </c>
      <c r="D619" s="151"/>
      <c r="E619" s="151" t="s">
        <v>85</v>
      </c>
      <c r="F619" s="151">
        <v>60000</v>
      </c>
      <c r="G619" s="151">
        <v>100000</v>
      </c>
      <c r="H619" s="151"/>
      <c r="I619" s="151"/>
      <c r="J619" s="165"/>
      <c r="K619" s="165"/>
      <c r="L619" s="165"/>
      <c r="M619" s="165" t="s">
        <v>101</v>
      </c>
      <c r="N619" s="165"/>
      <c r="O619" s="151" t="s">
        <v>79</v>
      </c>
      <c r="P619" s="151" t="s">
        <v>80</v>
      </c>
      <c r="Q619" s="151">
        <v>150</v>
      </c>
      <c r="R619" s="151">
        <v>3500</v>
      </c>
      <c r="S619" s="151"/>
      <c r="T619" s="151"/>
      <c r="U619" s="151"/>
      <c r="V619" s="151"/>
      <c r="W619" s="151"/>
      <c r="X619" s="151"/>
      <c r="Y619" s="151"/>
      <c r="Z619" s="151"/>
      <c r="AA619" s="151"/>
      <c r="AB619" s="151"/>
      <c r="AC619" s="151"/>
      <c r="AD619" s="151"/>
      <c r="AE619" s="151"/>
      <c r="AF619" s="151"/>
      <c r="AG619" s="151"/>
      <c r="AH619" s="151"/>
      <c r="AI619" s="151"/>
      <c r="AJ619" s="151"/>
      <c r="AK619" s="151"/>
      <c r="AL619" s="151"/>
      <c r="AM619" s="151"/>
      <c r="AN619" s="151"/>
      <c r="AO619" s="151"/>
      <c r="AP619" s="151"/>
      <c r="AQ619" s="151"/>
      <c r="AR619" s="151"/>
      <c r="AS619" s="151"/>
      <c r="AT619" s="151"/>
      <c r="AU619" s="151"/>
      <c r="AV619" s="151"/>
      <c r="AW619" s="151"/>
      <c r="AX619" s="151"/>
      <c r="AY619" s="151"/>
      <c r="AZ619" s="151"/>
      <c r="BA619" s="151"/>
      <c r="BB619" s="151"/>
      <c r="BC619" s="151"/>
      <c r="BD619" s="151"/>
      <c r="BE619" s="151"/>
      <c r="BF619" s="151"/>
      <c r="BG619" s="151"/>
      <c r="BH619" s="151"/>
      <c r="BI619" s="151"/>
      <c r="BJ619" s="151"/>
      <c r="BK619" s="151"/>
      <c r="BL619" s="151"/>
      <c r="BM619" s="151"/>
      <c r="BN619" s="151"/>
      <c r="BO619" s="151"/>
      <c r="BP619" s="151"/>
      <c r="BQ619" s="151"/>
      <c r="BR619" s="151"/>
      <c r="BS619" s="151"/>
      <c r="BT619" s="151"/>
      <c r="BU619" s="151"/>
      <c r="BV619" s="151"/>
      <c r="BW619" s="151"/>
      <c r="BX619" s="151"/>
      <c r="BY619" s="151"/>
    </row>
    <row r="620" spans="1:77" s="19" customFormat="1" x14ac:dyDescent="0.15">
      <c r="A620" s="151">
        <v>1301010021</v>
      </c>
      <c r="B620" s="157" t="s">
        <v>562</v>
      </c>
      <c r="C620" s="151" t="s">
        <v>100</v>
      </c>
      <c r="D620" s="151"/>
      <c r="E620" s="151" t="s">
        <v>85</v>
      </c>
      <c r="F620" s="151">
        <v>60000</v>
      </c>
      <c r="G620" s="151">
        <v>100000</v>
      </c>
      <c r="H620" s="151"/>
      <c r="I620" s="151"/>
      <c r="J620" s="165"/>
      <c r="K620" s="165"/>
      <c r="L620" s="165"/>
      <c r="M620" s="165" t="s">
        <v>101</v>
      </c>
      <c r="N620" s="165"/>
      <c r="O620" s="151" t="s">
        <v>79</v>
      </c>
      <c r="P620" s="151" t="s">
        <v>80</v>
      </c>
      <c r="Q620" s="151">
        <v>200</v>
      </c>
      <c r="R620" s="151">
        <v>3500</v>
      </c>
      <c r="S620" s="151"/>
      <c r="T620" s="151"/>
      <c r="U620" s="151"/>
      <c r="V620" s="151"/>
      <c r="W620" s="151"/>
      <c r="X620" s="151"/>
      <c r="Y620" s="151"/>
      <c r="Z620" s="151"/>
      <c r="AA620" s="151"/>
      <c r="AB620" s="151"/>
      <c r="AC620" s="151"/>
      <c r="AD620" s="151"/>
      <c r="AE620" s="151"/>
      <c r="AF620" s="151"/>
      <c r="AG620" s="151"/>
      <c r="AH620" s="151"/>
      <c r="AI620" s="151"/>
      <c r="AJ620" s="151"/>
      <c r="AK620" s="151"/>
      <c r="AL620" s="151"/>
      <c r="AM620" s="151"/>
      <c r="AN620" s="151"/>
      <c r="AO620" s="151"/>
      <c r="AP620" s="151"/>
      <c r="AQ620" s="151"/>
      <c r="AR620" s="151"/>
      <c r="AS620" s="151"/>
      <c r="AT620" s="151"/>
      <c r="AU620" s="151"/>
      <c r="AV620" s="151"/>
      <c r="AW620" s="151"/>
      <c r="AX620" s="151"/>
      <c r="AY620" s="151"/>
      <c r="AZ620" s="151"/>
      <c r="BA620" s="151"/>
      <c r="BB620" s="151"/>
      <c r="BC620" s="151"/>
      <c r="BD620" s="151"/>
      <c r="BE620" s="151"/>
      <c r="BF620" s="151"/>
      <c r="BG620" s="151"/>
      <c r="BH620" s="151"/>
      <c r="BI620" s="151"/>
      <c r="BJ620" s="151"/>
      <c r="BK620" s="151"/>
      <c r="BL620" s="151"/>
      <c r="BM620" s="151"/>
      <c r="BN620" s="151"/>
      <c r="BO620" s="151"/>
      <c r="BP620" s="151"/>
      <c r="BQ620" s="151"/>
      <c r="BR620" s="151"/>
      <c r="BS620" s="151"/>
      <c r="BT620" s="151"/>
      <c r="BU620" s="151"/>
      <c r="BV620" s="151"/>
      <c r="BW620" s="151"/>
      <c r="BX620" s="151"/>
      <c r="BY620" s="151"/>
    </row>
    <row r="621" spans="1:77" s="19" customFormat="1" x14ac:dyDescent="0.15">
      <c r="A621" s="151">
        <v>1301010031</v>
      </c>
      <c r="B621" s="157" t="s">
        <v>562</v>
      </c>
      <c r="C621" s="151" t="s">
        <v>100</v>
      </c>
      <c r="D621" s="151"/>
      <c r="E621" s="151" t="s">
        <v>85</v>
      </c>
      <c r="F621" s="151">
        <v>60000</v>
      </c>
      <c r="G621" s="151">
        <v>100000</v>
      </c>
      <c r="H621" s="151"/>
      <c r="I621" s="151"/>
      <c r="J621" s="165"/>
      <c r="K621" s="165"/>
      <c r="L621" s="165"/>
      <c r="M621" s="165" t="s">
        <v>101</v>
      </c>
      <c r="N621" s="165"/>
      <c r="O621" s="151" t="s">
        <v>79</v>
      </c>
      <c r="P621" s="151" t="s">
        <v>80</v>
      </c>
      <c r="Q621" s="151">
        <v>250</v>
      </c>
      <c r="R621" s="151">
        <v>3500</v>
      </c>
      <c r="S621" s="151"/>
      <c r="T621" s="151"/>
      <c r="U621" s="151"/>
      <c r="V621" s="151"/>
      <c r="W621" s="151"/>
      <c r="X621" s="151"/>
      <c r="Y621" s="151"/>
      <c r="Z621" s="151"/>
      <c r="AA621" s="151"/>
      <c r="AB621" s="151"/>
      <c r="AC621" s="151"/>
      <c r="AD621" s="151"/>
      <c r="AE621" s="151"/>
      <c r="AF621" s="151"/>
      <c r="AG621" s="151"/>
      <c r="AH621" s="151"/>
      <c r="AI621" s="151"/>
      <c r="AJ621" s="151"/>
      <c r="AK621" s="151"/>
      <c r="AL621" s="151"/>
      <c r="AM621" s="151"/>
      <c r="AN621" s="151"/>
      <c r="AO621" s="151"/>
      <c r="AP621" s="151"/>
      <c r="AQ621" s="151"/>
      <c r="AR621" s="151"/>
      <c r="AS621" s="151"/>
      <c r="AT621" s="151"/>
      <c r="AU621" s="151"/>
      <c r="AV621" s="151"/>
      <c r="AW621" s="151"/>
      <c r="AX621" s="151"/>
      <c r="AY621" s="151"/>
      <c r="AZ621" s="151"/>
      <c r="BA621" s="151"/>
      <c r="BB621" s="151"/>
      <c r="BC621" s="151"/>
      <c r="BD621" s="151"/>
      <c r="BE621" s="151"/>
      <c r="BF621" s="151"/>
      <c r="BG621" s="151"/>
      <c r="BH621" s="151"/>
      <c r="BI621" s="151"/>
      <c r="BJ621" s="151"/>
      <c r="BK621" s="151"/>
      <c r="BL621" s="151"/>
      <c r="BM621" s="151"/>
      <c r="BN621" s="151"/>
      <c r="BO621" s="151"/>
      <c r="BP621" s="151"/>
      <c r="BQ621" s="151"/>
      <c r="BR621" s="151"/>
      <c r="BS621" s="151"/>
      <c r="BT621" s="151"/>
      <c r="BU621" s="151"/>
      <c r="BV621" s="151"/>
      <c r="BW621" s="151"/>
      <c r="BX621" s="151"/>
      <c r="BY621" s="151"/>
    </row>
    <row r="622" spans="1:77" s="19" customFormat="1" x14ac:dyDescent="0.15">
      <c r="A622" s="151">
        <v>1301010041</v>
      </c>
      <c r="B622" s="157" t="s">
        <v>562</v>
      </c>
      <c r="C622" s="151" t="s">
        <v>100</v>
      </c>
      <c r="D622" s="151"/>
      <c r="E622" s="151" t="s">
        <v>85</v>
      </c>
      <c r="F622" s="151">
        <v>60000</v>
      </c>
      <c r="G622" s="151">
        <v>100000</v>
      </c>
      <c r="H622" s="151"/>
      <c r="I622" s="151"/>
      <c r="J622" s="165"/>
      <c r="K622" s="165"/>
      <c r="L622" s="165"/>
      <c r="M622" s="165" t="s">
        <v>101</v>
      </c>
      <c r="N622" s="165"/>
      <c r="O622" s="151" t="s">
        <v>79</v>
      </c>
      <c r="P622" s="151" t="s">
        <v>80</v>
      </c>
      <c r="Q622" s="151">
        <v>300</v>
      </c>
      <c r="R622" s="151">
        <v>3500</v>
      </c>
      <c r="S622" s="151"/>
      <c r="T622" s="151"/>
      <c r="U622" s="151"/>
      <c r="V622" s="151"/>
      <c r="W622" s="151"/>
      <c r="X622" s="151"/>
      <c r="Y622" s="151"/>
      <c r="Z622" s="151"/>
      <c r="AA622" s="151"/>
      <c r="AB622" s="151"/>
      <c r="AC622" s="151"/>
      <c r="AD622" s="151"/>
      <c r="AE622" s="151"/>
      <c r="AF622" s="151"/>
      <c r="AG622" s="151"/>
      <c r="AH622" s="151"/>
      <c r="AI622" s="151"/>
      <c r="AJ622" s="151"/>
      <c r="AK622" s="151"/>
      <c r="AL622" s="151"/>
      <c r="AM622" s="151"/>
      <c r="AN622" s="151"/>
      <c r="AO622" s="151"/>
      <c r="AP622" s="151"/>
      <c r="AQ622" s="151"/>
      <c r="AR622" s="151"/>
      <c r="AS622" s="151"/>
      <c r="AT622" s="151"/>
      <c r="AU622" s="151"/>
      <c r="AV622" s="151"/>
      <c r="AW622" s="151"/>
      <c r="AX622" s="151"/>
      <c r="AY622" s="151"/>
      <c r="AZ622" s="151"/>
      <c r="BA622" s="151"/>
      <c r="BB622" s="151"/>
      <c r="BC622" s="151"/>
      <c r="BD622" s="151"/>
      <c r="BE622" s="151"/>
      <c r="BF622" s="151"/>
      <c r="BG622" s="151"/>
      <c r="BH622" s="151"/>
      <c r="BI622" s="151"/>
      <c r="BJ622" s="151"/>
      <c r="BK622" s="151"/>
      <c r="BL622" s="151"/>
      <c r="BM622" s="151"/>
      <c r="BN622" s="151"/>
      <c r="BO622" s="151"/>
      <c r="BP622" s="151"/>
      <c r="BQ622" s="151"/>
      <c r="BR622" s="151"/>
      <c r="BS622" s="151"/>
      <c r="BT622" s="151"/>
      <c r="BU622" s="151"/>
      <c r="BV622" s="151"/>
      <c r="BW622" s="151"/>
      <c r="BX622" s="151"/>
      <c r="BY622" s="151"/>
    </row>
    <row r="623" spans="1:77" s="19" customFormat="1" x14ac:dyDescent="0.15">
      <c r="A623" s="151">
        <v>1301010012</v>
      </c>
      <c r="B623" s="157" t="s">
        <v>563</v>
      </c>
      <c r="C623" s="151" t="s">
        <v>89</v>
      </c>
      <c r="D623" s="151"/>
      <c r="E623" s="151" t="s">
        <v>78</v>
      </c>
      <c r="F623" s="151"/>
      <c r="G623" s="151"/>
      <c r="H623" s="151"/>
      <c r="I623" s="151"/>
      <c r="J623" s="165"/>
      <c r="K623" s="165"/>
      <c r="L623" s="165"/>
      <c r="M623" s="165"/>
      <c r="N623" s="165"/>
      <c r="O623" s="151" t="s">
        <v>90</v>
      </c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  <c r="AB623" s="151"/>
      <c r="AC623" s="151"/>
      <c r="AD623" s="151">
        <v>1301010101</v>
      </c>
      <c r="AE623" s="151"/>
      <c r="AF623" s="151"/>
      <c r="AG623" s="151"/>
      <c r="AH623" s="151"/>
      <c r="AI623" s="151"/>
      <c r="AJ623" s="151"/>
      <c r="AK623" s="151"/>
      <c r="AL623" s="151"/>
      <c r="AM623" s="151"/>
      <c r="AN623" s="151"/>
      <c r="AO623" s="151"/>
      <c r="AP623" s="151"/>
      <c r="AQ623" s="151"/>
      <c r="AR623" s="151"/>
      <c r="AS623" s="151"/>
      <c r="AT623" s="151"/>
      <c r="AU623" s="151"/>
      <c r="AV623" s="151"/>
      <c r="AW623" s="151"/>
      <c r="AX623" s="151"/>
      <c r="AY623" s="151"/>
      <c r="AZ623" s="151"/>
      <c r="BA623" s="151"/>
      <c r="BB623" s="151"/>
      <c r="BC623" s="151"/>
      <c r="BD623" s="151"/>
      <c r="BE623" s="151"/>
      <c r="BF623" s="151"/>
      <c r="BG623" s="151"/>
      <c r="BH623" s="151"/>
      <c r="BI623" s="151"/>
      <c r="BJ623" s="151"/>
      <c r="BK623" s="151"/>
      <c r="BL623" s="151"/>
      <c r="BM623" s="151"/>
      <c r="BN623" s="151"/>
      <c r="BO623" s="151"/>
      <c r="BP623" s="151"/>
      <c r="BQ623" s="151"/>
      <c r="BR623" s="151"/>
      <c r="BS623" s="151"/>
      <c r="BT623" s="151"/>
      <c r="BU623" s="151"/>
      <c r="BV623" s="151"/>
      <c r="BW623" s="151"/>
      <c r="BX623" s="151"/>
      <c r="BY623" s="151"/>
    </row>
    <row r="624" spans="1:77" s="19" customFormat="1" x14ac:dyDescent="0.15">
      <c r="A624" s="151">
        <v>1301010022</v>
      </c>
      <c r="B624" s="157" t="s">
        <v>563</v>
      </c>
      <c r="C624" s="151" t="s">
        <v>89</v>
      </c>
      <c r="D624" s="151"/>
      <c r="E624" s="151" t="s">
        <v>78</v>
      </c>
      <c r="F624" s="151"/>
      <c r="G624" s="151"/>
      <c r="H624" s="151"/>
      <c r="I624" s="151"/>
      <c r="J624" s="165"/>
      <c r="K624" s="165"/>
      <c r="L624" s="165"/>
      <c r="M624" s="165"/>
      <c r="N624" s="165"/>
      <c r="O624" s="151" t="s">
        <v>90</v>
      </c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  <c r="AB624" s="151"/>
      <c r="AC624" s="151"/>
      <c r="AD624" s="151">
        <v>1301010102</v>
      </c>
      <c r="AE624" s="151"/>
      <c r="AF624" s="151"/>
      <c r="AG624" s="151"/>
      <c r="AH624" s="151"/>
      <c r="AI624" s="151"/>
      <c r="AJ624" s="151"/>
      <c r="AK624" s="151"/>
      <c r="AL624" s="151"/>
      <c r="AM624" s="151"/>
      <c r="AN624" s="151"/>
      <c r="AO624" s="151"/>
      <c r="AP624" s="151"/>
      <c r="AQ624" s="151"/>
      <c r="AR624" s="151"/>
      <c r="AS624" s="151"/>
      <c r="AT624" s="151"/>
      <c r="AU624" s="151"/>
      <c r="AV624" s="151"/>
      <c r="AW624" s="151"/>
      <c r="AX624" s="151"/>
      <c r="AY624" s="151"/>
      <c r="AZ624" s="151"/>
      <c r="BA624" s="151"/>
      <c r="BB624" s="151"/>
      <c r="BC624" s="151"/>
      <c r="BD624" s="151"/>
      <c r="BE624" s="151"/>
      <c r="BF624" s="151"/>
      <c r="BG624" s="151"/>
      <c r="BH624" s="151"/>
      <c r="BI624" s="151"/>
      <c r="BJ624" s="151"/>
      <c r="BK624" s="151"/>
      <c r="BL624" s="151"/>
      <c r="BM624" s="151"/>
      <c r="BN624" s="151"/>
      <c r="BO624" s="151"/>
      <c r="BP624" s="151"/>
      <c r="BQ624" s="151"/>
      <c r="BR624" s="151"/>
      <c r="BS624" s="151"/>
      <c r="BT624" s="151"/>
      <c r="BU624" s="151"/>
      <c r="BV624" s="151"/>
      <c r="BW624" s="151"/>
      <c r="BX624" s="151"/>
      <c r="BY624" s="151"/>
    </row>
    <row r="625" spans="1:77" s="19" customFormat="1" x14ac:dyDescent="0.15">
      <c r="A625" s="151">
        <v>1301010032</v>
      </c>
      <c r="B625" s="157" t="s">
        <v>563</v>
      </c>
      <c r="C625" s="151" t="s">
        <v>89</v>
      </c>
      <c r="D625" s="151"/>
      <c r="E625" s="151" t="s">
        <v>78</v>
      </c>
      <c r="F625" s="151"/>
      <c r="G625" s="151"/>
      <c r="H625" s="151"/>
      <c r="I625" s="151"/>
      <c r="J625" s="165"/>
      <c r="K625" s="165"/>
      <c r="L625" s="165"/>
      <c r="M625" s="165"/>
      <c r="N625" s="165"/>
      <c r="O625" s="151" t="s">
        <v>90</v>
      </c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  <c r="AB625" s="151"/>
      <c r="AC625" s="151"/>
      <c r="AD625" s="151">
        <v>1301010103</v>
      </c>
      <c r="AE625" s="151"/>
      <c r="AF625" s="151"/>
      <c r="AG625" s="151"/>
      <c r="AH625" s="151"/>
      <c r="AI625" s="151"/>
      <c r="AJ625" s="151"/>
      <c r="AK625" s="151"/>
      <c r="AL625" s="151"/>
      <c r="AM625" s="151"/>
      <c r="AN625" s="151"/>
      <c r="AO625" s="151"/>
      <c r="AP625" s="151"/>
      <c r="AQ625" s="151"/>
      <c r="AR625" s="151"/>
      <c r="AS625" s="151"/>
      <c r="AT625" s="151"/>
      <c r="AU625" s="151"/>
      <c r="AV625" s="151"/>
      <c r="AW625" s="151"/>
      <c r="AX625" s="151"/>
      <c r="AY625" s="151"/>
      <c r="AZ625" s="151"/>
      <c r="BA625" s="151"/>
      <c r="BB625" s="151"/>
      <c r="BC625" s="151"/>
      <c r="BD625" s="151"/>
      <c r="BE625" s="151"/>
      <c r="BF625" s="151"/>
      <c r="BG625" s="151"/>
      <c r="BH625" s="151"/>
      <c r="BI625" s="151"/>
      <c r="BJ625" s="151"/>
      <c r="BK625" s="151"/>
      <c r="BL625" s="151"/>
      <c r="BM625" s="151"/>
      <c r="BN625" s="151"/>
      <c r="BO625" s="151"/>
      <c r="BP625" s="151"/>
      <c r="BQ625" s="151"/>
      <c r="BR625" s="151"/>
      <c r="BS625" s="151"/>
      <c r="BT625" s="151"/>
      <c r="BU625" s="151"/>
      <c r="BV625" s="151"/>
      <c r="BW625" s="151"/>
      <c r="BX625" s="151"/>
      <c r="BY625" s="151"/>
    </row>
    <row r="626" spans="1:77" s="19" customFormat="1" x14ac:dyDescent="0.15">
      <c r="A626" s="151">
        <v>1301010042</v>
      </c>
      <c r="B626" s="157" t="s">
        <v>563</v>
      </c>
      <c r="C626" s="151" t="s">
        <v>89</v>
      </c>
      <c r="D626" s="151"/>
      <c r="E626" s="151" t="s">
        <v>78</v>
      </c>
      <c r="F626" s="151"/>
      <c r="G626" s="151"/>
      <c r="H626" s="151"/>
      <c r="I626" s="151"/>
      <c r="J626" s="165"/>
      <c r="K626" s="165"/>
      <c r="L626" s="165"/>
      <c r="M626" s="165"/>
      <c r="N626" s="165"/>
      <c r="O626" s="151" t="s">
        <v>90</v>
      </c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  <c r="AB626" s="151"/>
      <c r="AC626" s="151"/>
      <c r="AD626" s="151">
        <v>1301010104</v>
      </c>
      <c r="AE626" s="151"/>
      <c r="AF626" s="151"/>
      <c r="AG626" s="151"/>
      <c r="AH626" s="151"/>
      <c r="AI626" s="151"/>
      <c r="AJ626" s="151"/>
      <c r="AK626" s="151"/>
      <c r="AL626" s="151"/>
      <c r="AM626" s="151"/>
      <c r="AN626" s="151"/>
      <c r="AO626" s="151"/>
      <c r="AP626" s="151"/>
      <c r="AQ626" s="151"/>
      <c r="AR626" s="151"/>
      <c r="AS626" s="151"/>
      <c r="AT626" s="151"/>
      <c r="AU626" s="151"/>
      <c r="AV626" s="151"/>
      <c r="AW626" s="151"/>
      <c r="AX626" s="151"/>
      <c r="AY626" s="151"/>
      <c r="AZ626" s="151"/>
      <c r="BA626" s="151"/>
      <c r="BB626" s="151"/>
      <c r="BC626" s="151"/>
      <c r="BD626" s="151"/>
      <c r="BE626" s="151"/>
      <c r="BF626" s="151"/>
      <c r="BG626" s="151"/>
      <c r="BH626" s="151"/>
      <c r="BI626" s="151"/>
      <c r="BJ626" s="151"/>
      <c r="BK626" s="151"/>
      <c r="BL626" s="151"/>
      <c r="BM626" s="151"/>
      <c r="BN626" s="151"/>
      <c r="BO626" s="151"/>
      <c r="BP626" s="151"/>
      <c r="BQ626" s="151"/>
      <c r="BR626" s="151"/>
      <c r="BS626" s="151"/>
      <c r="BT626" s="151"/>
      <c r="BU626" s="151"/>
      <c r="BV626" s="151"/>
      <c r="BW626" s="151"/>
      <c r="BX626" s="151"/>
      <c r="BY626" s="151"/>
    </row>
    <row r="627" spans="1:77" s="19" customFormat="1" x14ac:dyDescent="0.15">
      <c r="A627" s="151">
        <v>1301010013</v>
      </c>
      <c r="B627" s="157" t="s">
        <v>564</v>
      </c>
      <c r="C627" s="151" t="s">
        <v>89</v>
      </c>
      <c r="D627" s="151"/>
      <c r="E627" s="151" t="s">
        <v>78</v>
      </c>
      <c r="F627" s="151"/>
      <c r="G627" s="151"/>
      <c r="H627" s="151"/>
      <c r="I627" s="151"/>
      <c r="J627" s="165"/>
      <c r="K627" s="165"/>
      <c r="L627" s="165"/>
      <c r="M627" s="165"/>
      <c r="N627" s="165"/>
      <c r="O627" s="151" t="s">
        <v>90</v>
      </c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  <c r="AB627" s="151"/>
      <c r="AC627" s="151"/>
      <c r="AD627" s="151">
        <v>1301010201</v>
      </c>
      <c r="AE627" s="151"/>
      <c r="AF627" s="151"/>
      <c r="AG627" s="151"/>
      <c r="AH627" s="151"/>
      <c r="AI627" s="151"/>
      <c r="AJ627" s="151"/>
      <c r="AK627" s="151"/>
      <c r="AL627" s="151"/>
      <c r="AM627" s="151"/>
      <c r="AN627" s="151"/>
      <c r="AO627" s="151"/>
      <c r="AP627" s="151"/>
      <c r="AQ627" s="151"/>
      <c r="AR627" s="151"/>
      <c r="AS627" s="151"/>
      <c r="AT627" s="151"/>
      <c r="AU627" s="151"/>
      <c r="AV627" s="151"/>
      <c r="AW627" s="151"/>
      <c r="AX627" s="151"/>
      <c r="AY627" s="151"/>
      <c r="AZ627" s="151"/>
      <c r="BA627" s="151"/>
      <c r="BB627" s="151"/>
      <c r="BC627" s="151"/>
      <c r="BD627" s="151"/>
      <c r="BE627" s="151"/>
      <c r="BF627" s="151"/>
      <c r="BG627" s="151"/>
      <c r="BH627" s="151"/>
      <c r="BI627" s="151"/>
      <c r="BJ627" s="151"/>
      <c r="BK627" s="151"/>
      <c r="BL627" s="151"/>
      <c r="BM627" s="151"/>
      <c r="BN627" s="151"/>
      <c r="BO627" s="151"/>
      <c r="BP627" s="151"/>
      <c r="BQ627" s="151"/>
      <c r="BR627" s="151"/>
      <c r="BS627" s="151"/>
      <c r="BT627" s="151"/>
      <c r="BU627" s="151"/>
      <c r="BV627" s="151"/>
      <c r="BW627" s="151"/>
      <c r="BX627" s="151"/>
      <c r="BY627" s="151"/>
    </row>
    <row r="628" spans="1:77" s="19" customFormat="1" x14ac:dyDescent="0.15">
      <c r="A628" s="151">
        <v>1301010023</v>
      </c>
      <c r="B628" s="157" t="s">
        <v>564</v>
      </c>
      <c r="C628" s="151" t="s">
        <v>89</v>
      </c>
      <c r="D628" s="151"/>
      <c r="E628" s="151" t="s">
        <v>78</v>
      </c>
      <c r="F628" s="151"/>
      <c r="G628" s="151"/>
      <c r="H628" s="151"/>
      <c r="I628" s="151"/>
      <c r="J628" s="165"/>
      <c r="K628" s="165"/>
      <c r="L628" s="165"/>
      <c r="M628" s="165"/>
      <c r="N628" s="165"/>
      <c r="O628" s="151" t="s">
        <v>90</v>
      </c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  <c r="AB628" s="151"/>
      <c r="AC628" s="151"/>
      <c r="AD628" s="151">
        <v>1301010202</v>
      </c>
      <c r="AE628" s="151"/>
      <c r="AF628" s="151"/>
      <c r="AG628" s="151"/>
      <c r="AH628" s="151"/>
      <c r="AI628" s="151"/>
      <c r="AJ628" s="151"/>
      <c r="AK628" s="151"/>
      <c r="AL628" s="151"/>
      <c r="AM628" s="151"/>
      <c r="AN628" s="151"/>
      <c r="AO628" s="151"/>
      <c r="AP628" s="151"/>
      <c r="AQ628" s="151"/>
      <c r="AR628" s="151"/>
      <c r="AS628" s="151"/>
      <c r="AT628" s="151"/>
      <c r="AU628" s="151"/>
      <c r="AV628" s="151"/>
      <c r="AW628" s="151"/>
      <c r="AX628" s="151"/>
      <c r="AY628" s="151"/>
      <c r="AZ628" s="151"/>
      <c r="BA628" s="151"/>
      <c r="BB628" s="151"/>
      <c r="BC628" s="151"/>
      <c r="BD628" s="151"/>
      <c r="BE628" s="151"/>
      <c r="BF628" s="151"/>
      <c r="BG628" s="151"/>
      <c r="BH628" s="151"/>
      <c r="BI628" s="151"/>
      <c r="BJ628" s="151"/>
      <c r="BK628" s="151"/>
      <c r="BL628" s="151"/>
      <c r="BM628" s="151"/>
      <c r="BN628" s="151"/>
      <c r="BO628" s="151"/>
      <c r="BP628" s="151"/>
      <c r="BQ628" s="151"/>
      <c r="BR628" s="151"/>
      <c r="BS628" s="151"/>
      <c r="BT628" s="151"/>
      <c r="BU628" s="151"/>
      <c r="BV628" s="151"/>
      <c r="BW628" s="151"/>
      <c r="BX628" s="151"/>
      <c r="BY628" s="151"/>
    </row>
    <row r="629" spans="1:77" s="19" customFormat="1" x14ac:dyDescent="0.15">
      <c r="A629" s="151">
        <v>1301010033</v>
      </c>
      <c r="B629" s="157" t="s">
        <v>564</v>
      </c>
      <c r="C629" s="151" t="s">
        <v>89</v>
      </c>
      <c r="D629" s="151"/>
      <c r="E629" s="151" t="s">
        <v>78</v>
      </c>
      <c r="F629" s="151"/>
      <c r="G629" s="151"/>
      <c r="H629" s="151"/>
      <c r="I629" s="151"/>
      <c r="J629" s="165"/>
      <c r="K629" s="165"/>
      <c r="L629" s="165"/>
      <c r="M629" s="165"/>
      <c r="N629" s="165"/>
      <c r="O629" s="151" t="s">
        <v>90</v>
      </c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  <c r="AB629" s="151"/>
      <c r="AC629" s="151"/>
      <c r="AD629" s="151">
        <v>1301010203</v>
      </c>
      <c r="AE629" s="151"/>
      <c r="AF629" s="151"/>
      <c r="AG629" s="151"/>
      <c r="AH629" s="151"/>
      <c r="AI629" s="151"/>
      <c r="AJ629" s="151"/>
      <c r="AK629" s="151"/>
      <c r="AL629" s="151"/>
      <c r="AM629" s="151"/>
      <c r="AN629" s="151"/>
      <c r="AO629" s="151"/>
      <c r="AP629" s="151"/>
      <c r="AQ629" s="151"/>
      <c r="AR629" s="151"/>
      <c r="AS629" s="151"/>
      <c r="AT629" s="151"/>
      <c r="AU629" s="151"/>
      <c r="AV629" s="151"/>
      <c r="AW629" s="151"/>
      <c r="AX629" s="151"/>
      <c r="AY629" s="151"/>
      <c r="AZ629" s="151"/>
      <c r="BA629" s="151"/>
      <c r="BB629" s="151"/>
      <c r="BC629" s="151"/>
      <c r="BD629" s="151"/>
      <c r="BE629" s="151"/>
      <c r="BF629" s="151"/>
      <c r="BG629" s="151"/>
      <c r="BH629" s="151"/>
      <c r="BI629" s="151"/>
      <c r="BJ629" s="151"/>
      <c r="BK629" s="151"/>
      <c r="BL629" s="151"/>
      <c r="BM629" s="151"/>
      <c r="BN629" s="151"/>
      <c r="BO629" s="151"/>
      <c r="BP629" s="151"/>
      <c r="BQ629" s="151"/>
      <c r="BR629" s="151"/>
      <c r="BS629" s="151"/>
      <c r="BT629" s="151"/>
      <c r="BU629" s="151"/>
      <c r="BV629" s="151"/>
      <c r="BW629" s="151"/>
      <c r="BX629" s="151"/>
      <c r="BY629" s="151"/>
    </row>
    <row r="630" spans="1:77" s="19" customFormat="1" x14ac:dyDescent="0.15">
      <c r="A630" s="151">
        <v>1301010043</v>
      </c>
      <c r="B630" s="157" t="s">
        <v>564</v>
      </c>
      <c r="C630" s="151" t="s">
        <v>89</v>
      </c>
      <c r="D630" s="151"/>
      <c r="E630" s="151" t="s">
        <v>78</v>
      </c>
      <c r="F630" s="151"/>
      <c r="G630" s="151"/>
      <c r="H630" s="151"/>
      <c r="I630" s="151"/>
      <c r="J630" s="165"/>
      <c r="K630" s="165"/>
      <c r="L630" s="165"/>
      <c r="M630" s="165"/>
      <c r="N630" s="165"/>
      <c r="O630" s="151" t="s">
        <v>90</v>
      </c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  <c r="AB630" s="151"/>
      <c r="AC630" s="151"/>
      <c r="AD630" s="151">
        <v>1301010204</v>
      </c>
      <c r="AE630" s="151"/>
      <c r="AF630" s="151"/>
      <c r="AG630" s="151"/>
      <c r="AH630" s="151"/>
      <c r="AI630" s="151"/>
      <c r="AJ630" s="151"/>
      <c r="AK630" s="151"/>
      <c r="AL630" s="151"/>
      <c r="AM630" s="151"/>
      <c r="AN630" s="151"/>
      <c r="AO630" s="151"/>
      <c r="AP630" s="151"/>
      <c r="AQ630" s="151"/>
      <c r="AR630" s="151"/>
      <c r="AS630" s="151"/>
      <c r="AT630" s="151"/>
      <c r="AU630" s="151"/>
      <c r="AV630" s="151"/>
      <c r="AW630" s="151"/>
      <c r="AX630" s="151"/>
      <c r="AY630" s="151"/>
      <c r="AZ630" s="151"/>
      <c r="BA630" s="151"/>
      <c r="BB630" s="151"/>
      <c r="BC630" s="151"/>
      <c r="BD630" s="151"/>
      <c r="BE630" s="151"/>
      <c r="BF630" s="151"/>
      <c r="BG630" s="151"/>
      <c r="BH630" s="151"/>
      <c r="BI630" s="151"/>
      <c r="BJ630" s="151"/>
      <c r="BK630" s="151"/>
      <c r="BL630" s="151"/>
      <c r="BM630" s="151"/>
      <c r="BN630" s="151"/>
      <c r="BO630" s="151"/>
      <c r="BP630" s="151"/>
      <c r="BQ630" s="151"/>
      <c r="BR630" s="151"/>
      <c r="BS630" s="151"/>
      <c r="BT630" s="151"/>
      <c r="BU630" s="151"/>
      <c r="BV630" s="151"/>
      <c r="BW630" s="151"/>
      <c r="BX630" s="151"/>
      <c r="BY630" s="151"/>
    </row>
    <row r="631" spans="1:77" s="19" customFormat="1" x14ac:dyDescent="0.15">
      <c r="A631" s="151">
        <v>1301020011</v>
      </c>
      <c r="B631" s="157" t="s">
        <v>565</v>
      </c>
      <c r="C631" s="151" t="s">
        <v>89</v>
      </c>
      <c r="D631" s="151"/>
      <c r="E631" s="151" t="s">
        <v>78</v>
      </c>
      <c r="F631" s="151"/>
      <c r="G631" s="151"/>
      <c r="H631" s="151"/>
      <c r="I631" s="151"/>
      <c r="J631" s="165"/>
      <c r="K631" s="165"/>
      <c r="L631" s="165"/>
      <c r="M631" s="165"/>
      <c r="N631" s="165"/>
      <c r="O631" s="151" t="s">
        <v>90</v>
      </c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  <c r="AB631" s="151"/>
      <c r="AC631" s="151"/>
      <c r="AD631" s="151">
        <v>1301020101</v>
      </c>
      <c r="AE631" s="151"/>
      <c r="AF631" s="151"/>
      <c r="AG631" s="151"/>
      <c r="AH631" s="151"/>
      <c r="AI631" s="151"/>
      <c r="AJ631" s="151"/>
      <c r="AK631" s="151"/>
      <c r="AL631" s="151"/>
      <c r="AM631" s="151"/>
      <c r="AN631" s="151"/>
      <c r="AO631" s="151"/>
      <c r="AP631" s="151"/>
      <c r="AQ631" s="151"/>
      <c r="AR631" s="151"/>
      <c r="AS631" s="151"/>
      <c r="AT631" s="151"/>
      <c r="AU631" s="151"/>
      <c r="AV631" s="151"/>
      <c r="AW631" s="151"/>
      <c r="AX631" s="151"/>
      <c r="AY631" s="151"/>
      <c r="AZ631" s="151"/>
      <c r="BA631" s="151"/>
      <c r="BB631" s="151"/>
      <c r="BC631" s="151"/>
      <c r="BD631" s="151"/>
      <c r="BE631" s="151"/>
      <c r="BF631" s="151"/>
      <c r="BG631" s="151"/>
      <c r="BH631" s="151"/>
      <c r="BI631" s="151"/>
      <c r="BJ631" s="151"/>
      <c r="BK631" s="151"/>
      <c r="BL631" s="151"/>
      <c r="BM631" s="151"/>
      <c r="BN631" s="151"/>
      <c r="BO631" s="151"/>
      <c r="BP631" s="151"/>
      <c r="BQ631" s="151"/>
      <c r="BR631" s="151"/>
      <c r="BS631" s="151"/>
      <c r="BT631" s="151"/>
      <c r="BU631" s="151"/>
      <c r="BV631" s="151"/>
      <c r="BW631" s="151"/>
      <c r="BX631" s="151"/>
      <c r="BY631" s="151"/>
    </row>
    <row r="632" spans="1:77" s="19" customFormat="1" x14ac:dyDescent="0.15">
      <c r="A632" s="151">
        <v>1301020021</v>
      </c>
      <c r="B632" s="157" t="s">
        <v>565</v>
      </c>
      <c r="C632" s="151" t="s">
        <v>89</v>
      </c>
      <c r="D632" s="151"/>
      <c r="E632" s="151" t="s">
        <v>78</v>
      </c>
      <c r="F632" s="151"/>
      <c r="G632" s="151"/>
      <c r="H632" s="151"/>
      <c r="I632" s="151"/>
      <c r="J632" s="165"/>
      <c r="K632" s="165"/>
      <c r="L632" s="165"/>
      <c r="M632" s="165"/>
      <c r="N632" s="165"/>
      <c r="O632" s="151" t="s">
        <v>90</v>
      </c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  <c r="AB632" s="151"/>
      <c r="AC632" s="151"/>
      <c r="AD632" s="151">
        <v>1301020102</v>
      </c>
      <c r="AE632" s="151"/>
      <c r="AF632" s="151"/>
      <c r="AG632" s="151"/>
      <c r="AH632" s="151"/>
      <c r="AI632" s="151"/>
      <c r="AJ632" s="151"/>
      <c r="AK632" s="151"/>
      <c r="AL632" s="151"/>
      <c r="AM632" s="151"/>
      <c r="AN632" s="151"/>
      <c r="AO632" s="151"/>
      <c r="AP632" s="151"/>
      <c r="AQ632" s="151"/>
      <c r="AR632" s="151"/>
      <c r="AS632" s="151"/>
      <c r="AT632" s="151"/>
      <c r="AU632" s="151"/>
      <c r="AV632" s="151"/>
      <c r="AW632" s="151"/>
      <c r="AX632" s="151"/>
      <c r="AY632" s="151"/>
      <c r="AZ632" s="151"/>
      <c r="BA632" s="151"/>
      <c r="BB632" s="151"/>
      <c r="BC632" s="151"/>
      <c r="BD632" s="151"/>
      <c r="BE632" s="151"/>
      <c r="BF632" s="151"/>
      <c r="BG632" s="151"/>
      <c r="BH632" s="151"/>
      <c r="BI632" s="151"/>
      <c r="BJ632" s="151"/>
      <c r="BK632" s="151"/>
      <c r="BL632" s="151"/>
      <c r="BM632" s="151"/>
      <c r="BN632" s="151"/>
      <c r="BO632" s="151"/>
      <c r="BP632" s="151"/>
      <c r="BQ632" s="151"/>
      <c r="BR632" s="151"/>
      <c r="BS632" s="151"/>
      <c r="BT632" s="151"/>
      <c r="BU632" s="151"/>
      <c r="BV632" s="151"/>
      <c r="BW632" s="151"/>
      <c r="BX632" s="151"/>
      <c r="BY632" s="151"/>
    </row>
    <row r="633" spans="1:77" s="19" customFormat="1" x14ac:dyDescent="0.15">
      <c r="A633" s="151">
        <v>1301020031</v>
      </c>
      <c r="B633" s="157" t="s">
        <v>565</v>
      </c>
      <c r="C633" s="151" t="s">
        <v>89</v>
      </c>
      <c r="D633" s="151"/>
      <c r="E633" s="151" t="s">
        <v>78</v>
      </c>
      <c r="F633" s="151"/>
      <c r="G633" s="151"/>
      <c r="H633" s="151"/>
      <c r="I633" s="151"/>
      <c r="J633" s="165"/>
      <c r="K633" s="165"/>
      <c r="L633" s="165"/>
      <c r="M633" s="165"/>
      <c r="N633" s="165"/>
      <c r="O633" s="151" t="s">
        <v>90</v>
      </c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  <c r="AB633" s="151"/>
      <c r="AC633" s="151"/>
      <c r="AD633" s="151">
        <v>1301020103</v>
      </c>
      <c r="AE633" s="151"/>
      <c r="AF633" s="151"/>
      <c r="AG633" s="151"/>
      <c r="AH633" s="151"/>
      <c r="AI633" s="151"/>
      <c r="AJ633" s="151"/>
      <c r="AK633" s="151"/>
      <c r="AL633" s="151"/>
      <c r="AM633" s="151"/>
      <c r="AN633" s="151"/>
      <c r="AO633" s="151"/>
      <c r="AP633" s="151"/>
      <c r="AQ633" s="151"/>
      <c r="AR633" s="151"/>
      <c r="AS633" s="151"/>
      <c r="AT633" s="151"/>
      <c r="AU633" s="151"/>
      <c r="AV633" s="151"/>
      <c r="AW633" s="151"/>
      <c r="AX633" s="151"/>
      <c r="AY633" s="151"/>
      <c r="AZ633" s="151"/>
      <c r="BA633" s="151"/>
      <c r="BB633" s="151"/>
      <c r="BC633" s="151"/>
      <c r="BD633" s="151"/>
      <c r="BE633" s="151"/>
      <c r="BF633" s="151"/>
      <c r="BG633" s="151"/>
      <c r="BH633" s="151"/>
      <c r="BI633" s="151"/>
      <c r="BJ633" s="151"/>
      <c r="BK633" s="151"/>
      <c r="BL633" s="151"/>
      <c r="BM633" s="151"/>
      <c r="BN633" s="151"/>
      <c r="BO633" s="151"/>
      <c r="BP633" s="151"/>
      <c r="BQ633" s="151"/>
      <c r="BR633" s="151"/>
      <c r="BS633" s="151"/>
      <c r="BT633" s="151"/>
      <c r="BU633" s="151"/>
      <c r="BV633" s="151"/>
      <c r="BW633" s="151"/>
      <c r="BX633" s="151"/>
      <c r="BY633" s="151"/>
    </row>
    <row r="634" spans="1:77" s="19" customFormat="1" x14ac:dyDescent="0.15">
      <c r="A634" s="151">
        <v>1301020041</v>
      </c>
      <c r="B634" s="157" t="s">
        <v>565</v>
      </c>
      <c r="C634" s="151" t="s">
        <v>89</v>
      </c>
      <c r="D634" s="151"/>
      <c r="E634" s="151" t="s">
        <v>78</v>
      </c>
      <c r="F634" s="151"/>
      <c r="G634" s="151"/>
      <c r="H634" s="151"/>
      <c r="I634" s="151"/>
      <c r="J634" s="165"/>
      <c r="K634" s="165"/>
      <c r="L634" s="165"/>
      <c r="M634" s="165"/>
      <c r="N634" s="165"/>
      <c r="O634" s="151" t="s">
        <v>90</v>
      </c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  <c r="AB634" s="151"/>
      <c r="AC634" s="151"/>
      <c r="AD634" s="151">
        <v>1301020104</v>
      </c>
      <c r="AE634" s="151"/>
      <c r="AF634" s="151"/>
      <c r="AG634" s="151"/>
      <c r="AH634" s="151"/>
      <c r="AI634" s="151"/>
      <c r="AJ634" s="151"/>
      <c r="AK634" s="151"/>
      <c r="AL634" s="151"/>
      <c r="AM634" s="151"/>
      <c r="AN634" s="151"/>
      <c r="AO634" s="151"/>
      <c r="AP634" s="151"/>
      <c r="AQ634" s="151"/>
      <c r="AR634" s="151"/>
      <c r="AS634" s="151"/>
      <c r="AT634" s="151"/>
      <c r="AU634" s="151"/>
      <c r="AV634" s="151"/>
      <c r="AW634" s="151"/>
      <c r="AX634" s="151"/>
      <c r="AY634" s="151"/>
      <c r="AZ634" s="151"/>
      <c r="BA634" s="151"/>
      <c r="BB634" s="151"/>
      <c r="BC634" s="151"/>
      <c r="BD634" s="151"/>
      <c r="BE634" s="151"/>
      <c r="BF634" s="151"/>
      <c r="BG634" s="151"/>
      <c r="BH634" s="151"/>
      <c r="BI634" s="151"/>
      <c r="BJ634" s="151"/>
      <c r="BK634" s="151"/>
      <c r="BL634" s="151"/>
      <c r="BM634" s="151"/>
      <c r="BN634" s="151"/>
      <c r="BO634" s="151"/>
      <c r="BP634" s="151"/>
      <c r="BQ634" s="151"/>
      <c r="BR634" s="151"/>
      <c r="BS634" s="151"/>
      <c r="BT634" s="151"/>
      <c r="BU634" s="151"/>
      <c r="BV634" s="151"/>
      <c r="BW634" s="151"/>
      <c r="BX634" s="151"/>
      <c r="BY634" s="151"/>
    </row>
    <row r="635" spans="1:77" s="19" customFormat="1" x14ac:dyDescent="0.15">
      <c r="A635" s="151">
        <v>1301020012</v>
      </c>
      <c r="B635" s="157" t="s">
        <v>566</v>
      </c>
      <c r="C635" s="151" t="s">
        <v>100</v>
      </c>
      <c r="D635" s="151"/>
      <c r="E635" s="151" t="s">
        <v>83</v>
      </c>
      <c r="F635" s="151">
        <v>50000</v>
      </c>
      <c r="G635" s="151"/>
      <c r="H635" s="151"/>
      <c r="I635" s="151"/>
      <c r="J635" s="165"/>
      <c r="K635" s="165"/>
      <c r="L635" s="165"/>
      <c r="M635" s="165" t="s">
        <v>101</v>
      </c>
      <c r="N635" s="165"/>
      <c r="O635" s="151" t="s">
        <v>79</v>
      </c>
      <c r="P635" s="151" t="s">
        <v>102</v>
      </c>
      <c r="Q635" s="151">
        <v>30</v>
      </c>
      <c r="R635" s="151">
        <v>500</v>
      </c>
      <c r="S635" s="151"/>
      <c r="T635" s="151"/>
      <c r="U635" s="151">
        <v>5000</v>
      </c>
      <c r="V635" s="151"/>
      <c r="W635" s="151"/>
      <c r="X635" s="151"/>
      <c r="Y635" s="151"/>
      <c r="Z635" s="151"/>
      <c r="AA635" s="151"/>
      <c r="AB635" s="151"/>
      <c r="AC635" s="151"/>
      <c r="AD635" s="151"/>
      <c r="AE635" s="151"/>
      <c r="AF635" s="151"/>
      <c r="AG635" s="151"/>
      <c r="AH635" s="151"/>
      <c r="AI635" s="151"/>
      <c r="AJ635" s="151"/>
      <c r="AK635" s="151"/>
      <c r="AL635" s="151"/>
      <c r="AM635" s="151"/>
      <c r="AN635" s="151"/>
      <c r="AO635" s="151"/>
      <c r="AP635" s="151"/>
      <c r="AQ635" s="151"/>
      <c r="AR635" s="151"/>
      <c r="AS635" s="151"/>
      <c r="AT635" s="151"/>
      <c r="AU635" s="151"/>
      <c r="AV635" s="151"/>
      <c r="AW635" s="151"/>
      <c r="AX635" s="151"/>
      <c r="AY635" s="151"/>
      <c r="AZ635" s="151"/>
      <c r="BA635" s="151"/>
      <c r="BB635" s="151"/>
      <c r="BC635" s="151"/>
      <c r="BD635" s="151"/>
      <c r="BE635" s="151"/>
      <c r="BF635" s="151"/>
      <c r="BG635" s="151"/>
      <c r="BH635" s="151"/>
      <c r="BI635" s="151"/>
      <c r="BJ635" s="151"/>
      <c r="BK635" s="151"/>
      <c r="BL635" s="151"/>
      <c r="BM635" s="151"/>
      <c r="BN635" s="151"/>
      <c r="BO635" s="151"/>
      <c r="BP635" s="151"/>
      <c r="BQ635" s="151"/>
      <c r="BR635" s="151"/>
      <c r="BS635" s="151"/>
      <c r="BT635" s="151"/>
      <c r="BU635" s="151"/>
      <c r="BV635" s="151"/>
      <c r="BW635" s="151"/>
      <c r="BX635" s="151"/>
      <c r="BY635" s="151"/>
    </row>
    <row r="636" spans="1:77" s="19" customFormat="1" x14ac:dyDescent="0.15">
      <c r="A636" s="151">
        <v>1301020022</v>
      </c>
      <c r="B636" s="157" t="s">
        <v>566</v>
      </c>
      <c r="C636" s="151" t="s">
        <v>100</v>
      </c>
      <c r="D636" s="151"/>
      <c r="E636" s="151" t="s">
        <v>83</v>
      </c>
      <c r="F636" s="151">
        <v>50000</v>
      </c>
      <c r="G636" s="151"/>
      <c r="H636" s="151"/>
      <c r="I636" s="151"/>
      <c r="J636" s="165"/>
      <c r="K636" s="165"/>
      <c r="L636" s="165"/>
      <c r="M636" s="165" t="s">
        <v>101</v>
      </c>
      <c r="N636" s="165"/>
      <c r="O636" s="151" t="s">
        <v>79</v>
      </c>
      <c r="P636" s="151" t="s">
        <v>102</v>
      </c>
      <c r="Q636" s="151">
        <v>45</v>
      </c>
      <c r="R636" s="151">
        <v>500</v>
      </c>
      <c r="S636" s="151"/>
      <c r="T636" s="151"/>
      <c r="U636" s="151">
        <v>5000</v>
      </c>
      <c r="V636" s="151"/>
      <c r="W636" s="151"/>
      <c r="X636" s="151"/>
      <c r="Y636" s="151"/>
      <c r="Z636" s="151"/>
      <c r="AA636" s="151"/>
      <c r="AB636" s="151"/>
      <c r="AC636" s="151"/>
      <c r="AD636" s="151"/>
      <c r="AE636" s="151"/>
      <c r="AF636" s="151"/>
      <c r="AG636" s="151"/>
      <c r="AH636" s="151"/>
      <c r="AI636" s="151"/>
      <c r="AJ636" s="151"/>
      <c r="AK636" s="151"/>
      <c r="AL636" s="151"/>
      <c r="AM636" s="151"/>
      <c r="AN636" s="151"/>
      <c r="AO636" s="151"/>
      <c r="AP636" s="151"/>
      <c r="AQ636" s="151"/>
      <c r="AR636" s="151"/>
      <c r="AS636" s="151"/>
      <c r="AT636" s="151"/>
      <c r="AU636" s="151"/>
      <c r="AV636" s="151"/>
      <c r="AW636" s="151"/>
      <c r="AX636" s="151"/>
      <c r="AY636" s="151"/>
      <c r="AZ636" s="151"/>
      <c r="BA636" s="151"/>
      <c r="BB636" s="151"/>
      <c r="BC636" s="151"/>
      <c r="BD636" s="151"/>
      <c r="BE636" s="151"/>
      <c r="BF636" s="151"/>
      <c r="BG636" s="151"/>
      <c r="BH636" s="151"/>
      <c r="BI636" s="151"/>
      <c r="BJ636" s="151"/>
      <c r="BK636" s="151"/>
      <c r="BL636" s="151"/>
      <c r="BM636" s="151"/>
      <c r="BN636" s="151"/>
      <c r="BO636" s="151"/>
      <c r="BP636" s="151"/>
      <c r="BQ636" s="151"/>
      <c r="BR636" s="151"/>
      <c r="BS636" s="151"/>
      <c r="BT636" s="151"/>
      <c r="BU636" s="151"/>
      <c r="BV636" s="151"/>
      <c r="BW636" s="151"/>
      <c r="BX636" s="151"/>
      <c r="BY636" s="151"/>
    </row>
    <row r="637" spans="1:77" s="19" customFormat="1" x14ac:dyDescent="0.15">
      <c r="A637" s="151">
        <v>1301020032</v>
      </c>
      <c r="B637" s="157" t="s">
        <v>566</v>
      </c>
      <c r="C637" s="151" t="s">
        <v>100</v>
      </c>
      <c r="D637" s="151"/>
      <c r="E637" s="151" t="s">
        <v>83</v>
      </c>
      <c r="F637" s="151">
        <v>50000</v>
      </c>
      <c r="G637" s="151"/>
      <c r="H637" s="151"/>
      <c r="I637" s="151"/>
      <c r="J637" s="165"/>
      <c r="K637" s="165"/>
      <c r="L637" s="165"/>
      <c r="M637" s="165" t="s">
        <v>101</v>
      </c>
      <c r="N637" s="165"/>
      <c r="O637" s="151" t="s">
        <v>79</v>
      </c>
      <c r="P637" s="151" t="s">
        <v>102</v>
      </c>
      <c r="Q637" s="151">
        <v>60</v>
      </c>
      <c r="R637" s="151">
        <v>500</v>
      </c>
      <c r="S637" s="151"/>
      <c r="T637" s="151"/>
      <c r="U637" s="151">
        <v>5000</v>
      </c>
      <c r="V637" s="151"/>
      <c r="W637" s="151"/>
      <c r="X637" s="151"/>
      <c r="Y637" s="151"/>
      <c r="Z637" s="151"/>
      <c r="AA637" s="151"/>
      <c r="AB637" s="151"/>
      <c r="AC637" s="151"/>
      <c r="AD637" s="151"/>
      <c r="AE637" s="151"/>
      <c r="AF637" s="151"/>
      <c r="AG637" s="151"/>
      <c r="AH637" s="151"/>
      <c r="AI637" s="151"/>
      <c r="AJ637" s="151"/>
      <c r="AK637" s="151"/>
      <c r="AL637" s="151"/>
      <c r="AM637" s="151"/>
      <c r="AN637" s="151"/>
      <c r="AO637" s="151"/>
      <c r="AP637" s="151"/>
      <c r="AQ637" s="151"/>
      <c r="AR637" s="151"/>
      <c r="AS637" s="151"/>
      <c r="AT637" s="151"/>
      <c r="AU637" s="151"/>
      <c r="AV637" s="151"/>
      <c r="AW637" s="151"/>
      <c r="AX637" s="151"/>
      <c r="AY637" s="151"/>
      <c r="AZ637" s="151"/>
      <c r="BA637" s="151"/>
      <c r="BB637" s="151"/>
      <c r="BC637" s="151"/>
      <c r="BD637" s="151"/>
      <c r="BE637" s="151"/>
      <c r="BF637" s="151"/>
      <c r="BG637" s="151"/>
      <c r="BH637" s="151"/>
      <c r="BI637" s="151"/>
      <c r="BJ637" s="151"/>
      <c r="BK637" s="151"/>
      <c r="BL637" s="151"/>
      <c r="BM637" s="151"/>
      <c r="BN637" s="151"/>
      <c r="BO637" s="151"/>
      <c r="BP637" s="151"/>
      <c r="BQ637" s="151"/>
      <c r="BR637" s="151"/>
      <c r="BS637" s="151"/>
      <c r="BT637" s="151"/>
      <c r="BU637" s="151"/>
      <c r="BV637" s="151"/>
      <c r="BW637" s="151"/>
      <c r="BX637" s="151"/>
      <c r="BY637" s="151"/>
    </row>
    <row r="638" spans="1:77" s="19" customFormat="1" x14ac:dyDescent="0.15">
      <c r="A638" s="151">
        <v>1301020042</v>
      </c>
      <c r="B638" s="157" t="s">
        <v>566</v>
      </c>
      <c r="C638" s="151" t="s">
        <v>100</v>
      </c>
      <c r="D638" s="151"/>
      <c r="E638" s="151" t="s">
        <v>83</v>
      </c>
      <c r="F638" s="151">
        <v>50000</v>
      </c>
      <c r="G638" s="151"/>
      <c r="H638" s="151"/>
      <c r="I638" s="151"/>
      <c r="J638" s="165"/>
      <c r="K638" s="165"/>
      <c r="L638" s="165"/>
      <c r="M638" s="165" t="s">
        <v>101</v>
      </c>
      <c r="N638" s="165"/>
      <c r="O638" s="151" t="s">
        <v>79</v>
      </c>
      <c r="P638" s="151" t="s">
        <v>102</v>
      </c>
      <c r="Q638" s="151">
        <v>75</v>
      </c>
      <c r="R638" s="151">
        <v>500</v>
      </c>
      <c r="S638" s="151"/>
      <c r="T638" s="151"/>
      <c r="U638" s="151">
        <v>5000</v>
      </c>
      <c r="V638" s="151"/>
      <c r="W638" s="151"/>
      <c r="X638" s="151"/>
      <c r="Y638" s="151"/>
      <c r="Z638" s="151"/>
      <c r="AA638" s="151"/>
      <c r="AB638" s="151"/>
      <c r="AC638" s="151"/>
      <c r="AD638" s="151"/>
      <c r="AE638" s="151"/>
      <c r="AF638" s="151"/>
      <c r="AG638" s="151"/>
      <c r="AH638" s="151"/>
      <c r="AI638" s="151"/>
      <c r="AJ638" s="151"/>
      <c r="AK638" s="151"/>
      <c r="AL638" s="151"/>
      <c r="AM638" s="151"/>
      <c r="AN638" s="151"/>
      <c r="AO638" s="151"/>
      <c r="AP638" s="151"/>
      <c r="AQ638" s="151"/>
      <c r="AR638" s="151"/>
      <c r="AS638" s="151"/>
      <c r="AT638" s="151"/>
      <c r="AU638" s="151"/>
      <c r="AV638" s="151"/>
      <c r="AW638" s="151"/>
      <c r="AX638" s="151"/>
      <c r="AY638" s="151"/>
      <c r="AZ638" s="151"/>
      <c r="BA638" s="151"/>
      <c r="BB638" s="151"/>
      <c r="BC638" s="151"/>
      <c r="BD638" s="151"/>
      <c r="BE638" s="151"/>
      <c r="BF638" s="151"/>
      <c r="BG638" s="151"/>
      <c r="BH638" s="151"/>
      <c r="BI638" s="151"/>
      <c r="BJ638" s="151"/>
      <c r="BK638" s="151"/>
      <c r="BL638" s="151"/>
      <c r="BM638" s="151"/>
      <c r="BN638" s="151"/>
      <c r="BO638" s="151"/>
      <c r="BP638" s="151"/>
      <c r="BQ638" s="151"/>
      <c r="BR638" s="151"/>
      <c r="BS638" s="151"/>
      <c r="BT638" s="151"/>
      <c r="BU638" s="151"/>
      <c r="BV638" s="151"/>
      <c r="BW638" s="151"/>
      <c r="BX638" s="151"/>
      <c r="BY638" s="151"/>
    </row>
    <row r="639" spans="1:77" s="19" customFormat="1" x14ac:dyDescent="0.15">
      <c r="A639" s="151">
        <v>1301040011</v>
      </c>
      <c r="B639" s="157" t="s">
        <v>567</v>
      </c>
      <c r="C639" s="151" t="s">
        <v>100</v>
      </c>
      <c r="D639" s="151"/>
      <c r="E639" s="151" t="s">
        <v>83</v>
      </c>
      <c r="F639" s="151">
        <v>70000</v>
      </c>
      <c r="G639" s="151"/>
      <c r="H639" s="151"/>
      <c r="I639" s="151"/>
      <c r="J639" s="165"/>
      <c r="K639" s="165"/>
      <c r="L639" s="165"/>
      <c r="M639" s="165" t="s">
        <v>101</v>
      </c>
      <c r="N639" s="165"/>
      <c r="O639" s="151" t="s">
        <v>79</v>
      </c>
      <c r="P639" s="151" t="s">
        <v>80</v>
      </c>
      <c r="Q639" s="151">
        <v>250</v>
      </c>
      <c r="R639" s="151">
        <v>3000</v>
      </c>
      <c r="S639" s="151"/>
      <c r="T639" s="151"/>
      <c r="U639" s="151"/>
      <c r="V639" s="151"/>
      <c r="W639" s="151"/>
      <c r="X639" s="151"/>
      <c r="Y639" s="151"/>
      <c r="Z639" s="151"/>
      <c r="AA639" s="151"/>
      <c r="AB639" s="151"/>
      <c r="AC639" s="151"/>
      <c r="AD639" s="151"/>
      <c r="AE639" s="151"/>
      <c r="AF639" s="151"/>
      <c r="AG639" s="151"/>
      <c r="AH639" s="151"/>
      <c r="AI639" s="151"/>
      <c r="AJ639" s="151"/>
      <c r="AK639" s="151"/>
      <c r="AL639" s="151"/>
      <c r="AM639" s="151"/>
      <c r="AN639" s="151"/>
      <c r="AO639" s="151"/>
      <c r="AP639" s="151"/>
      <c r="AQ639" s="151"/>
      <c r="AR639" s="151"/>
      <c r="AS639" s="151"/>
      <c r="AT639" s="151"/>
      <c r="AU639" s="151"/>
      <c r="AV639" s="151"/>
      <c r="AW639" s="151"/>
      <c r="AX639" s="151"/>
      <c r="AY639" s="151"/>
      <c r="AZ639" s="151"/>
      <c r="BA639" s="151"/>
      <c r="BB639" s="151"/>
      <c r="BC639" s="151"/>
      <c r="BD639" s="151"/>
      <c r="BE639" s="151"/>
      <c r="BF639" s="151"/>
      <c r="BG639" s="151"/>
      <c r="BH639" s="151"/>
      <c r="BI639" s="151"/>
      <c r="BJ639" s="151"/>
      <c r="BK639" s="151"/>
      <c r="BL639" s="151"/>
      <c r="BM639" s="151"/>
      <c r="BN639" s="151"/>
      <c r="BO639" s="151"/>
      <c r="BP639" s="151"/>
      <c r="BQ639" s="151"/>
      <c r="BR639" s="151"/>
      <c r="BS639" s="151"/>
      <c r="BT639" s="151"/>
      <c r="BU639" s="151"/>
      <c r="BV639" s="151"/>
      <c r="BW639" s="151"/>
      <c r="BX639" s="151"/>
      <c r="BY639" s="151"/>
    </row>
    <row r="640" spans="1:77" s="19" customFormat="1" x14ac:dyDescent="0.15">
      <c r="A640" s="151">
        <v>1301040021</v>
      </c>
      <c r="B640" s="157" t="s">
        <v>567</v>
      </c>
      <c r="C640" s="151" t="s">
        <v>100</v>
      </c>
      <c r="D640" s="151"/>
      <c r="E640" s="151" t="s">
        <v>83</v>
      </c>
      <c r="F640" s="151">
        <v>70000</v>
      </c>
      <c r="G640" s="151"/>
      <c r="H640" s="151"/>
      <c r="I640" s="151"/>
      <c r="J640" s="165"/>
      <c r="K640" s="165"/>
      <c r="L640" s="165"/>
      <c r="M640" s="165" t="s">
        <v>101</v>
      </c>
      <c r="N640" s="165"/>
      <c r="O640" s="151" t="s">
        <v>79</v>
      </c>
      <c r="P640" s="151" t="s">
        <v>80</v>
      </c>
      <c r="Q640" s="151">
        <v>350</v>
      </c>
      <c r="R640" s="151">
        <v>3000</v>
      </c>
      <c r="S640" s="151"/>
      <c r="T640" s="151"/>
      <c r="U640" s="151"/>
      <c r="V640" s="151"/>
      <c r="W640" s="151"/>
      <c r="X640" s="151"/>
      <c r="Y640" s="151"/>
      <c r="Z640" s="151"/>
      <c r="AA640" s="151"/>
      <c r="AB640" s="151"/>
      <c r="AC640" s="151"/>
      <c r="AD640" s="151"/>
      <c r="AE640" s="151"/>
      <c r="AF640" s="151"/>
      <c r="AG640" s="151"/>
      <c r="AH640" s="151"/>
      <c r="AI640" s="151"/>
      <c r="AJ640" s="151"/>
      <c r="AK640" s="151"/>
      <c r="AL640" s="151"/>
      <c r="AM640" s="151"/>
      <c r="AN640" s="151"/>
      <c r="AO640" s="151"/>
      <c r="AP640" s="151"/>
      <c r="AQ640" s="151"/>
      <c r="AR640" s="151"/>
      <c r="AS640" s="151"/>
      <c r="AT640" s="151"/>
      <c r="AU640" s="151"/>
      <c r="AV640" s="151"/>
      <c r="AW640" s="151"/>
      <c r="AX640" s="151"/>
      <c r="AY640" s="151"/>
      <c r="AZ640" s="151"/>
      <c r="BA640" s="151"/>
      <c r="BB640" s="151"/>
      <c r="BC640" s="151"/>
      <c r="BD640" s="151"/>
      <c r="BE640" s="151"/>
      <c r="BF640" s="151"/>
      <c r="BG640" s="151"/>
      <c r="BH640" s="151"/>
      <c r="BI640" s="151"/>
      <c r="BJ640" s="151"/>
      <c r="BK640" s="151"/>
      <c r="BL640" s="151"/>
      <c r="BM640" s="151"/>
      <c r="BN640" s="151"/>
      <c r="BO640" s="151"/>
      <c r="BP640" s="151"/>
      <c r="BQ640" s="151"/>
      <c r="BR640" s="151"/>
      <c r="BS640" s="151"/>
      <c r="BT640" s="151"/>
      <c r="BU640" s="151"/>
      <c r="BV640" s="151"/>
      <c r="BW640" s="151"/>
      <c r="BX640" s="151"/>
      <c r="BY640" s="151"/>
    </row>
    <row r="641" spans="1:77" s="19" customFormat="1" x14ac:dyDescent="0.15">
      <c r="A641" s="151">
        <v>1301040012</v>
      </c>
      <c r="B641" s="157" t="s">
        <v>568</v>
      </c>
      <c r="C641" s="151" t="s">
        <v>89</v>
      </c>
      <c r="D641" s="151"/>
      <c r="E641" s="151" t="s">
        <v>78</v>
      </c>
      <c r="F641" s="151"/>
      <c r="G641" s="151"/>
      <c r="H641" s="151"/>
      <c r="I641" s="151"/>
      <c r="J641" s="165"/>
      <c r="K641" s="165"/>
      <c r="L641" s="165"/>
      <c r="M641" s="165"/>
      <c r="N641" s="165"/>
      <c r="O641" s="151" t="s">
        <v>90</v>
      </c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  <c r="AB641" s="151"/>
      <c r="AC641" s="151"/>
      <c r="AD641" s="151">
        <v>1301040101</v>
      </c>
      <c r="AE641" s="151"/>
      <c r="AF641" s="151"/>
      <c r="AG641" s="151"/>
      <c r="AH641" s="151"/>
      <c r="AI641" s="151"/>
      <c r="AJ641" s="151" t="s">
        <v>90</v>
      </c>
      <c r="AK641" s="151"/>
      <c r="AL641" s="151"/>
      <c r="AM641" s="151"/>
      <c r="AN641" s="151"/>
      <c r="AO641" s="151"/>
      <c r="AP641" s="151"/>
      <c r="AQ641" s="151"/>
      <c r="AR641" s="151"/>
      <c r="AS641" s="151"/>
      <c r="AT641" s="151"/>
      <c r="AU641" s="151"/>
      <c r="AV641" s="151"/>
      <c r="AW641" s="151"/>
      <c r="AX641" s="151"/>
      <c r="AY641" s="151">
        <v>1301040301</v>
      </c>
      <c r="AZ641" s="151"/>
      <c r="BA641" s="151"/>
      <c r="BB641" s="151"/>
      <c r="BC641" s="151"/>
      <c r="BD641" s="151"/>
      <c r="BE641" s="151" t="s">
        <v>90</v>
      </c>
      <c r="BF641" s="151"/>
      <c r="BG641" s="151"/>
      <c r="BH641" s="151"/>
      <c r="BI641" s="151"/>
      <c r="BJ641" s="151"/>
      <c r="BK641" s="151"/>
      <c r="BL641" s="151"/>
      <c r="BM641" s="151"/>
      <c r="BN641" s="151"/>
      <c r="BO641" s="151"/>
      <c r="BP641" s="151"/>
      <c r="BQ641" s="151"/>
      <c r="BR641" s="151"/>
      <c r="BS641" s="151"/>
      <c r="BT641" s="151">
        <v>1301040401</v>
      </c>
      <c r="BU641" s="151"/>
      <c r="BV641" s="151"/>
      <c r="BW641" s="151"/>
      <c r="BX641" s="151"/>
      <c r="BY641" s="151"/>
    </row>
    <row r="642" spans="1:77" s="19" customFormat="1" x14ac:dyDescent="0.15">
      <c r="A642" s="151">
        <v>1301040022</v>
      </c>
      <c r="B642" s="157" t="s">
        <v>568</v>
      </c>
      <c r="C642" s="151" t="s">
        <v>89</v>
      </c>
      <c r="D642" s="151"/>
      <c r="E642" s="151" t="s">
        <v>78</v>
      </c>
      <c r="F642" s="151"/>
      <c r="G642" s="151"/>
      <c r="H642" s="151"/>
      <c r="I642" s="151"/>
      <c r="J642" s="165"/>
      <c r="K642" s="165"/>
      <c r="L642" s="165"/>
      <c r="M642" s="165"/>
      <c r="N642" s="165"/>
      <c r="O642" s="151" t="s">
        <v>90</v>
      </c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  <c r="AB642" s="151"/>
      <c r="AC642" s="151"/>
      <c r="AD642" s="151">
        <v>1301040102</v>
      </c>
      <c r="AE642" s="151"/>
      <c r="AF642" s="151"/>
      <c r="AG642" s="151"/>
      <c r="AH642" s="151"/>
      <c r="AI642" s="151"/>
      <c r="AJ642" s="151" t="s">
        <v>90</v>
      </c>
      <c r="AK642" s="151"/>
      <c r="AL642" s="151"/>
      <c r="AM642" s="151"/>
      <c r="AN642" s="151"/>
      <c r="AO642" s="151"/>
      <c r="AP642" s="151"/>
      <c r="AQ642" s="151"/>
      <c r="AR642" s="151"/>
      <c r="AS642" s="151"/>
      <c r="AT642" s="151"/>
      <c r="AU642" s="151"/>
      <c r="AV642" s="151"/>
      <c r="AW642" s="151"/>
      <c r="AX642" s="151"/>
      <c r="AY642" s="151">
        <v>1301040302</v>
      </c>
      <c r="AZ642" s="151"/>
      <c r="BA642" s="151"/>
      <c r="BB642" s="151"/>
      <c r="BC642" s="151"/>
      <c r="BD642" s="151"/>
      <c r="BE642" s="151" t="s">
        <v>90</v>
      </c>
      <c r="BF642" s="151"/>
      <c r="BG642" s="151"/>
      <c r="BH642" s="151"/>
      <c r="BI642" s="151"/>
      <c r="BJ642" s="151"/>
      <c r="BK642" s="151"/>
      <c r="BL642" s="151"/>
      <c r="BM642" s="151"/>
      <c r="BN642" s="151"/>
      <c r="BO642" s="151"/>
      <c r="BP642" s="151"/>
      <c r="BQ642" s="151"/>
      <c r="BR642" s="151"/>
      <c r="BS642" s="151"/>
      <c r="BT642" s="151">
        <v>1301040402</v>
      </c>
      <c r="BU642" s="151"/>
      <c r="BV642" s="151"/>
      <c r="BW642" s="151"/>
      <c r="BX642" s="151"/>
      <c r="BY642" s="151"/>
    </row>
    <row r="643" spans="1:77" s="19" customFormat="1" x14ac:dyDescent="0.15">
      <c r="A643" s="151">
        <v>1301010014</v>
      </c>
      <c r="B643" s="157" t="s">
        <v>569</v>
      </c>
      <c r="C643" s="151" t="s">
        <v>89</v>
      </c>
      <c r="D643" s="151"/>
      <c r="E643" s="151" t="s">
        <v>78</v>
      </c>
      <c r="F643" s="151"/>
      <c r="G643" s="151"/>
      <c r="H643" s="151"/>
      <c r="I643" s="151"/>
      <c r="J643" s="165"/>
      <c r="K643" s="165"/>
      <c r="L643" s="165"/>
      <c r="M643" s="165"/>
      <c r="N643" s="165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  <c r="AB643" s="151"/>
      <c r="AC643" s="151"/>
      <c r="AD643" s="151"/>
      <c r="AE643" s="151"/>
      <c r="AF643" s="151"/>
      <c r="AG643" s="151"/>
      <c r="AH643" s="151"/>
      <c r="AI643" s="151"/>
      <c r="AJ643" s="151"/>
      <c r="AK643" s="151"/>
      <c r="AL643" s="151"/>
      <c r="AM643" s="151"/>
      <c r="AN643" s="151"/>
      <c r="AO643" s="151"/>
      <c r="AP643" s="151"/>
      <c r="AQ643" s="151"/>
      <c r="AR643" s="151"/>
      <c r="AS643" s="151"/>
      <c r="AT643" s="151"/>
      <c r="AU643" s="151"/>
      <c r="AV643" s="151"/>
      <c r="AW643" s="151"/>
      <c r="AX643" s="151"/>
      <c r="AY643" s="151"/>
      <c r="AZ643" s="151"/>
      <c r="BA643" s="151"/>
      <c r="BB643" s="151"/>
      <c r="BC643" s="151"/>
      <c r="BD643" s="151"/>
      <c r="BE643" s="151"/>
      <c r="BF643" s="151"/>
      <c r="BG643" s="151"/>
      <c r="BH643" s="151"/>
      <c r="BI643" s="151"/>
      <c r="BJ643" s="151"/>
      <c r="BK643" s="151"/>
      <c r="BL643" s="151"/>
      <c r="BM643" s="151"/>
      <c r="BN643" s="151"/>
      <c r="BO643" s="151"/>
      <c r="BP643" s="151"/>
      <c r="BQ643" s="151"/>
      <c r="BR643" s="151"/>
      <c r="BS643" s="151"/>
      <c r="BT643" s="151"/>
      <c r="BU643" s="151"/>
      <c r="BV643" s="151"/>
      <c r="BW643" s="151"/>
      <c r="BX643" s="151"/>
      <c r="BY643" s="151"/>
    </row>
    <row r="644" spans="1:77" s="19" customFormat="1" x14ac:dyDescent="0.15">
      <c r="A644" s="151">
        <v>1301003011</v>
      </c>
      <c r="B644" s="157" t="s">
        <v>570</v>
      </c>
      <c r="C644" s="151" t="s">
        <v>89</v>
      </c>
      <c r="D644" s="151"/>
      <c r="E644" s="151" t="s">
        <v>78</v>
      </c>
      <c r="F644" s="151"/>
      <c r="G644" s="151"/>
      <c r="H644" s="151"/>
      <c r="I644" s="151"/>
      <c r="J644" s="165"/>
      <c r="K644" s="165"/>
      <c r="L644" s="165"/>
      <c r="M644" s="165"/>
      <c r="N644" s="165"/>
      <c r="O644" s="151" t="s">
        <v>90</v>
      </c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  <c r="AB644" s="151"/>
      <c r="AC644" s="151"/>
      <c r="AD644" s="151">
        <v>1301040201</v>
      </c>
      <c r="AE644" s="151"/>
      <c r="AF644" s="151"/>
      <c r="AG644" s="151"/>
      <c r="AH644" s="151"/>
      <c r="AI644" s="151"/>
      <c r="AJ644" s="151"/>
      <c r="AK644" s="151"/>
      <c r="AL644" s="151"/>
      <c r="AM644" s="151"/>
      <c r="AN644" s="151"/>
      <c r="AO644" s="151"/>
      <c r="AP644" s="151"/>
      <c r="AQ644" s="151"/>
      <c r="AR644" s="151"/>
      <c r="AS644" s="151"/>
      <c r="AT644" s="151"/>
      <c r="AU644" s="151"/>
      <c r="AV644" s="151"/>
      <c r="AW644" s="151"/>
      <c r="AX644" s="151"/>
      <c r="AY644" s="151"/>
      <c r="AZ644" s="151"/>
      <c r="BA644" s="151"/>
      <c r="BB644" s="151"/>
      <c r="BC644" s="151"/>
      <c r="BD644" s="151"/>
      <c r="BE644" s="151"/>
      <c r="BF644" s="151"/>
      <c r="BG644" s="151"/>
      <c r="BH644" s="151"/>
      <c r="BI644" s="151"/>
      <c r="BJ644" s="151"/>
      <c r="BK644" s="151"/>
      <c r="BL644" s="151"/>
      <c r="BM644" s="151"/>
      <c r="BN644" s="151"/>
      <c r="BO644" s="151"/>
      <c r="BP644" s="151"/>
      <c r="BQ644" s="151"/>
      <c r="BR644" s="151"/>
      <c r="BS644" s="151"/>
      <c r="BT644" s="151"/>
      <c r="BU644" s="151"/>
      <c r="BV644" s="151"/>
      <c r="BW644" s="151"/>
      <c r="BX644" s="151"/>
      <c r="BY644" s="151"/>
    </row>
    <row r="645" spans="1:77" s="19" customFormat="1" x14ac:dyDescent="0.15">
      <c r="A645" s="151">
        <v>1301003021</v>
      </c>
      <c r="B645" s="157" t="s">
        <v>570</v>
      </c>
      <c r="C645" s="151" t="s">
        <v>89</v>
      </c>
      <c r="D645" s="151"/>
      <c r="E645" s="151" t="s">
        <v>78</v>
      </c>
      <c r="F645" s="151"/>
      <c r="G645" s="151"/>
      <c r="H645" s="151"/>
      <c r="I645" s="151"/>
      <c r="J645" s="165"/>
      <c r="K645" s="165"/>
      <c r="L645" s="165"/>
      <c r="M645" s="165"/>
      <c r="N645" s="165"/>
      <c r="O645" s="151" t="s">
        <v>90</v>
      </c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  <c r="AB645" s="151"/>
      <c r="AC645" s="151"/>
      <c r="AD645" s="151">
        <v>1301040202</v>
      </c>
      <c r="AE645" s="151"/>
      <c r="AF645" s="151"/>
      <c r="AG645" s="151"/>
      <c r="AH645" s="151"/>
      <c r="AI645" s="151"/>
      <c r="AJ645" s="151"/>
      <c r="AK645" s="151"/>
      <c r="AL645" s="151"/>
      <c r="AM645" s="151"/>
      <c r="AN645" s="151"/>
      <c r="AO645" s="151"/>
      <c r="AP645" s="151"/>
      <c r="AQ645" s="151"/>
      <c r="AR645" s="151"/>
      <c r="AS645" s="151"/>
      <c r="AT645" s="151"/>
      <c r="AU645" s="151"/>
      <c r="AV645" s="151"/>
      <c r="AW645" s="151"/>
      <c r="AX645" s="151"/>
      <c r="AY645" s="151"/>
      <c r="AZ645" s="151"/>
      <c r="BA645" s="151"/>
      <c r="BB645" s="151"/>
      <c r="BC645" s="151"/>
      <c r="BD645" s="151"/>
      <c r="BE645" s="151"/>
      <c r="BF645" s="151"/>
      <c r="BG645" s="151"/>
      <c r="BH645" s="151"/>
      <c r="BI645" s="151"/>
      <c r="BJ645" s="151"/>
      <c r="BK645" s="151"/>
      <c r="BL645" s="151"/>
      <c r="BM645" s="151"/>
      <c r="BN645" s="151"/>
      <c r="BO645" s="151"/>
      <c r="BP645" s="151"/>
      <c r="BQ645" s="151"/>
      <c r="BR645" s="151"/>
      <c r="BS645" s="151"/>
      <c r="BT645" s="151"/>
      <c r="BU645" s="151"/>
      <c r="BV645" s="151"/>
      <c r="BW645" s="151"/>
      <c r="BX645" s="151"/>
      <c r="BY645" s="151"/>
    </row>
    <row r="646" spans="1:77" x14ac:dyDescent="0.15">
      <c r="A646" s="159">
        <v>1409001011</v>
      </c>
      <c r="B646" s="190" t="s">
        <v>571</v>
      </c>
      <c r="C646" s="148" t="s">
        <v>77</v>
      </c>
      <c r="D646" s="159"/>
      <c r="E646" s="148" t="s">
        <v>78</v>
      </c>
      <c r="F646" s="148"/>
      <c r="G646" s="148"/>
      <c r="H646" s="159"/>
      <c r="I646" s="159"/>
      <c r="J646" s="191"/>
      <c r="K646" s="161"/>
      <c r="L646" s="161"/>
      <c r="M646" s="191"/>
      <c r="N646" s="191"/>
      <c r="O646" s="148" t="s">
        <v>79</v>
      </c>
      <c r="P646" s="148" t="s">
        <v>80</v>
      </c>
      <c r="Q646" s="148"/>
      <c r="R646" s="148">
        <v>10000</v>
      </c>
      <c r="S646" s="148"/>
      <c r="T646" s="148">
        <v>10000</v>
      </c>
      <c r="U646" s="148"/>
      <c r="V646" s="148" t="s">
        <v>101</v>
      </c>
      <c r="W646" s="148"/>
      <c r="X646" s="148"/>
      <c r="Y646" s="148"/>
      <c r="Z646" s="148"/>
      <c r="AA646" s="148"/>
      <c r="AB646" s="148"/>
      <c r="AC646" s="148"/>
      <c r="AD646" s="148"/>
      <c r="AE646" s="148"/>
      <c r="AF646" s="148"/>
      <c r="AG646" s="148"/>
      <c r="AH646" s="148"/>
      <c r="AI646" s="148"/>
      <c r="AJ646" s="148"/>
      <c r="AK646" s="148"/>
      <c r="AL646" s="148"/>
      <c r="AM646" s="148"/>
      <c r="AN646" s="148"/>
      <c r="AO646" s="148"/>
      <c r="AP646" s="148"/>
      <c r="AQ646" s="148"/>
      <c r="AR646" s="148"/>
      <c r="AS646" s="148"/>
      <c r="AT646" s="148"/>
      <c r="AU646" s="148"/>
      <c r="AV646" s="148"/>
      <c r="AW646" s="148"/>
      <c r="AX646" s="148"/>
      <c r="AY646" s="148"/>
      <c r="AZ646" s="148"/>
      <c r="BA646" s="148"/>
      <c r="BB646" s="159"/>
      <c r="BC646" s="159"/>
      <c r="BD646" s="159"/>
      <c r="BE646" s="159"/>
      <c r="BF646" s="159"/>
      <c r="BG646" s="159"/>
      <c r="BH646" s="159"/>
      <c r="BI646" s="159"/>
      <c r="BJ646" s="159"/>
      <c r="BK646" s="159"/>
      <c r="BL646" s="159"/>
      <c r="BM646" s="159"/>
      <c r="BN646" s="159"/>
      <c r="BO646" s="159"/>
      <c r="BP646" s="159"/>
      <c r="BQ646" s="159"/>
      <c r="BR646" s="159"/>
      <c r="BS646" s="159"/>
      <c r="BT646" s="159"/>
      <c r="BU646" s="159"/>
      <c r="BV646" s="159"/>
      <c r="BW646" s="159"/>
      <c r="BX646" s="159"/>
      <c r="BY646" s="159"/>
    </row>
    <row r="647" spans="1:77" x14ac:dyDescent="0.15">
      <c r="A647" s="159">
        <v>1409010011</v>
      </c>
      <c r="B647" s="190" t="s">
        <v>572</v>
      </c>
      <c r="C647" s="148" t="s">
        <v>100</v>
      </c>
      <c r="D647" s="159"/>
      <c r="E647" s="148" t="s">
        <v>85</v>
      </c>
      <c r="F647" s="148">
        <v>100000</v>
      </c>
      <c r="G647" s="148">
        <v>150000</v>
      </c>
      <c r="H647" s="159"/>
      <c r="I647" s="159"/>
      <c r="J647" s="191"/>
      <c r="K647" s="161"/>
      <c r="L647" s="161"/>
      <c r="M647" s="191" t="s">
        <v>101</v>
      </c>
      <c r="N647" s="191" t="s">
        <v>847</v>
      </c>
      <c r="O647" s="148" t="s">
        <v>79</v>
      </c>
      <c r="P647" s="148" t="s">
        <v>102</v>
      </c>
      <c r="Q647" s="179">
        <v>150</v>
      </c>
      <c r="R647" s="179"/>
      <c r="S647" s="179">
        <v>3500</v>
      </c>
      <c r="T647" s="179"/>
      <c r="U647" s="179">
        <v>3500</v>
      </c>
      <c r="V647" s="148"/>
      <c r="W647" s="148" t="s">
        <v>573</v>
      </c>
      <c r="X647" s="148">
        <v>10000</v>
      </c>
      <c r="Y647" s="148">
        <v>40</v>
      </c>
      <c r="Z647" s="148"/>
      <c r="AA647" s="148"/>
      <c r="AB647" s="148"/>
      <c r="AC647" s="148"/>
      <c r="AD647" s="148"/>
      <c r="AE647" s="148"/>
      <c r="AF647" s="148"/>
      <c r="AG647" s="148"/>
      <c r="AH647" s="148"/>
      <c r="AI647" s="148"/>
      <c r="AJ647" s="148"/>
      <c r="AK647" s="148"/>
      <c r="AL647" s="148"/>
      <c r="AM647" s="148"/>
      <c r="AN647" s="148"/>
      <c r="AO647" s="148"/>
      <c r="AP647" s="148"/>
      <c r="AQ647" s="148"/>
      <c r="AR647" s="148"/>
      <c r="AS647" s="148"/>
      <c r="AT647" s="148"/>
      <c r="AU647" s="148"/>
      <c r="AV647" s="148"/>
      <c r="AW647" s="148"/>
      <c r="AX647" s="148"/>
      <c r="AY647" s="148"/>
      <c r="AZ647" s="148"/>
      <c r="BA647" s="148"/>
      <c r="BB647" s="159"/>
      <c r="BC647" s="159"/>
      <c r="BD647" s="159"/>
      <c r="BE647" s="159"/>
      <c r="BF647" s="159"/>
      <c r="BG647" s="159"/>
      <c r="BH647" s="159"/>
      <c r="BI647" s="159"/>
      <c r="BJ647" s="159"/>
      <c r="BK647" s="159"/>
      <c r="BL647" s="159"/>
      <c r="BM647" s="159"/>
      <c r="BN647" s="159"/>
      <c r="BO647" s="159"/>
      <c r="BP647" s="159"/>
      <c r="BQ647" s="159"/>
      <c r="BR647" s="159"/>
      <c r="BS647" s="159"/>
      <c r="BT647" s="159"/>
      <c r="BU647" s="159"/>
      <c r="BV647" s="159"/>
      <c r="BW647" s="159"/>
      <c r="BX647" s="159"/>
      <c r="BY647" s="159"/>
    </row>
    <row r="648" spans="1:77" x14ac:dyDescent="0.15">
      <c r="A648" s="159">
        <v>1409010021</v>
      </c>
      <c r="B648" s="190" t="s">
        <v>572</v>
      </c>
      <c r="C648" s="148" t="s">
        <v>100</v>
      </c>
      <c r="D648" s="159"/>
      <c r="E648" s="148" t="s">
        <v>85</v>
      </c>
      <c r="F648" s="148">
        <v>100000</v>
      </c>
      <c r="G648" s="148">
        <v>150000</v>
      </c>
      <c r="H648" s="159"/>
      <c r="I648" s="159"/>
      <c r="J648" s="191"/>
      <c r="K648" s="161"/>
      <c r="L648" s="161"/>
      <c r="M648" s="191" t="s">
        <v>101</v>
      </c>
      <c r="N648" s="191" t="s">
        <v>847</v>
      </c>
      <c r="O648" s="148" t="s">
        <v>79</v>
      </c>
      <c r="P648" s="148" t="s">
        <v>102</v>
      </c>
      <c r="Q648" s="179">
        <v>210</v>
      </c>
      <c r="R648" s="179"/>
      <c r="S648" s="179">
        <v>3500</v>
      </c>
      <c r="T648" s="179"/>
      <c r="U648" s="179">
        <v>3500</v>
      </c>
      <c r="V648" s="148"/>
      <c r="W648" s="148" t="s">
        <v>573</v>
      </c>
      <c r="X648" s="148">
        <v>10000</v>
      </c>
      <c r="Y648" s="148">
        <v>55</v>
      </c>
      <c r="Z648" s="148"/>
      <c r="AA648" s="148"/>
      <c r="AB648" s="148"/>
      <c r="AC648" s="148"/>
      <c r="AD648" s="148"/>
      <c r="AE648" s="148"/>
      <c r="AF648" s="148"/>
      <c r="AG648" s="148"/>
      <c r="AH648" s="148"/>
      <c r="AI648" s="148"/>
      <c r="AJ648" s="148"/>
      <c r="AK648" s="148"/>
      <c r="AL648" s="148"/>
      <c r="AM648" s="148"/>
      <c r="AN648" s="148"/>
      <c r="AO648" s="148"/>
      <c r="AP648" s="148"/>
      <c r="AQ648" s="148"/>
      <c r="AR648" s="148"/>
      <c r="AS648" s="148"/>
      <c r="AT648" s="148"/>
      <c r="AU648" s="148"/>
      <c r="AV648" s="148"/>
      <c r="AW648" s="148"/>
      <c r="AX648" s="148"/>
      <c r="AY648" s="148"/>
      <c r="AZ648" s="148"/>
      <c r="BA648" s="148"/>
      <c r="BB648" s="159"/>
      <c r="BC648" s="159"/>
      <c r="BD648" s="159"/>
      <c r="BE648" s="159"/>
      <c r="BF648" s="159"/>
      <c r="BG648" s="159"/>
      <c r="BH648" s="159"/>
      <c r="BI648" s="159"/>
      <c r="BJ648" s="159"/>
      <c r="BK648" s="159"/>
      <c r="BL648" s="159"/>
      <c r="BM648" s="159"/>
      <c r="BN648" s="159"/>
      <c r="BO648" s="159"/>
      <c r="BP648" s="159"/>
      <c r="BQ648" s="159"/>
      <c r="BR648" s="159"/>
      <c r="BS648" s="159"/>
      <c r="BT648" s="159"/>
      <c r="BU648" s="159"/>
      <c r="BV648" s="159"/>
      <c r="BW648" s="159"/>
      <c r="BX648" s="159"/>
      <c r="BY648" s="159"/>
    </row>
    <row r="649" spans="1:77" x14ac:dyDescent="0.15">
      <c r="A649" s="159">
        <v>1409010031</v>
      </c>
      <c r="B649" s="190" t="s">
        <v>572</v>
      </c>
      <c r="C649" s="148" t="s">
        <v>100</v>
      </c>
      <c r="D649" s="159"/>
      <c r="E649" s="148" t="s">
        <v>85</v>
      </c>
      <c r="F649" s="148">
        <v>100000</v>
      </c>
      <c r="G649" s="148">
        <v>150000</v>
      </c>
      <c r="H649" s="159"/>
      <c r="I649" s="159"/>
      <c r="J649" s="191"/>
      <c r="K649" s="161"/>
      <c r="L649" s="161"/>
      <c r="M649" s="191" t="s">
        <v>101</v>
      </c>
      <c r="N649" s="191" t="s">
        <v>847</v>
      </c>
      <c r="O649" s="148" t="s">
        <v>79</v>
      </c>
      <c r="P649" s="148" t="s">
        <v>102</v>
      </c>
      <c r="Q649" s="179">
        <v>270</v>
      </c>
      <c r="R649" s="179"/>
      <c r="S649" s="179">
        <v>3500</v>
      </c>
      <c r="T649" s="179"/>
      <c r="U649" s="179">
        <v>3500</v>
      </c>
      <c r="V649" s="148"/>
      <c r="W649" s="148" t="s">
        <v>573</v>
      </c>
      <c r="X649" s="148">
        <v>10000</v>
      </c>
      <c r="Y649" s="148">
        <v>70</v>
      </c>
      <c r="Z649" s="148"/>
      <c r="AA649" s="148"/>
      <c r="AB649" s="148"/>
      <c r="AC649" s="148"/>
      <c r="AD649" s="148"/>
      <c r="AE649" s="148"/>
      <c r="AF649" s="148"/>
      <c r="AG649" s="148"/>
      <c r="AH649" s="148"/>
      <c r="AI649" s="148"/>
      <c r="AJ649" s="148"/>
      <c r="AK649" s="148"/>
      <c r="AL649" s="148"/>
      <c r="AM649" s="148"/>
      <c r="AN649" s="148"/>
      <c r="AO649" s="148"/>
      <c r="AP649" s="148"/>
      <c r="AQ649" s="148"/>
      <c r="AR649" s="148"/>
      <c r="AS649" s="148"/>
      <c r="AT649" s="148"/>
      <c r="AU649" s="148"/>
      <c r="AV649" s="148"/>
      <c r="AW649" s="148"/>
      <c r="AX649" s="148"/>
      <c r="AY649" s="148"/>
      <c r="AZ649" s="148"/>
      <c r="BA649" s="148"/>
      <c r="BB649" s="159"/>
      <c r="BC649" s="159"/>
      <c r="BD649" s="159"/>
      <c r="BE649" s="159"/>
      <c r="BF649" s="159"/>
      <c r="BG649" s="159"/>
      <c r="BH649" s="159"/>
      <c r="BI649" s="159"/>
      <c r="BJ649" s="159"/>
      <c r="BK649" s="159"/>
      <c r="BL649" s="159"/>
      <c r="BM649" s="159"/>
      <c r="BN649" s="159"/>
      <c r="BO649" s="159"/>
      <c r="BP649" s="159"/>
      <c r="BQ649" s="159"/>
      <c r="BR649" s="159"/>
      <c r="BS649" s="159"/>
      <c r="BT649" s="159"/>
      <c r="BU649" s="159"/>
      <c r="BV649" s="159"/>
      <c r="BW649" s="159"/>
      <c r="BX649" s="159"/>
      <c r="BY649" s="159"/>
    </row>
    <row r="650" spans="1:77" x14ac:dyDescent="0.15">
      <c r="A650" s="159">
        <v>1409010041</v>
      </c>
      <c r="B650" s="190" t="s">
        <v>572</v>
      </c>
      <c r="C650" s="148" t="s">
        <v>100</v>
      </c>
      <c r="D650" s="159"/>
      <c r="E650" s="148" t="s">
        <v>85</v>
      </c>
      <c r="F650" s="148">
        <v>100000</v>
      </c>
      <c r="G650" s="148">
        <v>150000</v>
      </c>
      <c r="H650" s="159"/>
      <c r="I650" s="159"/>
      <c r="J650" s="191"/>
      <c r="K650" s="161"/>
      <c r="L650" s="161"/>
      <c r="M650" s="191" t="s">
        <v>101</v>
      </c>
      <c r="N650" s="191" t="s">
        <v>847</v>
      </c>
      <c r="O650" s="148" t="s">
        <v>79</v>
      </c>
      <c r="P650" s="148" t="s">
        <v>102</v>
      </c>
      <c r="Q650" s="179">
        <v>330</v>
      </c>
      <c r="R650" s="179"/>
      <c r="S650" s="179">
        <v>3500</v>
      </c>
      <c r="T650" s="179"/>
      <c r="U650" s="179">
        <v>3500</v>
      </c>
      <c r="V650" s="148"/>
      <c r="W650" s="148" t="s">
        <v>573</v>
      </c>
      <c r="X650" s="148">
        <v>10000</v>
      </c>
      <c r="Y650" s="148">
        <v>85</v>
      </c>
      <c r="Z650" s="148"/>
      <c r="AA650" s="148"/>
      <c r="AB650" s="148"/>
      <c r="AC650" s="148"/>
      <c r="AD650" s="148"/>
      <c r="AE650" s="148"/>
      <c r="AF650" s="148"/>
      <c r="AG650" s="148"/>
      <c r="AH650" s="148"/>
      <c r="AI650" s="148"/>
      <c r="AJ650" s="148"/>
      <c r="AK650" s="148"/>
      <c r="AL650" s="148"/>
      <c r="AM650" s="148"/>
      <c r="AN650" s="148"/>
      <c r="AO650" s="148"/>
      <c r="AP650" s="148"/>
      <c r="AQ650" s="148"/>
      <c r="AR650" s="148"/>
      <c r="AS650" s="148"/>
      <c r="AT650" s="148"/>
      <c r="AU650" s="148"/>
      <c r="AV650" s="148"/>
      <c r="AW650" s="148"/>
      <c r="AX650" s="148"/>
      <c r="AY650" s="148"/>
      <c r="AZ650" s="148"/>
      <c r="BA650" s="148"/>
      <c r="BB650" s="159"/>
      <c r="BC650" s="159"/>
      <c r="BD650" s="159"/>
      <c r="BE650" s="159"/>
      <c r="BF650" s="159"/>
      <c r="BG650" s="159"/>
      <c r="BH650" s="159"/>
      <c r="BI650" s="159"/>
      <c r="BJ650" s="159"/>
      <c r="BK650" s="159"/>
      <c r="BL650" s="159"/>
      <c r="BM650" s="159"/>
      <c r="BN650" s="159"/>
      <c r="BO650" s="159"/>
      <c r="BP650" s="159"/>
      <c r="BQ650" s="159"/>
      <c r="BR650" s="159"/>
      <c r="BS650" s="159"/>
      <c r="BT650" s="159"/>
      <c r="BU650" s="159"/>
      <c r="BV650" s="159"/>
      <c r="BW650" s="159"/>
      <c r="BX650" s="159"/>
      <c r="BY650" s="159"/>
    </row>
    <row r="651" spans="1:77" x14ac:dyDescent="0.15">
      <c r="A651" s="159">
        <v>1409010012</v>
      </c>
      <c r="B651" s="190" t="s">
        <v>574</v>
      </c>
      <c r="C651" s="148" t="s">
        <v>112</v>
      </c>
      <c r="D651" s="159"/>
      <c r="E651" s="148" t="s">
        <v>85</v>
      </c>
      <c r="F651" s="148">
        <v>100000</v>
      </c>
      <c r="G651" s="148">
        <v>150000</v>
      </c>
      <c r="H651" s="159"/>
      <c r="I651" s="159"/>
      <c r="J651" s="191"/>
      <c r="K651" s="161"/>
      <c r="L651" s="161"/>
      <c r="M651" s="191" t="s">
        <v>101</v>
      </c>
      <c r="N651" s="191"/>
      <c r="O651" s="148" t="s">
        <v>306</v>
      </c>
      <c r="P651" s="148"/>
      <c r="Q651" s="179">
        <f>Q647/2</f>
        <v>75</v>
      </c>
      <c r="R651" s="179"/>
      <c r="S651" s="179">
        <f>S647/2</f>
        <v>1750</v>
      </c>
      <c r="T651" s="179"/>
      <c r="U651" s="179"/>
      <c r="V651" s="148"/>
      <c r="W651" s="148" t="s">
        <v>573</v>
      </c>
      <c r="X651" s="148">
        <v>10000</v>
      </c>
      <c r="Y651" s="148">
        <f>Y647/2</f>
        <v>20</v>
      </c>
      <c r="Z651" s="148"/>
      <c r="AA651" s="148"/>
      <c r="AB651" s="148"/>
      <c r="AC651" s="148"/>
      <c r="AD651" s="148"/>
      <c r="AE651" s="148"/>
      <c r="AF651" s="148"/>
      <c r="AG651" s="148"/>
      <c r="AH651" s="148"/>
      <c r="AI651" s="148"/>
      <c r="AJ651" s="148"/>
      <c r="AK651" s="148"/>
      <c r="AL651" s="148"/>
      <c r="AM651" s="148"/>
      <c r="AN651" s="148"/>
      <c r="AO651" s="148"/>
      <c r="AP651" s="148"/>
      <c r="AQ651" s="148"/>
      <c r="AR651" s="148"/>
      <c r="AS651" s="148"/>
      <c r="AT651" s="148"/>
      <c r="AU651" s="148"/>
      <c r="AV651" s="148"/>
      <c r="AW651" s="148"/>
      <c r="AX651" s="148"/>
      <c r="AY651" s="148"/>
      <c r="AZ651" s="148"/>
      <c r="BA651" s="148"/>
      <c r="BB651" s="159"/>
      <c r="BC651" s="159"/>
      <c r="BD651" s="159"/>
      <c r="BE651" s="159"/>
      <c r="BF651" s="159"/>
      <c r="BG651" s="159"/>
      <c r="BH651" s="159"/>
      <c r="BI651" s="159"/>
      <c r="BJ651" s="159"/>
      <c r="BK651" s="159"/>
      <c r="BL651" s="159"/>
      <c r="BM651" s="159"/>
      <c r="BN651" s="159"/>
      <c r="BO651" s="159"/>
      <c r="BP651" s="159"/>
      <c r="BQ651" s="159"/>
      <c r="BR651" s="159"/>
      <c r="BS651" s="159"/>
      <c r="BT651" s="159"/>
      <c r="BU651" s="159"/>
      <c r="BV651" s="159"/>
      <c r="BW651" s="159"/>
      <c r="BX651" s="159"/>
      <c r="BY651" s="159"/>
    </row>
    <row r="652" spans="1:77" x14ac:dyDescent="0.15">
      <c r="A652" s="159">
        <v>1409010022</v>
      </c>
      <c r="B652" s="190" t="s">
        <v>574</v>
      </c>
      <c r="C652" s="148" t="s">
        <v>112</v>
      </c>
      <c r="D652" s="159"/>
      <c r="E652" s="148" t="s">
        <v>85</v>
      </c>
      <c r="F652" s="148">
        <v>100000</v>
      </c>
      <c r="G652" s="148">
        <v>150000</v>
      </c>
      <c r="H652" s="159"/>
      <c r="I652" s="159"/>
      <c r="J652" s="191"/>
      <c r="K652" s="161"/>
      <c r="L652" s="161"/>
      <c r="M652" s="191" t="s">
        <v>101</v>
      </c>
      <c r="N652" s="191"/>
      <c r="O652" s="148" t="s">
        <v>306</v>
      </c>
      <c r="P652" s="148"/>
      <c r="Q652" s="179">
        <f t="shared" ref="Q652:Q654" si="2">Q648/2</f>
        <v>105</v>
      </c>
      <c r="R652" s="179"/>
      <c r="S652" s="179">
        <f t="shared" ref="S652:S654" si="3">S648/2</f>
        <v>1750</v>
      </c>
      <c r="T652" s="179"/>
      <c r="U652" s="179"/>
      <c r="V652" s="148"/>
      <c r="W652" s="148" t="s">
        <v>573</v>
      </c>
      <c r="X652" s="148">
        <v>10000</v>
      </c>
      <c r="Y652" s="148">
        <v>28</v>
      </c>
      <c r="Z652" s="148"/>
      <c r="AA652" s="148"/>
      <c r="AB652" s="148"/>
      <c r="AC652" s="148"/>
      <c r="AD652" s="148"/>
      <c r="AE652" s="148"/>
      <c r="AF652" s="148"/>
      <c r="AG652" s="148"/>
      <c r="AH652" s="148"/>
      <c r="AI652" s="148"/>
      <c r="AJ652" s="148"/>
      <c r="AK652" s="148"/>
      <c r="AL652" s="148"/>
      <c r="AM652" s="148"/>
      <c r="AN652" s="148"/>
      <c r="AO652" s="148"/>
      <c r="AP652" s="148"/>
      <c r="AQ652" s="148"/>
      <c r="AR652" s="148"/>
      <c r="AS652" s="148"/>
      <c r="AT652" s="148"/>
      <c r="AU652" s="148"/>
      <c r="AV652" s="148"/>
      <c r="AW652" s="148"/>
      <c r="AX652" s="148"/>
      <c r="AY652" s="148"/>
      <c r="AZ652" s="148"/>
      <c r="BA652" s="148"/>
      <c r="BB652" s="159"/>
      <c r="BC652" s="159"/>
      <c r="BD652" s="159"/>
      <c r="BE652" s="159"/>
      <c r="BF652" s="159"/>
      <c r="BG652" s="159"/>
      <c r="BH652" s="159"/>
      <c r="BI652" s="159"/>
      <c r="BJ652" s="159"/>
      <c r="BK652" s="159"/>
      <c r="BL652" s="159"/>
      <c r="BM652" s="159"/>
      <c r="BN652" s="159"/>
      <c r="BO652" s="159"/>
      <c r="BP652" s="159"/>
      <c r="BQ652" s="159"/>
      <c r="BR652" s="159"/>
      <c r="BS652" s="159"/>
      <c r="BT652" s="159"/>
      <c r="BU652" s="159"/>
      <c r="BV652" s="159"/>
      <c r="BW652" s="159"/>
      <c r="BX652" s="159"/>
      <c r="BY652" s="159"/>
    </row>
    <row r="653" spans="1:77" x14ac:dyDescent="0.15">
      <c r="A653" s="159">
        <v>1409010032</v>
      </c>
      <c r="B653" s="190" t="s">
        <v>574</v>
      </c>
      <c r="C653" s="148" t="s">
        <v>112</v>
      </c>
      <c r="D653" s="159"/>
      <c r="E653" s="148" t="s">
        <v>85</v>
      </c>
      <c r="F653" s="148">
        <v>100000</v>
      </c>
      <c r="G653" s="148">
        <v>150000</v>
      </c>
      <c r="H653" s="159"/>
      <c r="I653" s="159"/>
      <c r="J653" s="191"/>
      <c r="K653" s="161"/>
      <c r="L653" s="161"/>
      <c r="M653" s="191" t="s">
        <v>101</v>
      </c>
      <c r="N653" s="191"/>
      <c r="O653" s="148" t="s">
        <v>306</v>
      </c>
      <c r="P653" s="148"/>
      <c r="Q653" s="179">
        <f t="shared" si="2"/>
        <v>135</v>
      </c>
      <c r="R653" s="179"/>
      <c r="S653" s="179">
        <f t="shared" si="3"/>
        <v>1750</v>
      </c>
      <c r="T653" s="179"/>
      <c r="U653" s="179"/>
      <c r="V653" s="148"/>
      <c r="W653" s="148" t="s">
        <v>573</v>
      </c>
      <c r="X653" s="148">
        <v>10000</v>
      </c>
      <c r="Y653" s="148">
        <f t="shared" ref="Y653" si="4">Y649/2</f>
        <v>35</v>
      </c>
      <c r="Z653" s="148"/>
      <c r="AA653" s="148"/>
      <c r="AB653" s="148"/>
      <c r="AC653" s="148"/>
      <c r="AD653" s="148"/>
      <c r="AE653" s="148"/>
      <c r="AF653" s="148"/>
      <c r="AG653" s="148"/>
      <c r="AH653" s="148"/>
      <c r="AI653" s="148"/>
      <c r="AJ653" s="148"/>
      <c r="AK653" s="148"/>
      <c r="AL653" s="148"/>
      <c r="AM653" s="148"/>
      <c r="AN653" s="148"/>
      <c r="AO653" s="148"/>
      <c r="AP653" s="148"/>
      <c r="AQ653" s="148"/>
      <c r="AR653" s="148"/>
      <c r="AS653" s="148"/>
      <c r="AT653" s="148"/>
      <c r="AU653" s="148"/>
      <c r="AV653" s="148"/>
      <c r="AW653" s="148"/>
      <c r="AX653" s="148"/>
      <c r="AY653" s="148"/>
      <c r="AZ653" s="148"/>
      <c r="BA653" s="148"/>
      <c r="BB653" s="159"/>
      <c r="BC653" s="159"/>
      <c r="BD653" s="159"/>
      <c r="BE653" s="159"/>
      <c r="BF653" s="159"/>
      <c r="BG653" s="159"/>
      <c r="BH653" s="159"/>
      <c r="BI653" s="159"/>
      <c r="BJ653" s="159"/>
      <c r="BK653" s="159"/>
      <c r="BL653" s="159"/>
      <c r="BM653" s="159"/>
      <c r="BN653" s="159"/>
      <c r="BO653" s="159"/>
      <c r="BP653" s="159"/>
      <c r="BQ653" s="159"/>
      <c r="BR653" s="159"/>
      <c r="BS653" s="159"/>
      <c r="BT653" s="159"/>
      <c r="BU653" s="159"/>
      <c r="BV653" s="159"/>
      <c r="BW653" s="159"/>
      <c r="BX653" s="159"/>
      <c r="BY653" s="159"/>
    </row>
    <row r="654" spans="1:77" x14ac:dyDescent="0.15">
      <c r="A654" s="159">
        <v>1409010042</v>
      </c>
      <c r="B654" s="190" t="s">
        <v>574</v>
      </c>
      <c r="C654" s="148" t="s">
        <v>112</v>
      </c>
      <c r="D654" s="159"/>
      <c r="E654" s="148" t="s">
        <v>85</v>
      </c>
      <c r="F654" s="148">
        <v>100000</v>
      </c>
      <c r="G654" s="148">
        <v>150000</v>
      </c>
      <c r="H654" s="159"/>
      <c r="I654" s="159"/>
      <c r="J654" s="191"/>
      <c r="K654" s="161"/>
      <c r="L654" s="161"/>
      <c r="M654" s="191" t="s">
        <v>101</v>
      </c>
      <c r="N654" s="191"/>
      <c r="O654" s="148" t="s">
        <v>306</v>
      </c>
      <c r="P654" s="148"/>
      <c r="Q654" s="179">
        <f t="shared" si="2"/>
        <v>165</v>
      </c>
      <c r="R654" s="179"/>
      <c r="S654" s="179">
        <f t="shared" si="3"/>
        <v>1750</v>
      </c>
      <c r="T654" s="179"/>
      <c r="U654" s="179"/>
      <c r="V654" s="148"/>
      <c r="W654" s="148" t="s">
        <v>573</v>
      </c>
      <c r="X654" s="148">
        <v>10000</v>
      </c>
      <c r="Y654" s="148">
        <v>43</v>
      </c>
      <c r="Z654" s="148"/>
      <c r="AA654" s="148"/>
      <c r="AB654" s="148"/>
      <c r="AC654" s="148"/>
      <c r="AD654" s="148"/>
      <c r="AE654" s="148"/>
      <c r="AF654" s="148"/>
      <c r="AG654" s="148"/>
      <c r="AH654" s="148"/>
      <c r="AI654" s="148"/>
      <c r="AJ654" s="148"/>
      <c r="AK654" s="148"/>
      <c r="AL654" s="148"/>
      <c r="AM654" s="148"/>
      <c r="AN654" s="148"/>
      <c r="AO654" s="148"/>
      <c r="AP654" s="148"/>
      <c r="AQ654" s="148"/>
      <c r="AR654" s="148"/>
      <c r="AS654" s="148"/>
      <c r="AT654" s="148"/>
      <c r="AU654" s="148"/>
      <c r="AV654" s="148"/>
      <c r="AW654" s="148"/>
      <c r="AX654" s="148"/>
      <c r="AY654" s="148"/>
      <c r="AZ654" s="148"/>
      <c r="BA654" s="148"/>
      <c r="BB654" s="159"/>
      <c r="BC654" s="159"/>
      <c r="BD654" s="159"/>
      <c r="BE654" s="159"/>
      <c r="BF654" s="159"/>
      <c r="BG654" s="159"/>
      <c r="BH654" s="159"/>
      <c r="BI654" s="159"/>
      <c r="BJ654" s="159"/>
      <c r="BK654" s="159"/>
      <c r="BL654" s="159"/>
      <c r="BM654" s="159"/>
      <c r="BN654" s="159"/>
      <c r="BO654" s="159"/>
      <c r="BP654" s="159"/>
      <c r="BQ654" s="159"/>
      <c r="BR654" s="159"/>
      <c r="BS654" s="159"/>
      <c r="BT654" s="159"/>
      <c r="BU654" s="159"/>
      <c r="BV654" s="159"/>
      <c r="BW654" s="159"/>
      <c r="BX654" s="159"/>
      <c r="BY654" s="159"/>
    </row>
    <row r="655" spans="1:77" x14ac:dyDescent="0.15">
      <c r="A655" s="159">
        <v>1409010013</v>
      </c>
      <c r="B655" s="190" t="s">
        <v>575</v>
      </c>
      <c r="C655" s="148" t="s">
        <v>89</v>
      </c>
      <c r="D655" s="159"/>
      <c r="E655" s="148" t="s">
        <v>78</v>
      </c>
      <c r="F655" s="148"/>
      <c r="G655" s="148"/>
      <c r="H655" s="159"/>
      <c r="I655" s="159"/>
      <c r="J655" s="191"/>
      <c r="K655" s="161"/>
      <c r="L655" s="161"/>
      <c r="M655" s="191"/>
      <c r="N655" s="191"/>
      <c r="O655" s="148" t="s">
        <v>491</v>
      </c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  <c r="AC655" s="148"/>
      <c r="AD655" s="148"/>
      <c r="AE655" s="148" t="s">
        <v>171</v>
      </c>
      <c r="AF655" s="148">
        <v>1</v>
      </c>
      <c r="AG655" s="148"/>
      <c r="AH655" s="148"/>
      <c r="AI655" s="148"/>
      <c r="AJ655" s="148"/>
      <c r="AK655" s="148"/>
      <c r="AL655" s="148"/>
      <c r="AM655" s="148"/>
      <c r="AN655" s="148"/>
      <c r="AO655" s="148"/>
      <c r="AP655" s="148"/>
      <c r="AQ655" s="148"/>
      <c r="AR655" s="148"/>
      <c r="AS655" s="148"/>
      <c r="AT655" s="148"/>
      <c r="AU655" s="148"/>
      <c r="AV655" s="148"/>
      <c r="AW655" s="148"/>
      <c r="AX655" s="148"/>
      <c r="AY655" s="148"/>
      <c r="AZ655" s="148"/>
      <c r="BA655" s="148"/>
      <c r="BB655" s="159"/>
      <c r="BC655" s="159"/>
      <c r="BD655" s="159"/>
      <c r="BE655" s="159"/>
      <c r="BF655" s="159"/>
      <c r="BG655" s="159"/>
      <c r="BH655" s="159"/>
      <c r="BI655" s="159"/>
      <c r="BJ655" s="159"/>
      <c r="BK655" s="159"/>
      <c r="BL655" s="159"/>
      <c r="BM655" s="159"/>
      <c r="BN655" s="159"/>
      <c r="BO655" s="159"/>
      <c r="BP655" s="159"/>
      <c r="BQ655" s="159"/>
      <c r="BR655" s="159"/>
      <c r="BS655" s="159"/>
      <c r="BT655" s="159"/>
      <c r="BU655" s="159"/>
      <c r="BV655" s="159"/>
      <c r="BW655" s="159"/>
      <c r="BX655" s="159"/>
      <c r="BY655" s="159"/>
    </row>
    <row r="656" spans="1:77" x14ac:dyDescent="0.15">
      <c r="A656" s="159">
        <v>1409010014</v>
      </c>
      <c r="B656" s="190" t="s">
        <v>576</v>
      </c>
      <c r="C656" s="148" t="s">
        <v>89</v>
      </c>
      <c r="D656" s="159"/>
      <c r="E656" s="148" t="s">
        <v>78</v>
      </c>
      <c r="F656" s="148"/>
      <c r="G656" s="148"/>
      <c r="H656" s="159"/>
      <c r="I656" s="159"/>
      <c r="J656" s="191"/>
      <c r="K656" s="161"/>
      <c r="L656" s="161"/>
      <c r="M656" s="191"/>
      <c r="N656" s="191"/>
      <c r="O656" s="148" t="s">
        <v>491</v>
      </c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  <c r="AC656" s="148"/>
      <c r="AD656" s="148"/>
      <c r="AE656" s="148" t="s">
        <v>308</v>
      </c>
      <c r="AF656" s="148">
        <v>-10000</v>
      </c>
      <c r="AG656" s="148"/>
      <c r="AH656" s="148"/>
      <c r="AI656" s="148"/>
      <c r="AJ656" s="148"/>
      <c r="AK656" s="148"/>
      <c r="AL656" s="148"/>
      <c r="AM656" s="148"/>
      <c r="AN656" s="148"/>
      <c r="AO656" s="148"/>
      <c r="AP656" s="148"/>
      <c r="AQ656" s="148"/>
      <c r="AR656" s="148"/>
      <c r="AS656" s="148"/>
      <c r="AT656" s="148"/>
      <c r="AU656" s="148"/>
      <c r="AV656" s="148"/>
      <c r="AW656" s="148"/>
      <c r="AX656" s="148"/>
      <c r="AY656" s="148"/>
      <c r="AZ656" s="148"/>
      <c r="BA656" s="148"/>
      <c r="BB656" s="159"/>
      <c r="BC656" s="159"/>
      <c r="BD656" s="159"/>
      <c r="BE656" s="159"/>
      <c r="BF656" s="159"/>
      <c r="BG656" s="159"/>
      <c r="BH656" s="159"/>
      <c r="BI656" s="159"/>
      <c r="BJ656" s="159"/>
      <c r="BK656" s="159"/>
      <c r="BL656" s="159"/>
      <c r="BM656" s="159"/>
      <c r="BN656" s="159"/>
      <c r="BO656" s="159"/>
      <c r="BP656" s="159"/>
      <c r="BQ656" s="159"/>
      <c r="BR656" s="159"/>
      <c r="BS656" s="159"/>
      <c r="BT656" s="159"/>
      <c r="BU656" s="159"/>
      <c r="BV656" s="159"/>
      <c r="BW656" s="159"/>
      <c r="BX656" s="159"/>
      <c r="BY656" s="159"/>
    </row>
    <row r="657" spans="1:77" x14ac:dyDescent="0.15">
      <c r="A657" s="159">
        <v>1409020011</v>
      </c>
      <c r="B657" s="190" t="s">
        <v>577</v>
      </c>
      <c r="C657" s="148" t="s">
        <v>112</v>
      </c>
      <c r="D657" s="159"/>
      <c r="E657" s="148" t="s">
        <v>83</v>
      </c>
      <c r="F657" s="148">
        <v>150000</v>
      </c>
      <c r="G657" s="148"/>
      <c r="H657" s="159"/>
      <c r="I657" s="159"/>
      <c r="J657" s="191"/>
      <c r="K657" s="161"/>
      <c r="L657" s="161"/>
      <c r="M657" s="191" t="s">
        <v>101</v>
      </c>
      <c r="N657" s="191"/>
      <c r="O657" s="148" t="s">
        <v>264</v>
      </c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  <c r="AC657" s="148"/>
      <c r="AD657" s="148"/>
      <c r="AE657" s="148"/>
      <c r="AF657" s="148"/>
      <c r="AG657" s="148" t="s">
        <v>578</v>
      </c>
      <c r="AH657" s="148"/>
      <c r="AI657" s="148"/>
      <c r="AJ657" s="148"/>
      <c r="AK657" s="148"/>
      <c r="AL657" s="148"/>
      <c r="AM657" s="148"/>
      <c r="AN657" s="148"/>
      <c r="AO657" s="148"/>
      <c r="AP657" s="148"/>
      <c r="AQ657" s="148"/>
      <c r="AR657" s="148"/>
      <c r="AS657" s="148"/>
      <c r="AT657" s="148"/>
      <c r="AU657" s="148"/>
      <c r="AV657" s="148"/>
      <c r="AW657" s="148"/>
      <c r="AX657" s="148"/>
      <c r="AY657" s="148"/>
      <c r="AZ657" s="148"/>
      <c r="BA657" s="148"/>
      <c r="BB657" s="159"/>
      <c r="BC657" s="159"/>
      <c r="BD657" s="159"/>
      <c r="BE657" s="159"/>
      <c r="BF657" s="159"/>
      <c r="BG657" s="159"/>
      <c r="BH657" s="159"/>
      <c r="BI657" s="159"/>
      <c r="BJ657" s="159"/>
      <c r="BK657" s="159"/>
      <c r="BL657" s="159"/>
      <c r="BM657" s="159"/>
      <c r="BN657" s="159"/>
      <c r="BO657" s="159"/>
      <c r="BP657" s="159"/>
      <c r="BQ657" s="159"/>
      <c r="BR657" s="159"/>
      <c r="BS657" s="159"/>
      <c r="BT657" s="159"/>
      <c r="BU657" s="159"/>
      <c r="BV657" s="159"/>
      <c r="BW657" s="159"/>
      <c r="BX657" s="159"/>
      <c r="BY657" s="159"/>
    </row>
    <row r="658" spans="1:77" x14ac:dyDescent="0.15">
      <c r="A658" s="159">
        <v>1409020012</v>
      </c>
      <c r="B658" s="190" t="s">
        <v>579</v>
      </c>
      <c r="C658" s="148" t="s">
        <v>100</v>
      </c>
      <c r="D658" s="159"/>
      <c r="E658" s="148" t="s">
        <v>83</v>
      </c>
      <c r="F658" s="148">
        <v>150000</v>
      </c>
      <c r="G658" s="148"/>
      <c r="H658" s="159"/>
      <c r="I658" s="159"/>
      <c r="J658" s="191"/>
      <c r="K658" s="161"/>
      <c r="L658" s="161"/>
      <c r="M658" s="191" t="s">
        <v>101</v>
      </c>
      <c r="N658" s="191" t="s">
        <v>847</v>
      </c>
      <c r="O658" s="148" t="s">
        <v>79</v>
      </c>
      <c r="P658" s="148" t="s">
        <v>102</v>
      </c>
      <c r="Q658" s="148">
        <v>100</v>
      </c>
      <c r="R658" s="148"/>
      <c r="S658" s="148">
        <v>2500</v>
      </c>
      <c r="T658" s="148"/>
      <c r="U658" s="148">
        <v>3500</v>
      </c>
      <c r="V658" s="148"/>
      <c r="W658" s="148"/>
      <c r="X658" s="148"/>
      <c r="Y658" s="148"/>
      <c r="Z658" s="148"/>
      <c r="AA658" s="148"/>
      <c r="AB658" s="148"/>
      <c r="AC658" s="148"/>
      <c r="AD658" s="148"/>
      <c r="AE658" s="148"/>
      <c r="AF658" s="148"/>
      <c r="AG658" s="148"/>
      <c r="AH658" s="148"/>
      <c r="AI658" s="148"/>
      <c r="AJ658" s="148" t="s">
        <v>90</v>
      </c>
      <c r="AK658" s="148"/>
      <c r="AL658" s="148"/>
      <c r="AM658" s="148"/>
      <c r="AN658" s="148"/>
      <c r="AO658" s="148"/>
      <c r="AP658" s="148"/>
      <c r="AQ658" s="148"/>
      <c r="AR658" s="148"/>
      <c r="AS658" s="148"/>
      <c r="AT658" s="148"/>
      <c r="AU658" s="148"/>
      <c r="AV658" s="148"/>
      <c r="AW658" s="148"/>
      <c r="AX658" s="148">
        <v>1409020201</v>
      </c>
      <c r="AY658" s="148">
        <v>1409020101</v>
      </c>
      <c r="AZ658" s="148"/>
      <c r="BA658" s="148"/>
      <c r="BB658" s="159"/>
      <c r="BC658" s="159"/>
      <c r="BD658" s="159"/>
      <c r="BE658" s="159"/>
      <c r="BF658" s="159"/>
      <c r="BG658" s="159"/>
      <c r="BH658" s="159"/>
      <c r="BI658" s="159"/>
      <c r="BJ658" s="159"/>
      <c r="BK658" s="159"/>
      <c r="BL658" s="159"/>
      <c r="BM658" s="159"/>
      <c r="BN658" s="159"/>
      <c r="BO658" s="159"/>
      <c r="BP658" s="159"/>
      <c r="BQ658" s="159"/>
      <c r="BR658" s="159"/>
      <c r="BS658" s="159"/>
      <c r="BT658" s="159"/>
      <c r="BU658" s="159"/>
      <c r="BV658" s="159"/>
      <c r="BW658" s="159"/>
      <c r="BX658" s="159"/>
      <c r="BY658" s="159"/>
    </row>
    <row r="659" spans="1:77" x14ac:dyDescent="0.15">
      <c r="A659" s="159">
        <v>1409020022</v>
      </c>
      <c r="B659" s="190" t="s">
        <v>579</v>
      </c>
      <c r="C659" s="148" t="s">
        <v>100</v>
      </c>
      <c r="D659" s="159"/>
      <c r="E659" s="148" t="s">
        <v>83</v>
      </c>
      <c r="F659" s="148">
        <v>150000</v>
      </c>
      <c r="G659" s="148"/>
      <c r="H659" s="159"/>
      <c r="I659" s="159"/>
      <c r="J659" s="191"/>
      <c r="K659" s="161"/>
      <c r="L659" s="161"/>
      <c r="M659" s="191" t="s">
        <v>101</v>
      </c>
      <c r="N659" s="191" t="s">
        <v>847</v>
      </c>
      <c r="O659" s="148" t="s">
        <v>79</v>
      </c>
      <c r="P659" s="148" t="s">
        <v>102</v>
      </c>
      <c r="Q659" s="148">
        <v>160</v>
      </c>
      <c r="R659" s="148"/>
      <c r="S659" s="148">
        <v>2500</v>
      </c>
      <c r="T659" s="148"/>
      <c r="U659" s="148">
        <v>3500</v>
      </c>
      <c r="V659" s="148"/>
      <c r="W659" s="148"/>
      <c r="X659" s="148"/>
      <c r="Y659" s="148"/>
      <c r="Z659" s="148"/>
      <c r="AA659" s="148"/>
      <c r="AB659" s="148"/>
      <c r="AC659" s="148"/>
      <c r="AD659" s="148"/>
      <c r="AE659" s="148"/>
      <c r="AF659" s="148"/>
      <c r="AG659" s="148"/>
      <c r="AH659" s="148"/>
      <c r="AI659" s="148"/>
      <c r="AJ659" s="148" t="s">
        <v>90</v>
      </c>
      <c r="AK659" s="148"/>
      <c r="AL659" s="148"/>
      <c r="AM659" s="148"/>
      <c r="AN659" s="148"/>
      <c r="AO659" s="148"/>
      <c r="AP659" s="148"/>
      <c r="AQ659" s="148"/>
      <c r="AR659" s="148"/>
      <c r="AS659" s="148"/>
      <c r="AT659" s="148"/>
      <c r="AU659" s="148"/>
      <c r="AV659" s="148"/>
      <c r="AW659" s="148"/>
      <c r="AX659" s="148">
        <v>1409020202</v>
      </c>
      <c r="AY659" s="148">
        <v>1409020102</v>
      </c>
      <c r="AZ659" s="148"/>
      <c r="BA659" s="148"/>
      <c r="BB659" s="159"/>
      <c r="BC659" s="159"/>
      <c r="BD659" s="159"/>
      <c r="BE659" s="159"/>
      <c r="BF659" s="159"/>
      <c r="BG659" s="159"/>
      <c r="BH659" s="159"/>
      <c r="BI659" s="159"/>
      <c r="BJ659" s="159"/>
      <c r="BK659" s="159"/>
      <c r="BL659" s="159"/>
      <c r="BM659" s="159"/>
      <c r="BN659" s="159"/>
      <c r="BO659" s="159"/>
      <c r="BP659" s="159"/>
      <c r="BQ659" s="159"/>
      <c r="BR659" s="159"/>
      <c r="BS659" s="159"/>
      <c r="BT659" s="159"/>
      <c r="BU659" s="159"/>
      <c r="BV659" s="159"/>
      <c r="BW659" s="159"/>
      <c r="BX659" s="159"/>
      <c r="BY659" s="159"/>
    </row>
    <row r="660" spans="1:77" x14ac:dyDescent="0.15">
      <c r="A660" s="159">
        <v>1409020032</v>
      </c>
      <c r="B660" s="190" t="s">
        <v>579</v>
      </c>
      <c r="C660" s="148" t="s">
        <v>100</v>
      </c>
      <c r="D660" s="159"/>
      <c r="E660" s="148" t="s">
        <v>83</v>
      </c>
      <c r="F660" s="148">
        <v>150000</v>
      </c>
      <c r="G660" s="148"/>
      <c r="H660" s="159"/>
      <c r="I660" s="159"/>
      <c r="J660" s="191"/>
      <c r="K660" s="161"/>
      <c r="L660" s="161"/>
      <c r="M660" s="191" t="s">
        <v>101</v>
      </c>
      <c r="N660" s="191" t="s">
        <v>847</v>
      </c>
      <c r="O660" s="148" t="s">
        <v>79</v>
      </c>
      <c r="P660" s="148" t="s">
        <v>102</v>
      </c>
      <c r="Q660" s="148">
        <v>220</v>
      </c>
      <c r="R660" s="148"/>
      <c r="S660" s="148">
        <v>2500</v>
      </c>
      <c r="T660" s="148"/>
      <c r="U660" s="148">
        <v>3500</v>
      </c>
      <c r="V660" s="148"/>
      <c r="W660" s="148"/>
      <c r="X660" s="148"/>
      <c r="Y660" s="148"/>
      <c r="Z660" s="148"/>
      <c r="AA660" s="148"/>
      <c r="AB660" s="148"/>
      <c r="AC660" s="148"/>
      <c r="AD660" s="148"/>
      <c r="AE660" s="148"/>
      <c r="AF660" s="148"/>
      <c r="AG660" s="148"/>
      <c r="AH660" s="148"/>
      <c r="AI660" s="148"/>
      <c r="AJ660" s="148" t="s">
        <v>90</v>
      </c>
      <c r="AK660" s="148"/>
      <c r="AL660" s="148"/>
      <c r="AM660" s="148"/>
      <c r="AN660" s="148"/>
      <c r="AO660" s="148"/>
      <c r="AP660" s="148"/>
      <c r="AQ660" s="148"/>
      <c r="AR660" s="148"/>
      <c r="AS660" s="148"/>
      <c r="AT660" s="148"/>
      <c r="AU660" s="148"/>
      <c r="AV660" s="148"/>
      <c r="AW660" s="148"/>
      <c r="AX660" s="148">
        <v>1409020203</v>
      </c>
      <c r="AY660" s="148">
        <v>1409020103</v>
      </c>
      <c r="AZ660" s="148"/>
      <c r="BA660" s="148"/>
      <c r="BB660" s="159"/>
      <c r="BC660" s="159"/>
      <c r="BD660" s="159"/>
      <c r="BE660" s="159"/>
      <c r="BF660" s="159"/>
      <c r="BG660" s="159"/>
      <c r="BH660" s="159"/>
      <c r="BI660" s="159"/>
      <c r="BJ660" s="159"/>
      <c r="BK660" s="159"/>
      <c r="BL660" s="159"/>
      <c r="BM660" s="159"/>
      <c r="BN660" s="159"/>
      <c r="BO660" s="159"/>
      <c r="BP660" s="159"/>
      <c r="BQ660" s="159"/>
      <c r="BR660" s="159"/>
      <c r="BS660" s="159"/>
      <c r="BT660" s="159"/>
      <c r="BU660" s="159"/>
      <c r="BV660" s="159"/>
      <c r="BW660" s="159"/>
      <c r="BX660" s="159"/>
      <c r="BY660" s="159"/>
    </row>
    <row r="661" spans="1:77" x14ac:dyDescent="0.15">
      <c r="A661" s="159">
        <v>1409020042</v>
      </c>
      <c r="B661" s="190" t="s">
        <v>579</v>
      </c>
      <c r="C661" s="148" t="s">
        <v>100</v>
      </c>
      <c r="D661" s="159"/>
      <c r="E661" s="148" t="s">
        <v>83</v>
      </c>
      <c r="F661" s="148">
        <v>150000</v>
      </c>
      <c r="G661" s="148"/>
      <c r="H661" s="159"/>
      <c r="I661" s="159"/>
      <c r="J661" s="191"/>
      <c r="K661" s="161"/>
      <c r="L661" s="161"/>
      <c r="M661" s="191" t="s">
        <v>101</v>
      </c>
      <c r="N661" s="191" t="s">
        <v>847</v>
      </c>
      <c r="O661" s="148" t="s">
        <v>79</v>
      </c>
      <c r="P661" s="148" t="s">
        <v>102</v>
      </c>
      <c r="Q661" s="148">
        <v>280</v>
      </c>
      <c r="R661" s="148"/>
      <c r="S661" s="148">
        <v>2500</v>
      </c>
      <c r="T661" s="148"/>
      <c r="U661" s="148">
        <v>3500</v>
      </c>
      <c r="V661" s="148"/>
      <c r="W661" s="148"/>
      <c r="X661" s="148"/>
      <c r="Y661" s="148"/>
      <c r="Z661" s="148"/>
      <c r="AA661" s="148"/>
      <c r="AB661" s="148"/>
      <c r="AC661" s="148"/>
      <c r="AD661" s="148"/>
      <c r="AE661" s="148"/>
      <c r="AF661" s="148"/>
      <c r="AG661" s="148"/>
      <c r="AH661" s="148"/>
      <c r="AI661" s="148"/>
      <c r="AJ661" s="148" t="s">
        <v>90</v>
      </c>
      <c r="AK661" s="148"/>
      <c r="AL661" s="148"/>
      <c r="AM661" s="148"/>
      <c r="AN661" s="148"/>
      <c r="AO661" s="148"/>
      <c r="AP661" s="148"/>
      <c r="AQ661" s="148"/>
      <c r="AR661" s="148"/>
      <c r="AS661" s="148"/>
      <c r="AT661" s="148"/>
      <c r="AU661" s="148"/>
      <c r="AV661" s="148"/>
      <c r="AW661" s="148"/>
      <c r="AX661" s="148">
        <v>1409020204</v>
      </c>
      <c r="AY661" s="148">
        <v>1409020104</v>
      </c>
      <c r="AZ661" s="148"/>
      <c r="BA661" s="148"/>
      <c r="BB661" s="159"/>
      <c r="BC661" s="159"/>
      <c r="BD661" s="159"/>
      <c r="BE661" s="159"/>
      <c r="BF661" s="159"/>
      <c r="BG661" s="159"/>
      <c r="BH661" s="159"/>
      <c r="BI661" s="159"/>
      <c r="BJ661" s="159"/>
      <c r="BK661" s="159"/>
      <c r="BL661" s="159"/>
      <c r="BM661" s="159"/>
      <c r="BN661" s="159"/>
      <c r="BO661" s="159"/>
      <c r="BP661" s="159"/>
      <c r="BQ661" s="159"/>
      <c r="BR661" s="159"/>
      <c r="BS661" s="159"/>
      <c r="BT661" s="159"/>
      <c r="BU661" s="159"/>
      <c r="BV661" s="159"/>
      <c r="BW661" s="159"/>
      <c r="BX661" s="159"/>
      <c r="BY661" s="159"/>
    </row>
    <row r="662" spans="1:77" x14ac:dyDescent="0.15">
      <c r="A662" s="159">
        <v>1409030011</v>
      </c>
      <c r="B662" s="190" t="s">
        <v>580</v>
      </c>
      <c r="C662" s="148" t="s">
        <v>89</v>
      </c>
      <c r="D662" s="159"/>
      <c r="E662" s="148" t="s">
        <v>78</v>
      </c>
      <c r="F662" s="148"/>
      <c r="G662" s="148"/>
      <c r="H662" s="159"/>
      <c r="I662" s="159"/>
      <c r="J662" s="191"/>
      <c r="K662" s="191"/>
      <c r="L662" s="191"/>
      <c r="M662" s="191"/>
      <c r="N662" s="191"/>
      <c r="O662" s="148" t="s">
        <v>90</v>
      </c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  <c r="AC662" s="148">
        <v>1409030101</v>
      </c>
      <c r="AD662" s="148">
        <v>1409030101</v>
      </c>
      <c r="AE662" s="148"/>
      <c r="AF662" s="148"/>
      <c r="AG662" s="148"/>
      <c r="AH662" s="148"/>
      <c r="AI662" s="148"/>
      <c r="AJ662" s="148" t="s">
        <v>90</v>
      </c>
      <c r="AK662" s="148"/>
      <c r="AL662" s="148"/>
      <c r="AM662" s="148"/>
      <c r="AN662" s="148"/>
      <c r="AO662" s="148"/>
      <c r="AP662" s="148"/>
      <c r="AQ662" s="148"/>
      <c r="AR662" s="148"/>
      <c r="AS662" s="148"/>
      <c r="AT662" s="148"/>
      <c r="AU662" s="148"/>
      <c r="AV662" s="148"/>
      <c r="AW662" s="148"/>
      <c r="AX662" s="148">
        <v>1409030201</v>
      </c>
      <c r="AY662" s="148">
        <v>1409030201</v>
      </c>
      <c r="AZ662" s="148"/>
      <c r="BA662" s="148"/>
      <c r="BB662" s="159"/>
      <c r="BC662" s="159"/>
      <c r="BD662" s="159"/>
      <c r="BE662" s="159"/>
      <c r="BF662" s="159"/>
      <c r="BG662" s="159"/>
      <c r="BH662" s="159"/>
      <c r="BI662" s="159"/>
      <c r="BJ662" s="159"/>
      <c r="BK662" s="159"/>
      <c r="BL662" s="159"/>
      <c r="BM662" s="159"/>
      <c r="BN662" s="159"/>
      <c r="BO662" s="159"/>
      <c r="BP662" s="159"/>
      <c r="BQ662" s="159"/>
      <c r="BR662" s="159"/>
      <c r="BS662" s="159"/>
      <c r="BT662" s="159"/>
      <c r="BU662" s="159"/>
      <c r="BV662" s="159"/>
      <c r="BW662" s="159"/>
      <c r="BX662" s="159"/>
      <c r="BY662" s="159"/>
    </row>
    <row r="663" spans="1:77" x14ac:dyDescent="0.15">
      <c r="A663" s="159">
        <v>1409030021</v>
      </c>
      <c r="B663" s="190" t="s">
        <v>580</v>
      </c>
      <c r="C663" s="148" t="s">
        <v>89</v>
      </c>
      <c r="D663" s="159"/>
      <c r="E663" s="148" t="s">
        <v>78</v>
      </c>
      <c r="F663" s="148"/>
      <c r="G663" s="148"/>
      <c r="H663" s="159"/>
      <c r="I663" s="159"/>
      <c r="J663" s="191"/>
      <c r="K663" s="191"/>
      <c r="L663" s="191"/>
      <c r="M663" s="191"/>
      <c r="N663" s="191"/>
      <c r="O663" s="148" t="s">
        <v>90</v>
      </c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  <c r="AC663" s="148">
        <v>1409030102</v>
      </c>
      <c r="AD663" s="148">
        <v>1409030102</v>
      </c>
      <c r="AE663" s="148"/>
      <c r="AF663" s="148"/>
      <c r="AG663" s="148"/>
      <c r="AH663" s="148"/>
      <c r="AI663" s="148"/>
      <c r="AJ663" s="148" t="s">
        <v>90</v>
      </c>
      <c r="AK663" s="148"/>
      <c r="AL663" s="148"/>
      <c r="AM663" s="148"/>
      <c r="AN663" s="148"/>
      <c r="AO663" s="148"/>
      <c r="AP663" s="148"/>
      <c r="AQ663" s="148"/>
      <c r="AR663" s="148"/>
      <c r="AS663" s="148"/>
      <c r="AT663" s="148"/>
      <c r="AU663" s="148"/>
      <c r="AV663" s="148"/>
      <c r="AW663" s="148"/>
      <c r="AX663" s="148">
        <v>1409030202</v>
      </c>
      <c r="AY663" s="148">
        <v>1409030202</v>
      </c>
      <c r="AZ663" s="148"/>
      <c r="BA663" s="148"/>
      <c r="BB663" s="159"/>
      <c r="BC663" s="159"/>
      <c r="BD663" s="159"/>
      <c r="BE663" s="159"/>
      <c r="BF663" s="159"/>
      <c r="BG663" s="159"/>
      <c r="BH663" s="159"/>
      <c r="BI663" s="159"/>
      <c r="BJ663" s="159"/>
      <c r="BK663" s="159"/>
      <c r="BL663" s="159"/>
      <c r="BM663" s="159"/>
      <c r="BN663" s="159"/>
      <c r="BO663" s="159"/>
      <c r="BP663" s="159"/>
      <c r="BQ663" s="159"/>
      <c r="BR663" s="159"/>
      <c r="BS663" s="159"/>
      <c r="BT663" s="159"/>
      <c r="BU663" s="159"/>
      <c r="BV663" s="159"/>
      <c r="BW663" s="159"/>
      <c r="BX663" s="159"/>
      <c r="BY663" s="159"/>
    </row>
    <row r="664" spans="1:77" x14ac:dyDescent="0.15">
      <c r="A664" s="159">
        <v>1409030031</v>
      </c>
      <c r="B664" s="190" t="s">
        <v>580</v>
      </c>
      <c r="C664" s="148" t="s">
        <v>89</v>
      </c>
      <c r="D664" s="159"/>
      <c r="E664" s="148" t="s">
        <v>78</v>
      </c>
      <c r="F664" s="148"/>
      <c r="G664" s="148"/>
      <c r="H664" s="159"/>
      <c r="I664" s="159"/>
      <c r="J664" s="191"/>
      <c r="K664" s="191"/>
      <c r="L664" s="191"/>
      <c r="M664" s="191"/>
      <c r="N664" s="191"/>
      <c r="O664" s="148" t="s">
        <v>90</v>
      </c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  <c r="AC664" s="148">
        <v>1409030103</v>
      </c>
      <c r="AD664" s="148">
        <v>1409030103</v>
      </c>
      <c r="AE664" s="148"/>
      <c r="AF664" s="148"/>
      <c r="AG664" s="148"/>
      <c r="AH664" s="148"/>
      <c r="AI664" s="148"/>
      <c r="AJ664" s="148" t="s">
        <v>90</v>
      </c>
      <c r="AK664" s="148"/>
      <c r="AL664" s="148"/>
      <c r="AM664" s="148"/>
      <c r="AN664" s="148"/>
      <c r="AO664" s="148"/>
      <c r="AP664" s="148"/>
      <c r="AQ664" s="148"/>
      <c r="AR664" s="148"/>
      <c r="AS664" s="148"/>
      <c r="AT664" s="148"/>
      <c r="AU664" s="148"/>
      <c r="AV664" s="148"/>
      <c r="AW664" s="148"/>
      <c r="AX664" s="148">
        <v>1409030203</v>
      </c>
      <c r="AY664" s="148">
        <v>1409030203</v>
      </c>
      <c r="AZ664" s="148"/>
      <c r="BA664" s="148"/>
      <c r="BB664" s="159"/>
      <c r="BC664" s="159"/>
      <c r="BD664" s="159"/>
      <c r="BE664" s="159"/>
      <c r="BF664" s="159"/>
      <c r="BG664" s="159"/>
      <c r="BH664" s="159"/>
      <c r="BI664" s="159"/>
      <c r="BJ664" s="159"/>
      <c r="BK664" s="159"/>
      <c r="BL664" s="159"/>
      <c r="BM664" s="159"/>
      <c r="BN664" s="159"/>
      <c r="BO664" s="159"/>
      <c r="BP664" s="159"/>
      <c r="BQ664" s="159"/>
      <c r="BR664" s="159"/>
      <c r="BS664" s="159"/>
      <c r="BT664" s="159"/>
      <c r="BU664" s="159"/>
      <c r="BV664" s="159"/>
      <c r="BW664" s="159"/>
      <c r="BX664" s="159"/>
      <c r="BY664" s="159"/>
    </row>
    <row r="665" spans="1:77" x14ac:dyDescent="0.15">
      <c r="A665" s="159">
        <v>1409040011</v>
      </c>
      <c r="B665" s="190" t="s">
        <v>581</v>
      </c>
      <c r="C665" s="148" t="s">
        <v>89</v>
      </c>
      <c r="D665" s="159"/>
      <c r="E665" s="148" t="s">
        <v>83</v>
      </c>
      <c r="F665" s="148">
        <v>100000</v>
      </c>
      <c r="G665" s="148"/>
      <c r="H665" s="159"/>
      <c r="I665" s="159"/>
      <c r="J665" s="191"/>
      <c r="K665" s="191"/>
      <c r="L665" s="191"/>
      <c r="M665" s="191"/>
      <c r="N665" s="191"/>
      <c r="O665" s="148" t="s">
        <v>98</v>
      </c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  <c r="AC665" s="148"/>
      <c r="AD665" s="148"/>
      <c r="AE665" s="148">
        <v>140904001</v>
      </c>
      <c r="AF665" s="148"/>
      <c r="AG665" s="148"/>
      <c r="AH665" s="148"/>
      <c r="AI665" s="148"/>
      <c r="AJ665" s="148"/>
      <c r="AK665" s="148"/>
      <c r="AL665" s="148"/>
      <c r="AM665" s="148"/>
      <c r="AN665" s="148"/>
      <c r="AO665" s="148"/>
      <c r="AP665" s="148"/>
      <c r="AQ665" s="148"/>
      <c r="AR665" s="148"/>
      <c r="AS665" s="148"/>
      <c r="AT665" s="148"/>
      <c r="AU665" s="148"/>
      <c r="AV665" s="148"/>
      <c r="AW665" s="148"/>
      <c r="AX665" s="148"/>
      <c r="AY665" s="148"/>
      <c r="AZ665" s="148"/>
      <c r="BA665" s="148"/>
      <c r="BB665" s="159"/>
      <c r="BC665" s="159"/>
      <c r="BD665" s="159"/>
      <c r="BE665" s="159"/>
      <c r="BF665" s="159"/>
      <c r="BG665" s="159"/>
      <c r="BH665" s="159"/>
      <c r="BI665" s="159"/>
      <c r="BJ665" s="159"/>
      <c r="BK665" s="159"/>
      <c r="BL665" s="159"/>
      <c r="BM665" s="159"/>
      <c r="BN665" s="159"/>
      <c r="BO665" s="159"/>
      <c r="BP665" s="159"/>
      <c r="BQ665" s="159"/>
      <c r="BR665" s="159"/>
      <c r="BS665" s="159"/>
      <c r="BT665" s="159"/>
      <c r="BU665" s="159"/>
      <c r="BV665" s="159"/>
      <c r="BW665" s="159"/>
      <c r="BX665" s="159"/>
      <c r="BY665" s="159"/>
    </row>
    <row r="666" spans="1:77" x14ac:dyDescent="0.15">
      <c r="A666" s="159">
        <v>1409040012</v>
      </c>
      <c r="B666" s="190" t="s">
        <v>582</v>
      </c>
      <c r="C666" s="148" t="s">
        <v>112</v>
      </c>
      <c r="D666" s="159"/>
      <c r="E666" s="148" t="s">
        <v>78</v>
      </c>
      <c r="F666" s="148"/>
      <c r="G666" s="148"/>
      <c r="H666" s="159"/>
      <c r="I666" s="159"/>
      <c r="J666" s="191"/>
      <c r="K666" s="191"/>
      <c r="L666" s="191"/>
      <c r="M666" s="191"/>
      <c r="N666" s="191"/>
      <c r="O666" s="148" t="s">
        <v>306</v>
      </c>
      <c r="P666" s="148"/>
      <c r="Q666" s="148">
        <v>100</v>
      </c>
      <c r="R666" s="148"/>
      <c r="S666" s="148">
        <v>1000</v>
      </c>
      <c r="T666" s="148"/>
      <c r="U666" s="148"/>
      <c r="V666" s="148"/>
      <c r="W666" s="148"/>
      <c r="X666" s="148"/>
      <c r="Y666" s="148"/>
      <c r="Z666" s="148"/>
      <c r="AA666" s="148"/>
      <c r="AB666" s="148"/>
      <c r="AC666" s="148"/>
      <c r="AD666" s="148"/>
      <c r="AE666" s="148"/>
      <c r="AF666" s="148"/>
      <c r="AG666" s="148"/>
      <c r="AH666" s="148"/>
      <c r="AI666" s="148"/>
      <c r="AJ666" s="148"/>
      <c r="AK666" s="148"/>
      <c r="AL666" s="148"/>
      <c r="AM666" s="148"/>
      <c r="AN666" s="148"/>
      <c r="AO666" s="148"/>
      <c r="AP666" s="148"/>
      <c r="AQ666" s="148"/>
      <c r="AR666" s="148"/>
      <c r="AS666" s="148"/>
      <c r="AT666" s="148"/>
      <c r="AU666" s="148"/>
      <c r="AV666" s="148"/>
      <c r="AW666" s="148"/>
      <c r="AX666" s="148"/>
      <c r="AY666" s="148"/>
      <c r="AZ666" s="148"/>
      <c r="BA666" s="148"/>
      <c r="BB666" s="159"/>
      <c r="BC666" s="159"/>
      <c r="BD666" s="159"/>
      <c r="BE666" s="159"/>
      <c r="BF666" s="159"/>
      <c r="BG666" s="159"/>
      <c r="BH666" s="159"/>
      <c r="BI666" s="159"/>
      <c r="BJ666" s="159"/>
      <c r="BK666" s="159"/>
      <c r="BL666" s="159"/>
      <c r="BM666" s="159"/>
      <c r="BN666" s="159"/>
      <c r="BO666" s="159"/>
      <c r="BP666" s="159"/>
      <c r="BQ666" s="159"/>
      <c r="BR666" s="159"/>
      <c r="BS666" s="159"/>
      <c r="BT666" s="159"/>
      <c r="BU666" s="159"/>
      <c r="BV666" s="159"/>
      <c r="BW666" s="159"/>
      <c r="BX666" s="159"/>
      <c r="BY666" s="159"/>
    </row>
    <row r="667" spans="1:77" x14ac:dyDescent="0.15">
      <c r="A667" s="159">
        <v>1409040022</v>
      </c>
      <c r="B667" s="190" t="s">
        <v>582</v>
      </c>
      <c r="C667" s="148" t="s">
        <v>112</v>
      </c>
      <c r="D667" s="159"/>
      <c r="E667" s="148" t="s">
        <v>78</v>
      </c>
      <c r="F667" s="148"/>
      <c r="G667" s="148"/>
      <c r="H667" s="159"/>
      <c r="I667" s="159"/>
      <c r="J667" s="191"/>
      <c r="K667" s="191"/>
      <c r="L667" s="191"/>
      <c r="M667" s="191"/>
      <c r="N667" s="191"/>
      <c r="O667" s="148" t="s">
        <v>306</v>
      </c>
      <c r="P667" s="148"/>
      <c r="Q667" s="148">
        <v>150</v>
      </c>
      <c r="R667" s="148"/>
      <c r="S667" s="148">
        <v>1000</v>
      </c>
      <c r="T667" s="148"/>
      <c r="U667" s="148"/>
      <c r="V667" s="148"/>
      <c r="W667" s="148"/>
      <c r="X667" s="148"/>
      <c r="Y667" s="148"/>
      <c r="Z667" s="148"/>
      <c r="AA667" s="148"/>
      <c r="AB667" s="148"/>
      <c r="AC667" s="148"/>
      <c r="AD667" s="148"/>
      <c r="AE667" s="148"/>
      <c r="AF667" s="148"/>
      <c r="AG667" s="148"/>
      <c r="AH667" s="148"/>
      <c r="AI667" s="148"/>
      <c r="AJ667" s="148"/>
      <c r="AK667" s="148"/>
      <c r="AL667" s="148"/>
      <c r="AM667" s="148"/>
      <c r="AN667" s="148"/>
      <c r="AO667" s="148"/>
      <c r="AP667" s="148"/>
      <c r="AQ667" s="148"/>
      <c r="AR667" s="148"/>
      <c r="AS667" s="148"/>
      <c r="AT667" s="148"/>
      <c r="AU667" s="148"/>
      <c r="AV667" s="148"/>
      <c r="AW667" s="148"/>
      <c r="AX667" s="148"/>
      <c r="AY667" s="148"/>
      <c r="AZ667" s="148"/>
      <c r="BA667" s="148"/>
      <c r="BB667" s="159"/>
      <c r="BC667" s="159"/>
      <c r="BD667" s="159"/>
      <c r="BE667" s="159"/>
      <c r="BF667" s="159"/>
      <c r="BG667" s="159"/>
      <c r="BH667" s="159"/>
      <c r="BI667" s="159"/>
      <c r="BJ667" s="159"/>
      <c r="BK667" s="159"/>
      <c r="BL667" s="159"/>
      <c r="BM667" s="159"/>
      <c r="BN667" s="159"/>
      <c r="BO667" s="159"/>
      <c r="BP667" s="159"/>
      <c r="BQ667" s="159"/>
      <c r="BR667" s="159"/>
      <c r="BS667" s="159"/>
      <c r="BT667" s="159"/>
      <c r="BU667" s="159"/>
      <c r="BV667" s="159"/>
      <c r="BW667" s="159"/>
      <c r="BX667" s="159"/>
      <c r="BY667" s="159"/>
    </row>
    <row r="668" spans="1:77" x14ac:dyDescent="0.15">
      <c r="A668" s="159">
        <v>1409040013</v>
      </c>
      <c r="B668" s="190" t="s">
        <v>583</v>
      </c>
      <c r="C668" s="148" t="s">
        <v>584</v>
      </c>
      <c r="D668" s="159"/>
      <c r="E668" s="148" t="s">
        <v>83</v>
      </c>
      <c r="F668" s="148">
        <v>250000</v>
      </c>
      <c r="G668" s="148"/>
      <c r="H668" s="159"/>
      <c r="I668" s="159"/>
      <c r="J668" s="191"/>
      <c r="K668" s="191"/>
      <c r="L668" s="191"/>
      <c r="M668" s="191"/>
      <c r="N668" s="191"/>
      <c r="O668" s="148" t="s">
        <v>113</v>
      </c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  <c r="AC668" s="148"/>
      <c r="AD668" s="148"/>
      <c r="AE668" s="148" t="s">
        <v>122</v>
      </c>
      <c r="AF668" s="148"/>
      <c r="AG668" s="148"/>
      <c r="AH668" s="148"/>
      <c r="AI668" s="148"/>
      <c r="AJ668" s="148"/>
      <c r="AK668" s="148"/>
      <c r="AL668" s="148"/>
      <c r="AM668" s="148"/>
      <c r="AN668" s="148"/>
      <c r="AO668" s="148"/>
      <c r="AP668" s="148"/>
      <c r="AQ668" s="148"/>
      <c r="AR668" s="148"/>
      <c r="AS668" s="148"/>
      <c r="AT668" s="148"/>
      <c r="AU668" s="148"/>
      <c r="AV668" s="148"/>
      <c r="AW668" s="148"/>
      <c r="AX668" s="148"/>
      <c r="AY668" s="148"/>
      <c r="AZ668" s="148"/>
      <c r="BA668" s="148"/>
      <c r="BB668" s="159"/>
      <c r="BC668" s="159"/>
      <c r="BD668" s="159"/>
      <c r="BE668" s="159"/>
      <c r="BF668" s="159"/>
      <c r="BG668" s="159"/>
      <c r="BH668" s="159"/>
      <c r="BI668" s="159"/>
      <c r="BJ668" s="159"/>
      <c r="BK668" s="159"/>
      <c r="BL668" s="159"/>
      <c r="BM668" s="159"/>
      <c r="BN668" s="159"/>
      <c r="BO668" s="159"/>
      <c r="BP668" s="159"/>
      <c r="BQ668" s="159"/>
      <c r="BR668" s="159"/>
      <c r="BS668" s="159"/>
      <c r="BT668" s="159"/>
      <c r="BU668" s="159"/>
      <c r="BV668" s="159"/>
      <c r="BW668" s="159"/>
      <c r="BX668" s="159"/>
      <c r="BY668" s="159"/>
    </row>
    <row r="669" spans="1:77" x14ac:dyDescent="0.15">
      <c r="A669" s="148">
        <v>1409041011</v>
      </c>
      <c r="B669" s="149" t="s">
        <v>585</v>
      </c>
      <c r="C669" s="148" t="s">
        <v>89</v>
      </c>
      <c r="D669" s="148"/>
      <c r="E669" s="148" t="s">
        <v>78</v>
      </c>
      <c r="F669" s="148"/>
      <c r="G669" s="148"/>
      <c r="H669" s="148"/>
      <c r="I669" s="148"/>
      <c r="J669" s="161"/>
      <c r="K669" s="161"/>
      <c r="L669" s="161"/>
      <c r="M669" s="161"/>
      <c r="N669" s="161"/>
      <c r="O669" s="148" t="s">
        <v>531</v>
      </c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  <c r="AC669" s="148"/>
      <c r="AD669" s="148"/>
      <c r="AE669" s="148">
        <v>1409040</v>
      </c>
      <c r="AF669" s="148"/>
      <c r="AG669" s="148"/>
      <c r="AH669" s="148"/>
      <c r="AI669" s="148"/>
      <c r="AJ669" s="148"/>
      <c r="AK669" s="148"/>
      <c r="AL669" s="148"/>
      <c r="AM669" s="148"/>
      <c r="AN669" s="148"/>
      <c r="AO669" s="148"/>
      <c r="AP669" s="148"/>
      <c r="AQ669" s="148"/>
      <c r="AR669" s="148"/>
      <c r="AS669" s="148"/>
      <c r="AT669" s="148"/>
      <c r="AU669" s="148"/>
      <c r="AV669" s="148"/>
      <c r="AW669" s="148"/>
      <c r="AX669" s="148"/>
      <c r="AY669" s="148"/>
      <c r="AZ669" s="148"/>
      <c r="BA669" s="148"/>
      <c r="BB669" s="148"/>
      <c r="BC669" s="148"/>
      <c r="BD669" s="148"/>
      <c r="BE669" s="148"/>
      <c r="BF669" s="148"/>
      <c r="BG669" s="148"/>
      <c r="BH669" s="148"/>
      <c r="BI669" s="148"/>
      <c r="BJ669" s="148"/>
      <c r="BK669" s="148"/>
      <c r="BL669" s="148"/>
      <c r="BM669" s="148"/>
      <c r="BN669" s="148"/>
      <c r="BO669" s="148"/>
      <c r="BP669" s="148"/>
      <c r="BQ669" s="148"/>
      <c r="BR669" s="148"/>
      <c r="BS669" s="148"/>
      <c r="BT669" s="148"/>
      <c r="BU669" s="148"/>
      <c r="BV669" s="148"/>
      <c r="BW669" s="148"/>
      <c r="BX669" s="148"/>
      <c r="BY669" s="170"/>
    </row>
    <row r="670" spans="1:77" s="19" customFormat="1" x14ac:dyDescent="0.15">
      <c r="A670" s="151">
        <v>1417001011</v>
      </c>
      <c r="B670" s="157" t="s">
        <v>586</v>
      </c>
      <c r="C670" s="151" t="s">
        <v>77</v>
      </c>
      <c r="D670" s="151"/>
      <c r="E670" s="151" t="s">
        <v>78</v>
      </c>
      <c r="F670" s="151"/>
      <c r="G670" s="151"/>
      <c r="H670" s="151"/>
      <c r="I670" s="151"/>
      <c r="J670" s="165"/>
      <c r="K670" s="165"/>
      <c r="L670" s="165"/>
      <c r="M670" s="165"/>
      <c r="N670" s="165"/>
      <c r="O670" s="151" t="s">
        <v>79</v>
      </c>
      <c r="P670" s="151" t="s">
        <v>80</v>
      </c>
      <c r="Q670" s="151"/>
      <c r="R670" s="151">
        <v>10000</v>
      </c>
      <c r="S670" s="151"/>
      <c r="T670" s="151">
        <v>10000</v>
      </c>
      <c r="U670" s="151"/>
      <c r="V670" s="151" t="s">
        <v>101</v>
      </c>
      <c r="W670" s="151"/>
      <c r="X670" s="151"/>
      <c r="Y670" s="151"/>
      <c r="Z670" s="151"/>
      <c r="AA670" s="151"/>
      <c r="AB670" s="151"/>
      <c r="AC670" s="151"/>
      <c r="AD670" s="151"/>
      <c r="AE670" s="151"/>
      <c r="AF670" s="151"/>
      <c r="AG670" s="151"/>
      <c r="AH670" s="151"/>
      <c r="AI670" s="151"/>
      <c r="AJ670" s="151"/>
      <c r="AK670" s="151"/>
      <c r="AL670" s="151"/>
      <c r="AM670" s="151"/>
      <c r="AN670" s="151"/>
      <c r="AO670" s="151"/>
      <c r="AP670" s="151"/>
      <c r="AQ670" s="151"/>
      <c r="AR670" s="151"/>
      <c r="AS670" s="151"/>
      <c r="AT670" s="151"/>
      <c r="AU670" s="151"/>
      <c r="AV670" s="151"/>
      <c r="AW670" s="151"/>
      <c r="AX670" s="151"/>
      <c r="AY670" s="151"/>
      <c r="AZ670" s="151"/>
      <c r="BA670" s="151"/>
      <c r="BB670" s="151"/>
      <c r="BC670" s="151"/>
      <c r="BD670" s="151"/>
      <c r="BE670" s="151"/>
      <c r="BF670" s="151"/>
      <c r="BG670" s="151"/>
      <c r="BH670" s="151"/>
      <c r="BI670" s="151"/>
      <c r="BJ670" s="151"/>
      <c r="BK670" s="151"/>
      <c r="BL670" s="151"/>
      <c r="BM670" s="151"/>
      <c r="BN670" s="151"/>
      <c r="BO670" s="151"/>
      <c r="BP670" s="151"/>
      <c r="BQ670" s="151"/>
      <c r="BR670" s="151"/>
      <c r="BS670" s="151"/>
      <c r="BT670" s="151"/>
      <c r="BU670" s="151"/>
      <c r="BV670" s="151"/>
      <c r="BW670" s="151"/>
      <c r="BX670" s="151"/>
      <c r="BY670" s="151"/>
    </row>
    <row r="671" spans="1:77" s="19" customFormat="1" x14ac:dyDescent="0.15">
      <c r="A671" s="151">
        <v>1417010011</v>
      </c>
      <c r="B671" s="157" t="s">
        <v>587</v>
      </c>
      <c r="C671" s="151" t="s">
        <v>100</v>
      </c>
      <c r="D671" s="151"/>
      <c r="E671" s="151" t="s">
        <v>85</v>
      </c>
      <c r="F671" s="151">
        <v>40000</v>
      </c>
      <c r="G671" s="151">
        <v>250000</v>
      </c>
      <c r="H671" s="151"/>
      <c r="I671" s="151"/>
      <c r="J671" s="165"/>
      <c r="K671" s="165"/>
      <c r="L671" s="165"/>
      <c r="M671" s="165" t="s">
        <v>101</v>
      </c>
      <c r="N671" s="165" t="s">
        <v>845</v>
      </c>
      <c r="O671" s="151" t="s">
        <v>79</v>
      </c>
      <c r="P671" s="151" t="s">
        <v>80</v>
      </c>
      <c r="Q671" s="163">
        <v>200</v>
      </c>
      <c r="R671" s="151">
        <v>3000</v>
      </c>
      <c r="S671" s="151"/>
      <c r="T671" s="151"/>
      <c r="U671" s="151"/>
      <c r="V671" s="151"/>
      <c r="W671" s="151" t="s">
        <v>538</v>
      </c>
      <c r="X671" s="151">
        <v>50000</v>
      </c>
      <c r="Y671" s="151" t="s">
        <v>171</v>
      </c>
      <c r="Z671" s="192">
        <f>AA671/3</f>
        <v>33.333333333333336</v>
      </c>
      <c r="AA671" s="151">
        <v>100</v>
      </c>
      <c r="AB671" s="151"/>
      <c r="AC671" s="151"/>
      <c r="AD671" s="151"/>
      <c r="AE671" s="151"/>
      <c r="AF671" s="151"/>
      <c r="AG671" s="151"/>
      <c r="AH671" s="151"/>
      <c r="AI671" s="151"/>
      <c r="AJ671" s="151"/>
      <c r="AK671" s="151"/>
      <c r="AL671" s="151"/>
      <c r="AM671" s="151"/>
      <c r="AN671" s="151"/>
      <c r="AO671" s="151"/>
      <c r="AP671" s="151"/>
      <c r="AQ671" s="151"/>
      <c r="AR671" s="151"/>
      <c r="AS671" s="151"/>
      <c r="AT671" s="151"/>
      <c r="AU671" s="151"/>
      <c r="AV671" s="151"/>
      <c r="AW671" s="151"/>
      <c r="AX671" s="151"/>
      <c r="AY671" s="151"/>
      <c r="AZ671" s="151"/>
      <c r="BA671" s="151"/>
      <c r="BB671" s="151"/>
      <c r="BC671" s="151"/>
      <c r="BD671" s="151"/>
      <c r="BE671" s="151"/>
      <c r="BF671" s="151"/>
      <c r="BG671" s="151"/>
      <c r="BH671" s="151"/>
      <c r="BI671" s="151"/>
      <c r="BJ671" s="151"/>
      <c r="BK671" s="151"/>
      <c r="BL671" s="151"/>
      <c r="BM671" s="151"/>
      <c r="BN671" s="151"/>
      <c r="BO671" s="151"/>
      <c r="BP671" s="151"/>
      <c r="BQ671" s="151"/>
      <c r="BR671" s="151"/>
      <c r="BS671" s="151"/>
      <c r="BT671" s="151"/>
      <c r="BU671" s="151"/>
      <c r="BV671" s="151"/>
      <c r="BW671" s="151"/>
      <c r="BX671" s="151"/>
      <c r="BY671" s="151"/>
    </row>
    <row r="672" spans="1:77" s="19" customFormat="1" x14ac:dyDescent="0.15">
      <c r="A672" s="151">
        <v>1417010021</v>
      </c>
      <c r="B672" s="157" t="s">
        <v>587</v>
      </c>
      <c r="C672" s="151" t="s">
        <v>100</v>
      </c>
      <c r="D672" s="151"/>
      <c r="E672" s="151" t="s">
        <v>85</v>
      </c>
      <c r="F672" s="151">
        <v>40000</v>
      </c>
      <c r="G672" s="151">
        <v>250000</v>
      </c>
      <c r="H672" s="151"/>
      <c r="I672" s="151"/>
      <c r="J672" s="165"/>
      <c r="K672" s="165"/>
      <c r="L672" s="165"/>
      <c r="M672" s="165" t="s">
        <v>101</v>
      </c>
      <c r="N672" s="165" t="s">
        <v>845</v>
      </c>
      <c r="O672" s="151" t="s">
        <v>79</v>
      </c>
      <c r="P672" s="151" t="s">
        <v>80</v>
      </c>
      <c r="Q672" s="163">
        <v>280</v>
      </c>
      <c r="R672" s="151">
        <v>3000</v>
      </c>
      <c r="S672" s="151"/>
      <c r="T672" s="151"/>
      <c r="U672" s="151"/>
      <c r="V672" s="151"/>
      <c r="W672" s="151" t="s">
        <v>538</v>
      </c>
      <c r="X672" s="151">
        <v>50000</v>
      </c>
      <c r="Y672" s="151" t="s">
        <v>171</v>
      </c>
      <c r="Z672" s="192">
        <f t="shared" ref="Z672:Z674" si="5">AA672/3</f>
        <v>46.666666666666664</v>
      </c>
      <c r="AA672" s="151">
        <v>140</v>
      </c>
      <c r="AB672" s="151"/>
      <c r="AC672" s="151"/>
      <c r="AD672" s="151"/>
      <c r="AE672" s="151"/>
      <c r="AF672" s="151"/>
      <c r="AG672" s="151"/>
      <c r="AH672" s="151"/>
      <c r="AI672" s="151"/>
      <c r="AJ672" s="151"/>
      <c r="AK672" s="151"/>
      <c r="AL672" s="151"/>
      <c r="AM672" s="151"/>
      <c r="AN672" s="151"/>
      <c r="AO672" s="151"/>
      <c r="AP672" s="151"/>
      <c r="AQ672" s="151"/>
      <c r="AR672" s="151"/>
      <c r="AS672" s="151"/>
      <c r="AT672" s="151"/>
      <c r="AU672" s="151"/>
      <c r="AV672" s="151"/>
      <c r="AW672" s="151"/>
      <c r="AX672" s="151"/>
      <c r="AY672" s="151"/>
      <c r="AZ672" s="151"/>
      <c r="BA672" s="151"/>
      <c r="BB672" s="151"/>
      <c r="BC672" s="151"/>
      <c r="BD672" s="151"/>
      <c r="BE672" s="151"/>
      <c r="BF672" s="151"/>
      <c r="BG672" s="151"/>
      <c r="BH672" s="151"/>
      <c r="BI672" s="151"/>
      <c r="BJ672" s="151"/>
      <c r="BK672" s="151"/>
      <c r="BL672" s="151"/>
      <c r="BM672" s="151"/>
      <c r="BN672" s="151"/>
      <c r="BO672" s="151"/>
      <c r="BP672" s="151"/>
      <c r="BQ672" s="151"/>
      <c r="BR672" s="151"/>
      <c r="BS672" s="151"/>
      <c r="BT672" s="151"/>
      <c r="BU672" s="151"/>
      <c r="BV672" s="151"/>
      <c r="BW672" s="151"/>
      <c r="BX672" s="151"/>
      <c r="BY672" s="151"/>
    </row>
    <row r="673" spans="1:77" s="19" customFormat="1" x14ac:dyDescent="0.15">
      <c r="A673" s="151">
        <v>1417010031</v>
      </c>
      <c r="B673" s="157" t="s">
        <v>587</v>
      </c>
      <c r="C673" s="151" t="s">
        <v>100</v>
      </c>
      <c r="D673" s="151"/>
      <c r="E673" s="151" t="s">
        <v>85</v>
      </c>
      <c r="F673" s="151">
        <v>40000</v>
      </c>
      <c r="G673" s="151">
        <v>250000</v>
      </c>
      <c r="H673" s="151"/>
      <c r="I673" s="151"/>
      <c r="J673" s="165"/>
      <c r="K673" s="165"/>
      <c r="L673" s="165"/>
      <c r="M673" s="165" t="s">
        <v>101</v>
      </c>
      <c r="N673" s="165" t="s">
        <v>845</v>
      </c>
      <c r="O673" s="151" t="s">
        <v>79</v>
      </c>
      <c r="P673" s="151" t="s">
        <v>80</v>
      </c>
      <c r="Q673" s="163">
        <v>360</v>
      </c>
      <c r="R673" s="151">
        <v>3000</v>
      </c>
      <c r="S673" s="151"/>
      <c r="T673" s="151"/>
      <c r="U673" s="151"/>
      <c r="V673" s="151"/>
      <c r="W673" s="151" t="s">
        <v>538</v>
      </c>
      <c r="X673" s="151">
        <v>50000</v>
      </c>
      <c r="Y673" s="151" t="s">
        <v>171</v>
      </c>
      <c r="Z673" s="192">
        <f t="shared" si="5"/>
        <v>60</v>
      </c>
      <c r="AA673" s="151">
        <v>180</v>
      </c>
      <c r="AB673" s="151"/>
      <c r="AC673" s="151"/>
      <c r="AD673" s="151"/>
      <c r="AE673" s="151"/>
      <c r="AF673" s="151"/>
      <c r="AG673" s="151"/>
      <c r="AH673" s="151"/>
      <c r="AI673" s="151"/>
      <c r="AJ673" s="151"/>
      <c r="AK673" s="151"/>
      <c r="AL673" s="151"/>
      <c r="AM673" s="151"/>
      <c r="AN673" s="151"/>
      <c r="AO673" s="151"/>
      <c r="AP673" s="151"/>
      <c r="AQ673" s="151"/>
      <c r="AR673" s="151"/>
      <c r="AS673" s="151"/>
      <c r="AT673" s="151"/>
      <c r="AU673" s="151"/>
      <c r="AV673" s="151"/>
      <c r="AW673" s="151"/>
      <c r="AX673" s="151"/>
      <c r="AY673" s="151"/>
      <c r="AZ673" s="151"/>
      <c r="BA673" s="151"/>
      <c r="BB673" s="151"/>
      <c r="BC673" s="151"/>
      <c r="BD673" s="151"/>
      <c r="BE673" s="151"/>
      <c r="BF673" s="151"/>
      <c r="BG673" s="151"/>
      <c r="BH673" s="151"/>
      <c r="BI673" s="151"/>
      <c r="BJ673" s="151"/>
      <c r="BK673" s="151"/>
      <c r="BL673" s="151"/>
      <c r="BM673" s="151"/>
      <c r="BN673" s="151"/>
      <c r="BO673" s="151"/>
      <c r="BP673" s="151"/>
      <c r="BQ673" s="151"/>
      <c r="BR673" s="151"/>
      <c r="BS673" s="151"/>
      <c r="BT673" s="151"/>
      <c r="BU673" s="151"/>
      <c r="BV673" s="151"/>
      <c r="BW673" s="151"/>
      <c r="BX673" s="151"/>
      <c r="BY673" s="151"/>
    </row>
    <row r="674" spans="1:77" s="19" customFormat="1" x14ac:dyDescent="0.15">
      <c r="A674" s="151">
        <v>1417010041</v>
      </c>
      <c r="B674" s="157" t="s">
        <v>587</v>
      </c>
      <c r="C674" s="151" t="s">
        <v>100</v>
      </c>
      <c r="D674" s="151"/>
      <c r="E674" s="151" t="s">
        <v>85</v>
      </c>
      <c r="F674" s="151">
        <v>40000</v>
      </c>
      <c r="G674" s="151">
        <v>250000</v>
      </c>
      <c r="H674" s="151"/>
      <c r="I674" s="151"/>
      <c r="J674" s="165"/>
      <c r="K674" s="165"/>
      <c r="L674" s="165"/>
      <c r="M674" s="165" t="s">
        <v>101</v>
      </c>
      <c r="N674" s="165" t="s">
        <v>845</v>
      </c>
      <c r="O674" s="151" t="s">
        <v>79</v>
      </c>
      <c r="P674" s="151" t="s">
        <v>80</v>
      </c>
      <c r="Q674" s="163">
        <v>440</v>
      </c>
      <c r="R674" s="151">
        <v>3000</v>
      </c>
      <c r="S674" s="151"/>
      <c r="T674" s="151"/>
      <c r="U674" s="151"/>
      <c r="V674" s="151"/>
      <c r="W674" s="151" t="s">
        <v>538</v>
      </c>
      <c r="X674" s="151">
        <v>50000</v>
      </c>
      <c r="Y674" s="151" t="s">
        <v>171</v>
      </c>
      <c r="Z674" s="192">
        <f t="shared" si="5"/>
        <v>73.333333333333329</v>
      </c>
      <c r="AA674" s="151">
        <v>220</v>
      </c>
      <c r="AB674" s="151"/>
      <c r="AC674" s="151"/>
      <c r="AD674" s="151"/>
      <c r="AE674" s="151"/>
      <c r="AF674" s="151"/>
      <c r="AG674" s="151"/>
      <c r="AH674" s="151"/>
      <c r="AI674" s="151"/>
      <c r="AJ674" s="151"/>
      <c r="AK674" s="151"/>
      <c r="AL674" s="151"/>
      <c r="AM674" s="151"/>
      <c r="AN674" s="151"/>
      <c r="AO674" s="151"/>
      <c r="AP674" s="151"/>
      <c r="AQ674" s="151"/>
      <c r="AR674" s="151"/>
      <c r="AS674" s="151"/>
      <c r="AT674" s="151"/>
      <c r="AU674" s="151"/>
      <c r="AV674" s="151"/>
      <c r="AW674" s="151"/>
      <c r="AX674" s="151"/>
      <c r="AY674" s="151"/>
      <c r="AZ674" s="151"/>
      <c r="BA674" s="151"/>
      <c r="BB674" s="151"/>
      <c r="BC674" s="151"/>
      <c r="BD674" s="151"/>
      <c r="BE674" s="151"/>
      <c r="BF674" s="151"/>
      <c r="BG674" s="151"/>
      <c r="BH674" s="151"/>
      <c r="BI674" s="151"/>
      <c r="BJ674" s="151"/>
      <c r="BK674" s="151"/>
      <c r="BL674" s="151"/>
      <c r="BM674" s="151"/>
      <c r="BN674" s="151"/>
      <c r="BO674" s="151"/>
      <c r="BP674" s="151"/>
      <c r="BQ674" s="151"/>
      <c r="BR674" s="151"/>
      <c r="BS674" s="151"/>
      <c r="BT674" s="151"/>
      <c r="BU674" s="151"/>
      <c r="BV674" s="151"/>
      <c r="BW674" s="151"/>
      <c r="BX674" s="151"/>
      <c r="BY674" s="151"/>
    </row>
    <row r="675" spans="1:77" s="19" customFormat="1" x14ac:dyDescent="0.15">
      <c r="A675" s="151">
        <v>1417020011</v>
      </c>
      <c r="B675" s="157" t="s">
        <v>588</v>
      </c>
      <c r="C675" s="151" t="s">
        <v>100</v>
      </c>
      <c r="D675" s="151"/>
      <c r="E675" s="151" t="s">
        <v>83</v>
      </c>
      <c r="F675" s="151">
        <v>50000</v>
      </c>
      <c r="G675" s="151"/>
      <c r="H675" s="151"/>
      <c r="I675" s="151"/>
      <c r="J675" s="165"/>
      <c r="K675" s="165"/>
      <c r="L675" s="165"/>
      <c r="M675" s="165" t="s">
        <v>101</v>
      </c>
      <c r="N675" s="165"/>
      <c r="O675" s="151" t="s">
        <v>79</v>
      </c>
      <c r="P675" s="151" t="s">
        <v>80</v>
      </c>
      <c r="Q675" s="163">
        <v>30</v>
      </c>
      <c r="R675" s="151">
        <v>1000</v>
      </c>
      <c r="S675" s="151"/>
      <c r="T675" s="151"/>
      <c r="U675" s="151"/>
      <c r="V675" s="151"/>
      <c r="W675" s="151"/>
      <c r="X675" s="151"/>
      <c r="Y675" s="151"/>
      <c r="Z675" s="151"/>
      <c r="AA675" s="151"/>
      <c r="AB675" s="151"/>
      <c r="AC675" s="151"/>
      <c r="AD675" s="151"/>
      <c r="AE675" s="151"/>
      <c r="AF675" s="151"/>
      <c r="AG675" s="151"/>
      <c r="AH675" s="151"/>
      <c r="AI675" s="151"/>
      <c r="AJ675" s="151" t="s">
        <v>90</v>
      </c>
      <c r="AK675" s="151"/>
      <c r="AL675" s="151"/>
      <c r="AM675" s="151"/>
      <c r="AN675" s="151"/>
      <c r="AO675" s="151"/>
      <c r="AP675" s="151"/>
      <c r="AQ675" s="151"/>
      <c r="AR675" s="151"/>
      <c r="AS675" s="151"/>
      <c r="AT675" s="151"/>
      <c r="AU675" s="151"/>
      <c r="AV675" s="151"/>
      <c r="AW675" s="151"/>
      <c r="AX675" s="151">
        <v>1417020201</v>
      </c>
      <c r="AY675" s="151">
        <v>1417020101</v>
      </c>
      <c r="AZ675" s="151"/>
      <c r="BA675" s="151"/>
      <c r="BB675" s="151"/>
      <c r="BC675" s="151"/>
      <c r="BD675" s="151"/>
      <c r="BE675" s="151"/>
      <c r="BF675" s="151"/>
      <c r="BG675" s="151"/>
      <c r="BH675" s="151"/>
      <c r="BI675" s="151"/>
      <c r="BJ675" s="151"/>
      <c r="BK675" s="151"/>
      <c r="BL675" s="151"/>
      <c r="BM675" s="151"/>
      <c r="BN675" s="151"/>
      <c r="BO675" s="151"/>
      <c r="BP675" s="151"/>
      <c r="BQ675" s="151"/>
      <c r="BR675" s="151"/>
      <c r="BS675" s="151"/>
      <c r="BT675" s="151"/>
      <c r="BU675" s="151"/>
      <c r="BV675" s="151"/>
      <c r="BW675" s="151"/>
      <c r="BX675" s="151"/>
      <c r="BY675" s="151"/>
    </row>
    <row r="676" spans="1:77" s="19" customFormat="1" x14ac:dyDescent="0.15">
      <c r="A676" s="151">
        <v>1417020021</v>
      </c>
      <c r="B676" s="157" t="s">
        <v>588</v>
      </c>
      <c r="C676" s="151" t="s">
        <v>100</v>
      </c>
      <c r="D676" s="151"/>
      <c r="E676" s="151" t="s">
        <v>83</v>
      </c>
      <c r="F676" s="151">
        <v>50000</v>
      </c>
      <c r="G676" s="151"/>
      <c r="H676" s="151"/>
      <c r="I676" s="151"/>
      <c r="J676" s="165"/>
      <c r="K676" s="165"/>
      <c r="L676" s="165"/>
      <c r="M676" s="165" t="s">
        <v>101</v>
      </c>
      <c r="N676" s="165"/>
      <c r="O676" s="151" t="s">
        <v>79</v>
      </c>
      <c r="P676" s="151" t="s">
        <v>80</v>
      </c>
      <c r="Q676" s="163">
        <v>50</v>
      </c>
      <c r="R676" s="151">
        <v>1000</v>
      </c>
      <c r="S676" s="151"/>
      <c r="T676" s="151"/>
      <c r="U676" s="151"/>
      <c r="V676" s="151"/>
      <c r="W676" s="151"/>
      <c r="X676" s="151"/>
      <c r="Y676" s="151"/>
      <c r="Z676" s="151"/>
      <c r="AA676" s="151"/>
      <c r="AB676" s="151"/>
      <c r="AC676" s="151"/>
      <c r="AD676" s="151"/>
      <c r="AE676" s="151"/>
      <c r="AF676" s="151"/>
      <c r="AG676" s="151"/>
      <c r="AH676" s="151"/>
      <c r="AI676" s="151"/>
      <c r="AJ676" s="151" t="s">
        <v>90</v>
      </c>
      <c r="AK676" s="151"/>
      <c r="AL676" s="151"/>
      <c r="AM676" s="151"/>
      <c r="AN676" s="151"/>
      <c r="AO676" s="151"/>
      <c r="AP676" s="151"/>
      <c r="AQ676" s="151"/>
      <c r="AR676" s="151"/>
      <c r="AS676" s="151"/>
      <c r="AT676" s="151"/>
      <c r="AU676" s="151"/>
      <c r="AV676" s="151"/>
      <c r="AW676" s="151"/>
      <c r="AX676" s="151">
        <v>1417020201</v>
      </c>
      <c r="AY676" s="151">
        <v>1417020101</v>
      </c>
      <c r="AZ676" s="151"/>
      <c r="BA676" s="151"/>
      <c r="BB676" s="151"/>
      <c r="BC676" s="151"/>
      <c r="BD676" s="151"/>
      <c r="BE676" s="151"/>
      <c r="BF676" s="151"/>
      <c r="BG676" s="151"/>
      <c r="BH676" s="151"/>
      <c r="BI676" s="151"/>
      <c r="BJ676" s="151"/>
      <c r="BK676" s="151"/>
      <c r="BL676" s="151"/>
      <c r="BM676" s="151"/>
      <c r="BN676" s="151"/>
      <c r="BO676" s="151"/>
      <c r="BP676" s="151"/>
      <c r="BQ676" s="151"/>
      <c r="BR676" s="151"/>
      <c r="BS676" s="151"/>
      <c r="BT676" s="151"/>
      <c r="BU676" s="151"/>
      <c r="BV676" s="151"/>
      <c r="BW676" s="151"/>
      <c r="BX676" s="151"/>
      <c r="BY676" s="151"/>
    </row>
    <row r="677" spans="1:77" s="19" customFormat="1" x14ac:dyDescent="0.15">
      <c r="A677" s="151">
        <v>1417020031</v>
      </c>
      <c r="B677" s="157" t="s">
        <v>588</v>
      </c>
      <c r="C677" s="151" t="s">
        <v>100</v>
      </c>
      <c r="D677" s="151"/>
      <c r="E677" s="151" t="s">
        <v>83</v>
      </c>
      <c r="F677" s="151">
        <v>50000</v>
      </c>
      <c r="G677" s="151"/>
      <c r="H677" s="151"/>
      <c r="I677" s="151"/>
      <c r="J677" s="165"/>
      <c r="K677" s="165"/>
      <c r="L677" s="165"/>
      <c r="M677" s="165" t="s">
        <v>101</v>
      </c>
      <c r="N677" s="165"/>
      <c r="O677" s="151" t="s">
        <v>79</v>
      </c>
      <c r="P677" s="151" t="s">
        <v>80</v>
      </c>
      <c r="Q677" s="163">
        <v>70</v>
      </c>
      <c r="R677" s="151">
        <v>1000</v>
      </c>
      <c r="S677" s="151"/>
      <c r="T677" s="151"/>
      <c r="U677" s="151"/>
      <c r="V677" s="151"/>
      <c r="W677" s="151"/>
      <c r="X677" s="151"/>
      <c r="Y677" s="151"/>
      <c r="Z677" s="151"/>
      <c r="AA677" s="151"/>
      <c r="AB677" s="151"/>
      <c r="AC677" s="151"/>
      <c r="AD677" s="151"/>
      <c r="AE677" s="151"/>
      <c r="AF677" s="151"/>
      <c r="AG677" s="151"/>
      <c r="AH677" s="151"/>
      <c r="AI677" s="151"/>
      <c r="AJ677" s="151" t="s">
        <v>90</v>
      </c>
      <c r="AK677" s="151"/>
      <c r="AL677" s="151"/>
      <c r="AM677" s="151"/>
      <c r="AN677" s="151"/>
      <c r="AO677" s="151"/>
      <c r="AP677" s="151"/>
      <c r="AQ677" s="151"/>
      <c r="AR677" s="151"/>
      <c r="AS677" s="151"/>
      <c r="AT677" s="151"/>
      <c r="AU677" s="151"/>
      <c r="AV677" s="151"/>
      <c r="AW677" s="151"/>
      <c r="AX677" s="151">
        <v>1417020201</v>
      </c>
      <c r="AY677" s="151">
        <v>1417020101</v>
      </c>
      <c r="AZ677" s="151"/>
      <c r="BA677" s="151"/>
      <c r="BB677" s="151"/>
      <c r="BC677" s="151"/>
      <c r="BD677" s="151"/>
      <c r="BE677" s="151"/>
      <c r="BF677" s="151"/>
      <c r="BG677" s="151"/>
      <c r="BH677" s="151"/>
      <c r="BI677" s="151"/>
      <c r="BJ677" s="151"/>
      <c r="BK677" s="151"/>
      <c r="BL677" s="151"/>
      <c r="BM677" s="151"/>
      <c r="BN677" s="151"/>
      <c r="BO677" s="151"/>
      <c r="BP677" s="151"/>
      <c r="BQ677" s="151"/>
      <c r="BR677" s="151"/>
      <c r="BS677" s="151"/>
      <c r="BT677" s="151"/>
      <c r="BU677" s="151"/>
      <c r="BV677" s="151"/>
      <c r="BW677" s="151"/>
      <c r="BX677" s="151"/>
      <c r="BY677" s="151"/>
    </row>
    <row r="678" spans="1:77" s="19" customFormat="1" x14ac:dyDescent="0.15">
      <c r="A678" s="151">
        <v>1417020041</v>
      </c>
      <c r="B678" s="157" t="s">
        <v>588</v>
      </c>
      <c r="C678" s="151" t="s">
        <v>100</v>
      </c>
      <c r="D678" s="151"/>
      <c r="E678" s="151" t="s">
        <v>83</v>
      </c>
      <c r="F678" s="151">
        <v>50000</v>
      </c>
      <c r="G678" s="151"/>
      <c r="H678" s="151"/>
      <c r="I678" s="151"/>
      <c r="J678" s="165"/>
      <c r="K678" s="165"/>
      <c r="L678" s="165"/>
      <c r="M678" s="165" t="s">
        <v>101</v>
      </c>
      <c r="N678" s="165"/>
      <c r="O678" s="151" t="s">
        <v>79</v>
      </c>
      <c r="P678" s="151" t="s">
        <v>80</v>
      </c>
      <c r="Q678" s="163">
        <v>90</v>
      </c>
      <c r="R678" s="151">
        <v>1000</v>
      </c>
      <c r="S678" s="151"/>
      <c r="T678" s="151"/>
      <c r="U678" s="151"/>
      <c r="V678" s="151"/>
      <c r="W678" s="151"/>
      <c r="X678" s="151"/>
      <c r="Y678" s="151"/>
      <c r="Z678" s="151"/>
      <c r="AA678" s="151"/>
      <c r="AB678" s="151"/>
      <c r="AC678" s="151"/>
      <c r="AD678" s="151"/>
      <c r="AE678" s="151"/>
      <c r="AF678" s="151"/>
      <c r="AG678" s="151"/>
      <c r="AH678" s="151"/>
      <c r="AI678" s="151"/>
      <c r="AJ678" s="151" t="s">
        <v>90</v>
      </c>
      <c r="AK678" s="151"/>
      <c r="AL678" s="151"/>
      <c r="AM678" s="151"/>
      <c r="AN678" s="151"/>
      <c r="AO678" s="151"/>
      <c r="AP678" s="151"/>
      <c r="AQ678" s="151"/>
      <c r="AR678" s="151"/>
      <c r="AS678" s="151"/>
      <c r="AT678" s="151"/>
      <c r="AU678" s="151"/>
      <c r="AV678" s="151"/>
      <c r="AW678" s="151"/>
      <c r="AX678" s="151">
        <v>1417020201</v>
      </c>
      <c r="AY678" s="151">
        <v>1417020101</v>
      </c>
      <c r="AZ678" s="151"/>
      <c r="BA678" s="151"/>
      <c r="BB678" s="151"/>
      <c r="BC678" s="151"/>
      <c r="BD678" s="151"/>
      <c r="BE678" s="151"/>
      <c r="BF678" s="151"/>
      <c r="BG678" s="151"/>
      <c r="BH678" s="151"/>
      <c r="BI678" s="151"/>
      <c r="BJ678" s="151"/>
      <c r="BK678" s="151"/>
      <c r="BL678" s="151"/>
      <c r="BM678" s="151"/>
      <c r="BN678" s="151"/>
      <c r="BO678" s="151"/>
      <c r="BP678" s="151"/>
      <c r="BQ678" s="151"/>
      <c r="BR678" s="151"/>
      <c r="BS678" s="151"/>
      <c r="BT678" s="151"/>
      <c r="BU678" s="151"/>
      <c r="BV678" s="151"/>
      <c r="BW678" s="151"/>
      <c r="BX678" s="151"/>
      <c r="BY678" s="151"/>
    </row>
    <row r="679" spans="1:77" s="19" customFormat="1" x14ac:dyDescent="0.15">
      <c r="A679" s="151">
        <v>1417020012</v>
      </c>
      <c r="B679" s="157" t="s">
        <v>589</v>
      </c>
      <c r="C679" s="151" t="s">
        <v>112</v>
      </c>
      <c r="D679" s="151"/>
      <c r="E679" s="151" t="s">
        <v>78</v>
      </c>
      <c r="F679" s="151"/>
      <c r="G679" s="151"/>
      <c r="H679" s="151"/>
      <c r="I679" s="151"/>
      <c r="J679" s="165"/>
      <c r="K679" s="165"/>
      <c r="L679" s="165"/>
      <c r="M679" s="165"/>
      <c r="N679" s="165"/>
      <c r="O679" s="151" t="s">
        <v>90</v>
      </c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  <c r="AB679" s="151"/>
      <c r="AC679" s="151">
        <v>1417020301</v>
      </c>
      <c r="AD679" s="151">
        <v>1417020301</v>
      </c>
      <c r="AE679" s="151"/>
      <c r="AF679" s="151"/>
      <c r="AG679" s="151"/>
      <c r="AH679" s="151"/>
      <c r="AI679" s="151"/>
      <c r="AJ679" s="151"/>
      <c r="AK679" s="151"/>
      <c r="AL679" s="151"/>
      <c r="AM679" s="151"/>
      <c r="AN679" s="151"/>
      <c r="AO679" s="151"/>
      <c r="AP679" s="151"/>
      <c r="AQ679" s="151"/>
      <c r="AR679" s="151"/>
      <c r="AS679" s="151"/>
      <c r="AT679" s="151"/>
      <c r="AU679" s="151"/>
      <c r="AV679" s="151"/>
      <c r="AW679" s="151"/>
      <c r="AX679" s="151"/>
      <c r="AY679" s="151"/>
      <c r="AZ679" s="151"/>
      <c r="BA679" s="151"/>
      <c r="BB679" s="151"/>
      <c r="BC679" s="151"/>
      <c r="BD679" s="151"/>
      <c r="BE679" s="151"/>
      <c r="BF679" s="151"/>
      <c r="BG679" s="151"/>
      <c r="BH679" s="151"/>
      <c r="BI679" s="151"/>
      <c r="BJ679" s="151"/>
      <c r="BK679" s="151"/>
      <c r="BL679" s="151"/>
      <c r="BM679" s="151"/>
      <c r="BN679" s="151"/>
      <c r="BO679" s="151"/>
      <c r="BP679" s="151"/>
      <c r="BQ679" s="151"/>
      <c r="BR679" s="151"/>
      <c r="BS679" s="151"/>
      <c r="BT679" s="151"/>
      <c r="BU679" s="151"/>
      <c r="BV679" s="151"/>
      <c r="BW679" s="151"/>
      <c r="BX679" s="151"/>
      <c r="BY679" s="151"/>
    </row>
    <row r="680" spans="1:77" s="19" customFormat="1" x14ac:dyDescent="0.15">
      <c r="A680" s="151">
        <v>1417020022</v>
      </c>
      <c r="B680" s="157" t="s">
        <v>589</v>
      </c>
      <c r="C680" s="151" t="s">
        <v>112</v>
      </c>
      <c r="D680" s="151"/>
      <c r="E680" s="151" t="s">
        <v>78</v>
      </c>
      <c r="F680" s="151"/>
      <c r="G680" s="151"/>
      <c r="H680" s="151"/>
      <c r="I680" s="151"/>
      <c r="J680" s="165"/>
      <c r="K680" s="165"/>
      <c r="L680" s="165"/>
      <c r="M680" s="165"/>
      <c r="N680" s="165"/>
      <c r="O680" s="151" t="s">
        <v>90</v>
      </c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  <c r="AB680" s="151"/>
      <c r="AC680" s="151">
        <v>1417020302</v>
      </c>
      <c r="AD680" s="151">
        <v>1417020302</v>
      </c>
      <c r="AE680" s="151"/>
      <c r="AF680" s="151"/>
      <c r="AG680" s="151"/>
      <c r="AH680" s="151"/>
      <c r="AI680" s="151"/>
      <c r="AJ680" s="151"/>
      <c r="AK680" s="151"/>
      <c r="AL680" s="151"/>
      <c r="AM680" s="151"/>
      <c r="AN680" s="151"/>
      <c r="AO680" s="151"/>
      <c r="AP680" s="151"/>
      <c r="AQ680" s="151"/>
      <c r="AR680" s="151"/>
      <c r="AS680" s="151"/>
      <c r="AT680" s="151"/>
      <c r="AU680" s="151"/>
      <c r="AV680" s="151"/>
      <c r="AW680" s="151"/>
      <c r="AX680" s="151"/>
      <c r="AY680" s="151"/>
      <c r="AZ680" s="151"/>
      <c r="BA680" s="151"/>
      <c r="BB680" s="151"/>
      <c r="BC680" s="151"/>
      <c r="BD680" s="151"/>
      <c r="BE680" s="151"/>
      <c r="BF680" s="151"/>
      <c r="BG680" s="151"/>
      <c r="BH680" s="151"/>
      <c r="BI680" s="151"/>
      <c r="BJ680" s="151"/>
      <c r="BK680" s="151"/>
      <c r="BL680" s="151"/>
      <c r="BM680" s="151"/>
      <c r="BN680" s="151"/>
      <c r="BO680" s="151"/>
      <c r="BP680" s="151"/>
      <c r="BQ680" s="151"/>
      <c r="BR680" s="151"/>
      <c r="BS680" s="151"/>
      <c r="BT680" s="151"/>
      <c r="BU680" s="151"/>
      <c r="BV680" s="151"/>
      <c r="BW680" s="151"/>
      <c r="BX680" s="151"/>
      <c r="BY680" s="151"/>
    </row>
    <row r="681" spans="1:77" s="19" customFormat="1" x14ac:dyDescent="0.15">
      <c r="A681" s="151">
        <v>1417020032</v>
      </c>
      <c r="B681" s="157" t="s">
        <v>589</v>
      </c>
      <c r="C681" s="151" t="s">
        <v>112</v>
      </c>
      <c r="D681" s="151"/>
      <c r="E681" s="151" t="s">
        <v>78</v>
      </c>
      <c r="F681" s="151"/>
      <c r="G681" s="151"/>
      <c r="H681" s="151"/>
      <c r="I681" s="151"/>
      <c r="J681" s="165"/>
      <c r="K681" s="165"/>
      <c r="L681" s="165"/>
      <c r="M681" s="165"/>
      <c r="N681" s="165"/>
      <c r="O681" s="151" t="s">
        <v>90</v>
      </c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  <c r="AB681" s="151"/>
      <c r="AC681" s="151">
        <v>1417020303</v>
      </c>
      <c r="AD681" s="151">
        <v>1417020303</v>
      </c>
      <c r="AE681" s="151"/>
      <c r="AF681" s="151"/>
      <c r="AG681" s="151"/>
      <c r="AH681" s="151"/>
      <c r="AI681" s="151"/>
      <c r="AJ681" s="151"/>
      <c r="AK681" s="151"/>
      <c r="AL681" s="151"/>
      <c r="AM681" s="151"/>
      <c r="AN681" s="151"/>
      <c r="AO681" s="151"/>
      <c r="AP681" s="151"/>
      <c r="AQ681" s="151"/>
      <c r="AR681" s="151"/>
      <c r="AS681" s="151"/>
      <c r="AT681" s="151"/>
      <c r="AU681" s="151"/>
      <c r="AV681" s="151"/>
      <c r="AW681" s="151"/>
      <c r="AX681" s="151"/>
      <c r="AY681" s="151"/>
      <c r="AZ681" s="151"/>
      <c r="BA681" s="151"/>
      <c r="BB681" s="151"/>
      <c r="BC681" s="151"/>
      <c r="BD681" s="151"/>
      <c r="BE681" s="151"/>
      <c r="BF681" s="151"/>
      <c r="BG681" s="151"/>
      <c r="BH681" s="151"/>
      <c r="BI681" s="151"/>
      <c r="BJ681" s="151"/>
      <c r="BK681" s="151"/>
      <c r="BL681" s="151"/>
      <c r="BM681" s="151"/>
      <c r="BN681" s="151"/>
      <c r="BO681" s="151"/>
      <c r="BP681" s="151"/>
      <c r="BQ681" s="151"/>
      <c r="BR681" s="151"/>
      <c r="BS681" s="151"/>
      <c r="BT681" s="151"/>
      <c r="BU681" s="151"/>
      <c r="BV681" s="151"/>
      <c r="BW681" s="151"/>
      <c r="BX681" s="151"/>
      <c r="BY681" s="151"/>
    </row>
    <row r="682" spans="1:77" s="19" customFormat="1" x14ac:dyDescent="0.15">
      <c r="A682" s="151">
        <v>1417020042</v>
      </c>
      <c r="B682" s="157" t="s">
        <v>589</v>
      </c>
      <c r="C682" s="151" t="s">
        <v>112</v>
      </c>
      <c r="D682" s="151"/>
      <c r="E682" s="151" t="s">
        <v>78</v>
      </c>
      <c r="F682" s="151"/>
      <c r="G682" s="151"/>
      <c r="H682" s="151"/>
      <c r="I682" s="151"/>
      <c r="J682" s="165"/>
      <c r="K682" s="165"/>
      <c r="L682" s="165"/>
      <c r="M682" s="165"/>
      <c r="N682" s="165"/>
      <c r="O682" s="151" t="s">
        <v>90</v>
      </c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  <c r="AB682" s="151"/>
      <c r="AC682" s="151">
        <v>1417020304</v>
      </c>
      <c r="AD682" s="151">
        <v>1417020304</v>
      </c>
      <c r="AE682" s="151"/>
      <c r="AF682" s="151"/>
      <c r="AG682" s="151"/>
      <c r="AH682" s="151"/>
      <c r="AI682" s="151"/>
      <c r="AJ682" s="151"/>
      <c r="AK682" s="151"/>
      <c r="AL682" s="151"/>
      <c r="AM682" s="151"/>
      <c r="AN682" s="151"/>
      <c r="AO682" s="151"/>
      <c r="AP682" s="151"/>
      <c r="AQ682" s="151"/>
      <c r="AR682" s="151"/>
      <c r="AS682" s="151"/>
      <c r="AT682" s="151"/>
      <c r="AU682" s="151"/>
      <c r="AV682" s="151"/>
      <c r="AW682" s="151"/>
      <c r="AX682" s="151"/>
      <c r="AY682" s="151"/>
      <c r="AZ682" s="151"/>
      <c r="BA682" s="151"/>
      <c r="BB682" s="151"/>
      <c r="BC682" s="151"/>
      <c r="BD682" s="151"/>
      <c r="BE682" s="151"/>
      <c r="BF682" s="151"/>
      <c r="BG682" s="151"/>
      <c r="BH682" s="151"/>
      <c r="BI682" s="151"/>
      <c r="BJ682" s="151"/>
      <c r="BK682" s="151"/>
      <c r="BL682" s="151"/>
      <c r="BM682" s="151"/>
      <c r="BN682" s="151"/>
      <c r="BO682" s="151"/>
      <c r="BP682" s="151"/>
      <c r="BQ682" s="151"/>
      <c r="BR682" s="151"/>
      <c r="BS682" s="151"/>
      <c r="BT682" s="151"/>
      <c r="BU682" s="151"/>
      <c r="BV682" s="151"/>
      <c r="BW682" s="151"/>
      <c r="BX682" s="151"/>
      <c r="BY682" s="151"/>
    </row>
    <row r="683" spans="1:77" s="19" customFormat="1" x14ac:dyDescent="0.15">
      <c r="A683" s="151">
        <v>1417030021</v>
      </c>
      <c r="B683" s="157" t="s">
        <v>590</v>
      </c>
      <c r="C683" s="151" t="s">
        <v>112</v>
      </c>
      <c r="D683" s="151"/>
      <c r="E683" s="151" t="s">
        <v>78</v>
      </c>
      <c r="F683" s="151"/>
      <c r="G683" s="151"/>
      <c r="H683" s="151"/>
      <c r="I683" s="151"/>
      <c r="J683" s="165"/>
      <c r="K683" s="165"/>
      <c r="L683" s="165"/>
      <c r="M683" s="165"/>
      <c r="N683" s="165"/>
      <c r="O683" s="151" t="s">
        <v>90</v>
      </c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>
        <v>1417030101</v>
      </c>
      <c r="AD683" s="151">
        <v>1417030101</v>
      </c>
      <c r="AE683" s="151"/>
      <c r="AF683" s="151"/>
      <c r="AG683" s="151"/>
      <c r="AH683" s="151"/>
      <c r="AI683" s="151"/>
      <c r="AJ683" s="151"/>
      <c r="AK683" s="151"/>
      <c r="AL683" s="151"/>
      <c r="AM683" s="151"/>
      <c r="AN683" s="151"/>
      <c r="AO683" s="151"/>
      <c r="AP683" s="151"/>
      <c r="AQ683" s="151"/>
      <c r="AR683" s="151"/>
      <c r="AS683" s="151"/>
      <c r="AT683" s="151"/>
      <c r="AU683" s="151"/>
      <c r="AV683" s="151"/>
      <c r="AW683" s="151"/>
      <c r="AX683" s="151"/>
      <c r="AY683" s="151"/>
      <c r="AZ683" s="151"/>
      <c r="BA683" s="151"/>
      <c r="BB683" s="151"/>
      <c r="BC683" s="151"/>
      <c r="BD683" s="151"/>
      <c r="BE683" s="151"/>
      <c r="BF683" s="151"/>
      <c r="BG683" s="151"/>
      <c r="BH683" s="151"/>
      <c r="BI683" s="151"/>
      <c r="BJ683" s="151"/>
      <c r="BK683" s="151"/>
      <c r="BL683" s="151"/>
      <c r="BM683" s="151"/>
      <c r="BN683" s="151"/>
      <c r="BO683" s="151"/>
      <c r="BP683" s="151"/>
      <c r="BQ683" s="151"/>
      <c r="BR683" s="151"/>
      <c r="BS683" s="151"/>
      <c r="BT683" s="151"/>
      <c r="BU683" s="151"/>
      <c r="BV683" s="151"/>
      <c r="BW683" s="151"/>
      <c r="BX683" s="151"/>
      <c r="BY683" s="151"/>
    </row>
    <row r="684" spans="1:77" s="19" customFormat="1" x14ac:dyDescent="0.15">
      <c r="A684" s="151">
        <v>1417030031</v>
      </c>
      <c r="B684" s="157" t="s">
        <v>590</v>
      </c>
      <c r="C684" s="151" t="s">
        <v>112</v>
      </c>
      <c r="D684" s="151"/>
      <c r="E684" s="151" t="s">
        <v>78</v>
      </c>
      <c r="F684" s="151"/>
      <c r="G684" s="151"/>
      <c r="H684" s="151"/>
      <c r="I684" s="151"/>
      <c r="J684" s="165"/>
      <c r="K684" s="165"/>
      <c r="L684" s="165"/>
      <c r="M684" s="165"/>
      <c r="N684" s="165"/>
      <c r="O684" s="151" t="s">
        <v>90</v>
      </c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>
        <v>1417030201</v>
      </c>
      <c r="AD684" s="151">
        <v>1417030201</v>
      </c>
      <c r="AE684" s="151"/>
      <c r="AF684" s="151"/>
      <c r="AG684" s="151"/>
      <c r="AH684" s="151"/>
      <c r="AI684" s="151"/>
      <c r="AJ684" s="151"/>
      <c r="AK684" s="151"/>
      <c r="AL684" s="151"/>
      <c r="AM684" s="151"/>
      <c r="AN684" s="151"/>
      <c r="AO684" s="151"/>
      <c r="AP684" s="151"/>
      <c r="AQ684" s="151"/>
      <c r="AR684" s="151"/>
      <c r="AS684" s="151"/>
      <c r="AT684" s="151"/>
      <c r="AU684" s="151"/>
      <c r="AV684" s="151"/>
      <c r="AW684" s="151"/>
      <c r="AX684" s="151"/>
      <c r="AY684" s="151"/>
      <c r="AZ684" s="151"/>
      <c r="BA684" s="151"/>
      <c r="BB684" s="151"/>
      <c r="BC684" s="151"/>
      <c r="BD684" s="151"/>
      <c r="BE684" s="151"/>
      <c r="BF684" s="151"/>
      <c r="BG684" s="151"/>
      <c r="BH684" s="151"/>
      <c r="BI684" s="151"/>
      <c r="BJ684" s="151"/>
      <c r="BK684" s="151"/>
      <c r="BL684" s="151"/>
      <c r="BM684" s="151"/>
      <c r="BN684" s="151"/>
      <c r="BO684" s="151"/>
      <c r="BP684" s="151"/>
      <c r="BQ684" s="151"/>
      <c r="BR684" s="151"/>
      <c r="BS684" s="151"/>
      <c r="BT684" s="151"/>
      <c r="BU684" s="151"/>
      <c r="BV684" s="151"/>
      <c r="BW684" s="151"/>
      <c r="BX684" s="151"/>
      <c r="BY684" s="151"/>
    </row>
    <row r="685" spans="1:77" s="19" customFormat="1" x14ac:dyDescent="0.15">
      <c r="A685" s="151">
        <v>1417040011</v>
      </c>
      <c r="B685" s="157" t="s">
        <v>591</v>
      </c>
      <c r="C685" s="151" t="s">
        <v>89</v>
      </c>
      <c r="D685" s="151"/>
      <c r="E685" s="151" t="s">
        <v>83</v>
      </c>
      <c r="F685" s="151">
        <v>200000</v>
      </c>
      <c r="G685" s="151"/>
      <c r="H685" s="151"/>
      <c r="I685" s="151"/>
      <c r="J685" s="165"/>
      <c r="K685" s="165"/>
      <c r="L685" s="165"/>
      <c r="M685" s="165" t="s">
        <v>101</v>
      </c>
      <c r="N685" s="165"/>
      <c r="O685" s="151" t="s">
        <v>98</v>
      </c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  <c r="AB685" s="151"/>
      <c r="AC685" s="151"/>
      <c r="AD685" s="151"/>
      <c r="AE685" s="151">
        <v>141704001</v>
      </c>
      <c r="AF685" s="151"/>
      <c r="AG685" s="151"/>
      <c r="AH685" s="151"/>
      <c r="AI685" s="151"/>
      <c r="AJ685" s="151" t="s">
        <v>98</v>
      </c>
      <c r="AK685" s="151"/>
      <c r="AL685" s="151"/>
      <c r="AM685" s="151"/>
      <c r="AN685" s="151"/>
      <c r="AO685" s="151"/>
      <c r="AP685" s="151"/>
      <c r="AQ685" s="151"/>
      <c r="AR685" s="151"/>
      <c r="AS685" s="151"/>
      <c r="AT685" s="151"/>
      <c r="AU685" s="151"/>
      <c r="AV685" s="151"/>
      <c r="AW685" s="151"/>
      <c r="AX685" s="151"/>
      <c r="AY685" s="151"/>
      <c r="AZ685" s="151">
        <v>141704003</v>
      </c>
      <c r="BA685" s="151"/>
      <c r="BB685" s="151"/>
      <c r="BC685" s="151"/>
      <c r="BD685" s="151"/>
      <c r="BE685" s="151"/>
      <c r="BF685" s="151"/>
      <c r="BG685" s="151"/>
      <c r="BH685" s="151"/>
      <c r="BI685" s="151"/>
      <c r="BJ685" s="151"/>
      <c r="BK685" s="151"/>
      <c r="BL685" s="151"/>
      <c r="BM685" s="151"/>
      <c r="BN685" s="151"/>
      <c r="BO685" s="151"/>
      <c r="BP685" s="151"/>
      <c r="BQ685" s="151"/>
      <c r="BR685" s="151"/>
      <c r="BS685" s="151"/>
      <c r="BT685" s="151"/>
      <c r="BU685" s="151"/>
      <c r="BV685" s="151"/>
      <c r="BW685" s="151"/>
      <c r="BX685" s="151"/>
      <c r="BY685" s="151"/>
    </row>
    <row r="686" spans="1:77" s="19" customFormat="1" x14ac:dyDescent="0.15">
      <c r="A686" s="151">
        <v>1417040021</v>
      </c>
      <c r="B686" s="157" t="s">
        <v>591</v>
      </c>
      <c r="C686" s="151" t="s">
        <v>89</v>
      </c>
      <c r="D686" s="151"/>
      <c r="E686" s="151" t="s">
        <v>83</v>
      </c>
      <c r="F686" s="151">
        <v>200000</v>
      </c>
      <c r="G686" s="151"/>
      <c r="H686" s="151"/>
      <c r="I686" s="151"/>
      <c r="J686" s="165"/>
      <c r="K686" s="165"/>
      <c r="L686" s="165"/>
      <c r="M686" s="165" t="s">
        <v>101</v>
      </c>
      <c r="N686" s="165"/>
      <c r="O686" s="151" t="s">
        <v>98</v>
      </c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  <c r="AB686" s="151"/>
      <c r="AC686" s="151"/>
      <c r="AD686" s="151"/>
      <c r="AE686" s="151">
        <v>141704002</v>
      </c>
      <c r="AF686" s="151"/>
      <c r="AG686" s="151"/>
      <c r="AH686" s="151"/>
      <c r="AI686" s="151"/>
      <c r="AJ686" s="151" t="s">
        <v>98</v>
      </c>
      <c r="AK686" s="151"/>
      <c r="AL686" s="151"/>
      <c r="AM686" s="151"/>
      <c r="AN686" s="151"/>
      <c r="AO686" s="151"/>
      <c r="AP686" s="151"/>
      <c r="AQ686" s="151"/>
      <c r="AR686" s="151"/>
      <c r="AS686" s="151"/>
      <c r="AT686" s="151"/>
      <c r="AU686" s="151"/>
      <c r="AV686" s="151"/>
      <c r="AW686" s="151"/>
      <c r="AX686" s="151"/>
      <c r="AY686" s="151"/>
      <c r="AZ686" s="151">
        <v>141704003</v>
      </c>
      <c r="BA686" s="151"/>
      <c r="BB686" s="151"/>
      <c r="BC686" s="151"/>
      <c r="BD686" s="151"/>
      <c r="BE686" s="151"/>
      <c r="BF686" s="151"/>
      <c r="BG686" s="151"/>
      <c r="BH686" s="151"/>
      <c r="BI686" s="151"/>
      <c r="BJ686" s="151"/>
      <c r="BK686" s="151"/>
      <c r="BL686" s="151"/>
      <c r="BM686" s="151"/>
      <c r="BN686" s="151"/>
      <c r="BO686" s="151"/>
      <c r="BP686" s="151"/>
      <c r="BQ686" s="151"/>
      <c r="BR686" s="151"/>
      <c r="BS686" s="151"/>
      <c r="BT686" s="151"/>
      <c r="BU686" s="151"/>
      <c r="BV686" s="151"/>
      <c r="BW686" s="151"/>
      <c r="BX686" s="151"/>
      <c r="BY686" s="151"/>
    </row>
    <row r="687" spans="1:77" s="19" customFormat="1" x14ac:dyDescent="0.15">
      <c r="A687" s="151">
        <v>1417040012</v>
      </c>
      <c r="B687" s="157" t="s">
        <v>592</v>
      </c>
      <c r="C687" s="151" t="s">
        <v>112</v>
      </c>
      <c r="D687" s="151"/>
      <c r="E687" s="151" t="s">
        <v>78</v>
      </c>
      <c r="F687" s="151"/>
      <c r="G687" s="151"/>
      <c r="H687" s="151"/>
      <c r="I687" s="151"/>
      <c r="J687" s="165"/>
      <c r="K687" s="165"/>
      <c r="L687" s="165"/>
      <c r="M687" s="165" t="s">
        <v>101</v>
      </c>
      <c r="N687" s="165"/>
      <c r="O687" s="151" t="s">
        <v>90</v>
      </c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  <c r="AB687" s="151"/>
      <c r="AC687" s="151">
        <v>1417040201</v>
      </c>
      <c r="AD687" s="151">
        <v>1417040201</v>
      </c>
      <c r="AE687" s="151"/>
      <c r="AF687" s="151"/>
      <c r="AG687" s="151"/>
      <c r="AH687" s="151"/>
      <c r="AI687" s="151"/>
      <c r="AJ687" s="151"/>
      <c r="AK687" s="151"/>
      <c r="AL687" s="151"/>
      <c r="AM687" s="151"/>
      <c r="AN687" s="151"/>
      <c r="AO687" s="151"/>
      <c r="AP687" s="151"/>
      <c r="AQ687" s="151"/>
      <c r="AR687" s="151"/>
      <c r="AS687" s="151"/>
      <c r="AT687" s="151"/>
      <c r="AU687" s="151"/>
      <c r="AV687" s="151"/>
      <c r="AW687" s="151"/>
      <c r="AX687" s="151"/>
      <c r="AY687" s="151"/>
      <c r="AZ687" s="151"/>
      <c r="BA687" s="151"/>
      <c r="BB687" s="151"/>
      <c r="BC687" s="151"/>
      <c r="BD687" s="151"/>
      <c r="BE687" s="151"/>
      <c r="BF687" s="151"/>
      <c r="BG687" s="151"/>
      <c r="BH687" s="151"/>
      <c r="BI687" s="151"/>
      <c r="BJ687" s="151"/>
      <c r="BK687" s="151"/>
      <c r="BL687" s="151"/>
      <c r="BM687" s="151"/>
      <c r="BN687" s="151"/>
      <c r="BO687" s="151"/>
      <c r="BP687" s="151"/>
      <c r="BQ687" s="151"/>
      <c r="BR687" s="151"/>
      <c r="BS687" s="151"/>
      <c r="BT687" s="151"/>
      <c r="BU687" s="151"/>
      <c r="BV687" s="151"/>
      <c r="BW687" s="151"/>
      <c r="BX687" s="151"/>
      <c r="BY687" s="151"/>
    </row>
    <row r="688" spans="1:77" s="19" customFormat="1" x14ac:dyDescent="0.15">
      <c r="A688" s="151">
        <v>1417041011</v>
      </c>
      <c r="B688" s="157" t="s">
        <v>593</v>
      </c>
      <c r="C688" s="151" t="s">
        <v>112</v>
      </c>
      <c r="D688" s="151"/>
      <c r="E688" s="151" t="s">
        <v>83</v>
      </c>
      <c r="F688" s="151">
        <v>200000</v>
      </c>
      <c r="G688" s="151"/>
      <c r="H688" s="151"/>
      <c r="I688" s="151"/>
      <c r="J688" s="165"/>
      <c r="K688" s="165"/>
      <c r="L688" s="165"/>
      <c r="M688" s="165" t="s">
        <v>101</v>
      </c>
      <c r="N688" s="165"/>
      <c r="O688" s="151" t="s">
        <v>90</v>
      </c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  <c r="AB688" s="151"/>
      <c r="AC688" s="151">
        <v>1417040401</v>
      </c>
      <c r="AD688" s="151">
        <v>1417040301</v>
      </c>
      <c r="AE688" s="151"/>
      <c r="AF688" s="151"/>
      <c r="AG688" s="151"/>
      <c r="AH688" s="151"/>
      <c r="AI688" s="151"/>
      <c r="AJ688" s="151"/>
      <c r="AK688" s="151"/>
      <c r="AL688" s="151"/>
      <c r="AM688" s="151"/>
      <c r="AN688" s="151"/>
      <c r="AO688" s="151"/>
      <c r="AP688" s="151"/>
      <c r="AQ688" s="151"/>
      <c r="AR688" s="151"/>
      <c r="AS688" s="151"/>
      <c r="AT688" s="151"/>
      <c r="AU688" s="151"/>
      <c r="AV688" s="151"/>
      <c r="AW688" s="151"/>
      <c r="AX688" s="151"/>
      <c r="AY688" s="151"/>
      <c r="AZ688" s="151"/>
      <c r="BA688" s="151"/>
      <c r="BB688" s="151"/>
      <c r="BC688" s="151"/>
      <c r="BD688" s="151"/>
      <c r="BE688" s="151"/>
      <c r="BF688" s="151"/>
      <c r="BG688" s="151"/>
      <c r="BH688" s="151"/>
      <c r="BI688" s="151"/>
      <c r="BJ688" s="151"/>
      <c r="BK688" s="151"/>
      <c r="BL688" s="151"/>
      <c r="BM688" s="151"/>
      <c r="BN688" s="151"/>
      <c r="BO688" s="151"/>
      <c r="BP688" s="151"/>
      <c r="BQ688" s="151"/>
      <c r="BR688" s="151"/>
      <c r="BS688" s="151"/>
      <c r="BT688" s="151"/>
      <c r="BU688" s="151"/>
      <c r="BV688" s="151"/>
      <c r="BW688" s="151"/>
      <c r="BX688" s="151"/>
      <c r="BY688" s="151"/>
    </row>
    <row r="689" spans="1:77" s="19" customFormat="1" x14ac:dyDescent="0.15">
      <c r="A689" s="151">
        <v>1417041021</v>
      </c>
      <c r="B689" s="157" t="s">
        <v>593</v>
      </c>
      <c r="C689" s="151" t="s">
        <v>112</v>
      </c>
      <c r="D689" s="151"/>
      <c r="E689" s="151" t="s">
        <v>83</v>
      </c>
      <c r="F689" s="151">
        <v>200000</v>
      </c>
      <c r="G689" s="151"/>
      <c r="H689" s="151"/>
      <c r="I689" s="151"/>
      <c r="J689" s="165"/>
      <c r="K689" s="165"/>
      <c r="L689" s="165"/>
      <c r="M689" s="165" t="s">
        <v>101</v>
      </c>
      <c r="N689" s="165"/>
      <c r="O689" s="151" t="s">
        <v>90</v>
      </c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  <c r="AB689" s="151"/>
      <c r="AC689" s="151">
        <v>1417040402</v>
      </c>
      <c r="AD689" s="151">
        <v>1417040302</v>
      </c>
      <c r="AE689" s="151"/>
      <c r="AF689" s="151"/>
      <c r="AG689" s="151"/>
      <c r="AH689" s="151"/>
      <c r="AI689" s="151"/>
      <c r="AJ689" s="151"/>
      <c r="AK689" s="151"/>
      <c r="AL689" s="151"/>
      <c r="AM689" s="151"/>
      <c r="AN689" s="151"/>
      <c r="AO689" s="151"/>
      <c r="AP689" s="151"/>
      <c r="AQ689" s="151"/>
      <c r="AR689" s="151"/>
      <c r="AS689" s="151"/>
      <c r="AT689" s="151"/>
      <c r="AU689" s="151"/>
      <c r="AV689" s="151"/>
      <c r="AW689" s="151"/>
      <c r="AX689" s="151"/>
      <c r="AY689" s="151"/>
      <c r="AZ689" s="151"/>
      <c r="BA689" s="151"/>
      <c r="BB689" s="151"/>
      <c r="BC689" s="151"/>
      <c r="BD689" s="151"/>
      <c r="BE689" s="151"/>
      <c r="BF689" s="151"/>
      <c r="BG689" s="151"/>
      <c r="BH689" s="151"/>
      <c r="BI689" s="151"/>
      <c r="BJ689" s="151"/>
      <c r="BK689" s="151"/>
      <c r="BL689" s="151"/>
      <c r="BM689" s="151"/>
      <c r="BN689" s="151"/>
      <c r="BO689" s="151"/>
      <c r="BP689" s="151"/>
      <c r="BQ689" s="151"/>
      <c r="BR689" s="151"/>
      <c r="BS689" s="151"/>
      <c r="BT689" s="151"/>
      <c r="BU689" s="151"/>
      <c r="BV689" s="151"/>
      <c r="BW689" s="151"/>
      <c r="BX689" s="151"/>
      <c r="BY689" s="151"/>
    </row>
    <row r="690" spans="1:77" s="19" customFormat="1" x14ac:dyDescent="0.15">
      <c r="A690" s="151">
        <v>1417041012</v>
      </c>
      <c r="B690" s="157" t="s">
        <v>594</v>
      </c>
      <c r="C690" s="151" t="s">
        <v>89</v>
      </c>
      <c r="D690" s="151"/>
      <c r="E690" s="151" t="s">
        <v>78</v>
      </c>
      <c r="F690" s="151"/>
      <c r="G690" s="151"/>
      <c r="H690" s="151"/>
      <c r="I690" s="151"/>
      <c r="J690" s="165"/>
      <c r="K690" s="165"/>
      <c r="L690" s="165"/>
      <c r="M690" s="165" t="s">
        <v>101</v>
      </c>
      <c r="N690" s="165"/>
      <c r="O690" s="151" t="s">
        <v>595</v>
      </c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  <c r="AB690" s="151"/>
      <c r="AC690" s="151"/>
      <c r="AD690" s="151"/>
      <c r="AE690" s="151">
        <v>1417040</v>
      </c>
      <c r="AF690" s="151"/>
      <c r="AG690" s="151"/>
      <c r="AH690" s="151"/>
      <c r="AI690" s="151"/>
      <c r="AJ690" s="151"/>
      <c r="AK690" s="151"/>
      <c r="AL690" s="151"/>
      <c r="AM690" s="151"/>
      <c r="AN690" s="151"/>
      <c r="AO690" s="151"/>
      <c r="AP690" s="151"/>
      <c r="AQ690" s="151"/>
      <c r="AR690" s="151"/>
      <c r="AS690" s="151"/>
      <c r="AT690" s="151"/>
      <c r="AU690" s="151"/>
      <c r="AV690" s="151"/>
      <c r="AW690" s="151"/>
      <c r="AX690" s="151"/>
      <c r="AY690" s="151"/>
      <c r="AZ690" s="151"/>
      <c r="BA690" s="151"/>
      <c r="BB690" s="151"/>
      <c r="BC690" s="151"/>
      <c r="BD690" s="151"/>
      <c r="BE690" s="151"/>
      <c r="BF690" s="151"/>
      <c r="BG690" s="151"/>
      <c r="BH690" s="151"/>
      <c r="BI690" s="151"/>
      <c r="BJ690" s="151"/>
      <c r="BK690" s="151"/>
      <c r="BL690" s="151"/>
      <c r="BM690" s="151"/>
      <c r="BN690" s="151"/>
      <c r="BO690" s="151"/>
      <c r="BP690" s="151"/>
      <c r="BQ690" s="151"/>
      <c r="BR690" s="151"/>
      <c r="BS690" s="151"/>
      <c r="BT690" s="151"/>
      <c r="BU690" s="151"/>
      <c r="BV690" s="151"/>
      <c r="BW690" s="151"/>
      <c r="BX690" s="151"/>
      <c r="BY690" s="151"/>
    </row>
    <row r="691" spans="1:77" s="19" customFormat="1" x14ac:dyDescent="0.15">
      <c r="A691" s="151">
        <v>1417041022</v>
      </c>
      <c r="B691" s="157" t="s">
        <v>594</v>
      </c>
      <c r="C691" s="151" t="s">
        <v>89</v>
      </c>
      <c r="D691" s="151"/>
      <c r="E691" s="151" t="s">
        <v>78</v>
      </c>
      <c r="F691" s="151"/>
      <c r="G691" s="151"/>
      <c r="H691" s="151"/>
      <c r="I691" s="151"/>
      <c r="J691" s="165"/>
      <c r="K691" s="165"/>
      <c r="L691" s="165"/>
      <c r="M691" s="165" t="s">
        <v>101</v>
      </c>
      <c r="N691" s="165"/>
      <c r="O691" s="151" t="s">
        <v>595</v>
      </c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  <c r="AB691" s="151"/>
      <c r="AC691" s="151"/>
      <c r="AD691" s="151"/>
      <c r="AE691" s="151">
        <v>1417040</v>
      </c>
      <c r="AF691" s="151"/>
      <c r="AG691" s="151"/>
      <c r="AH691" s="151"/>
      <c r="AI691" s="151"/>
      <c r="AJ691" s="151"/>
      <c r="AK691" s="151"/>
      <c r="AL691" s="151"/>
      <c r="AM691" s="151"/>
      <c r="AN691" s="151"/>
      <c r="AO691" s="151"/>
      <c r="AP691" s="151"/>
      <c r="AQ691" s="151"/>
      <c r="AR691" s="151"/>
      <c r="AS691" s="151"/>
      <c r="AT691" s="151"/>
      <c r="AU691" s="151"/>
      <c r="AV691" s="151"/>
      <c r="AW691" s="151"/>
      <c r="AX691" s="151"/>
      <c r="AY691" s="151"/>
      <c r="AZ691" s="151"/>
      <c r="BA691" s="151"/>
      <c r="BB691" s="151"/>
      <c r="BC691" s="151"/>
      <c r="BD691" s="151"/>
      <c r="BE691" s="151"/>
      <c r="BF691" s="151"/>
      <c r="BG691" s="151"/>
      <c r="BH691" s="151"/>
      <c r="BI691" s="151"/>
      <c r="BJ691" s="151"/>
      <c r="BK691" s="151"/>
      <c r="BL691" s="151"/>
      <c r="BM691" s="151"/>
      <c r="BN691" s="151"/>
      <c r="BO691" s="151"/>
      <c r="BP691" s="151"/>
      <c r="BQ691" s="151"/>
      <c r="BR691" s="151"/>
      <c r="BS691" s="151"/>
      <c r="BT691" s="151"/>
      <c r="BU691" s="151"/>
      <c r="BV691" s="151"/>
      <c r="BW691" s="151"/>
      <c r="BX691" s="151"/>
      <c r="BY691" s="151"/>
    </row>
    <row r="692" spans="1:77" s="19" customFormat="1" x14ac:dyDescent="0.15">
      <c r="A692" s="151">
        <v>1417041013</v>
      </c>
      <c r="B692" s="157" t="s">
        <v>596</v>
      </c>
      <c r="C692" s="151" t="s">
        <v>112</v>
      </c>
      <c r="D692" s="151"/>
      <c r="E692" s="151" t="s">
        <v>78</v>
      </c>
      <c r="F692" s="151"/>
      <c r="G692" s="151"/>
      <c r="H692" s="151"/>
      <c r="I692" s="151"/>
      <c r="J692" s="165"/>
      <c r="K692" s="165"/>
      <c r="L692" s="165"/>
      <c r="M692" s="165"/>
      <c r="N692" s="165"/>
      <c r="O692" s="151" t="s">
        <v>597</v>
      </c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  <c r="AB692" s="151"/>
      <c r="AC692" s="151"/>
      <c r="AD692" s="151"/>
      <c r="AE692" s="151">
        <v>14170402</v>
      </c>
      <c r="AF692" s="151"/>
      <c r="AG692" s="151"/>
      <c r="AH692" s="151"/>
      <c r="AI692" s="151"/>
      <c r="AJ692" s="151"/>
      <c r="AK692" s="151"/>
      <c r="AL692" s="151"/>
      <c r="AM692" s="151"/>
      <c r="AN692" s="151"/>
      <c r="AO692" s="151"/>
      <c r="AP692" s="151"/>
      <c r="AQ692" s="151"/>
      <c r="AR692" s="151"/>
      <c r="AS692" s="151"/>
      <c r="AT692" s="151"/>
      <c r="AU692" s="151"/>
      <c r="AV692" s="151"/>
      <c r="AW692" s="151"/>
      <c r="AX692" s="151"/>
      <c r="AY692" s="151"/>
      <c r="AZ692" s="151"/>
      <c r="BA692" s="151"/>
      <c r="BB692" s="151"/>
      <c r="BC692" s="151"/>
      <c r="BD692" s="151"/>
      <c r="BE692" s="151"/>
      <c r="BF692" s="151"/>
      <c r="BG692" s="151"/>
      <c r="BH692" s="151"/>
      <c r="BI692" s="151"/>
      <c r="BJ692" s="151"/>
      <c r="BK692" s="151"/>
      <c r="BL692" s="151"/>
      <c r="BM692" s="151"/>
      <c r="BN692" s="151"/>
      <c r="BO692" s="151"/>
      <c r="BP692" s="151"/>
      <c r="BQ692" s="151"/>
      <c r="BR692" s="151"/>
      <c r="BS692" s="151"/>
      <c r="BT692" s="151"/>
      <c r="BU692" s="151"/>
      <c r="BV692" s="151"/>
      <c r="BW692" s="151"/>
      <c r="BX692" s="151"/>
      <c r="BY692" s="151"/>
    </row>
    <row r="693" spans="1:77" x14ac:dyDescent="0.15">
      <c r="A693" s="159">
        <v>1410001011</v>
      </c>
      <c r="B693" s="190" t="s">
        <v>598</v>
      </c>
      <c r="C693" s="148" t="s">
        <v>77</v>
      </c>
      <c r="D693" s="159"/>
      <c r="E693" s="148" t="s">
        <v>78</v>
      </c>
      <c r="F693" s="148"/>
      <c r="G693" s="148"/>
      <c r="H693" s="159"/>
      <c r="I693" s="159"/>
      <c r="J693" s="191"/>
      <c r="K693" s="191"/>
      <c r="L693" s="191"/>
      <c r="M693" s="191"/>
      <c r="N693" s="191"/>
      <c r="O693" s="148" t="s">
        <v>79</v>
      </c>
      <c r="P693" s="148" t="s">
        <v>80</v>
      </c>
      <c r="Q693" s="148"/>
      <c r="R693" s="148">
        <v>10000</v>
      </c>
      <c r="S693" s="148"/>
      <c r="T693" s="148">
        <v>10000</v>
      </c>
      <c r="U693" s="148"/>
      <c r="V693" s="148" t="s">
        <v>101</v>
      </c>
      <c r="W693" s="148"/>
      <c r="X693" s="148"/>
      <c r="Y693" s="148"/>
      <c r="Z693" s="148"/>
      <c r="AA693" s="148"/>
      <c r="AB693" s="148"/>
      <c r="AC693" s="148"/>
      <c r="AD693" s="148"/>
      <c r="AE693" s="148"/>
      <c r="AF693" s="148"/>
      <c r="AG693" s="148"/>
      <c r="AH693" s="148"/>
      <c r="AI693" s="148"/>
      <c r="AJ693" s="148"/>
      <c r="AK693" s="148"/>
      <c r="AL693" s="148"/>
      <c r="AM693" s="148"/>
      <c r="AN693" s="148"/>
      <c r="AO693" s="148"/>
      <c r="AP693" s="148"/>
      <c r="AQ693" s="148"/>
      <c r="AR693" s="148"/>
      <c r="AS693" s="148"/>
      <c r="AT693" s="148"/>
      <c r="AU693" s="148"/>
      <c r="AV693" s="148"/>
      <c r="AW693" s="148"/>
      <c r="AX693" s="148"/>
      <c r="AY693" s="148"/>
      <c r="AZ693" s="148"/>
      <c r="BA693" s="148"/>
      <c r="BB693" s="159"/>
      <c r="BC693" s="159"/>
      <c r="BD693" s="159"/>
      <c r="BE693" s="159"/>
      <c r="BF693" s="159"/>
      <c r="BG693" s="159"/>
      <c r="BH693" s="159"/>
      <c r="BI693" s="159"/>
      <c r="BJ693" s="159"/>
      <c r="BK693" s="159"/>
      <c r="BL693" s="159"/>
      <c r="BM693" s="159"/>
      <c r="BN693" s="159"/>
      <c r="BO693" s="159"/>
      <c r="BP693" s="159"/>
      <c r="BQ693" s="159"/>
      <c r="BR693" s="159"/>
      <c r="BS693" s="159"/>
      <c r="BT693" s="159"/>
      <c r="BU693" s="159"/>
      <c r="BV693" s="159"/>
      <c r="BW693" s="159"/>
      <c r="BX693" s="159"/>
      <c r="BY693" s="159"/>
    </row>
    <row r="694" spans="1:77" x14ac:dyDescent="0.15">
      <c r="A694" s="159">
        <v>1410001012</v>
      </c>
      <c r="B694" s="190" t="s">
        <v>599</v>
      </c>
      <c r="C694" s="148" t="s">
        <v>89</v>
      </c>
      <c r="D694" s="159"/>
      <c r="E694" s="148" t="s">
        <v>78</v>
      </c>
      <c r="F694" s="148"/>
      <c r="G694" s="148"/>
      <c r="H694" s="159"/>
      <c r="I694" s="159"/>
      <c r="J694" s="191"/>
      <c r="K694" s="191"/>
      <c r="L694" s="191"/>
      <c r="M694" s="191"/>
      <c r="N694" s="191"/>
      <c r="O694" s="148" t="s">
        <v>491</v>
      </c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  <c r="AC694" s="148"/>
      <c r="AD694" s="148"/>
      <c r="AE694" s="148" t="s">
        <v>308</v>
      </c>
      <c r="AF694" s="148">
        <v>-10000</v>
      </c>
      <c r="AG694" s="148"/>
      <c r="AH694" s="148"/>
      <c r="AI694" s="148"/>
      <c r="AJ694" s="148" t="s">
        <v>277</v>
      </c>
      <c r="AK694" s="148"/>
      <c r="AL694" s="148"/>
      <c r="AM694" s="148"/>
      <c r="AN694" s="148"/>
      <c r="AO694" s="148"/>
      <c r="AP694" s="148"/>
      <c r="AQ694" s="148"/>
      <c r="AR694" s="148"/>
      <c r="AS694" s="148"/>
      <c r="AT694" s="148"/>
      <c r="AU694" s="148"/>
      <c r="AV694" s="148"/>
      <c r="AW694" s="148"/>
      <c r="AX694" s="148"/>
      <c r="AY694" s="148"/>
      <c r="AZ694" s="148" t="s">
        <v>600</v>
      </c>
      <c r="BA694" s="148"/>
      <c r="BB694" s="159"/>
      <c r="BC694" s="159"/>
      <c r="BD694" s="159"/>
      <c r="BE694" s="148" t="s">
        <v>277</v>
      </c>
      <c r="BF694" s="148"/>
      <c r="BG694" s="148"/>
      <c r="BH694" s="148"/>
      <c r="BI694" s="148"/>
      <c r="BJ694" s="148"/>
      <c r="BK694" s="148"/>
      <c r="BL694" s="148"/>
      <c r="BM694" s="148"/>
      <c r="BN694" s="148"/>
      <c r="BO694" s="148"/>
      <c r="BP694" s="148"/>
      <c r="BQ694" s="148"/>
      <c r="BR694" s="148"/>
      <c r="BS694" s="148"/>
      <c r="BT694" s="148"/>
      <c r="BU694" s="148">
        <v>14102002</v>
      </c>
      <c r="BV694" s="159"/>
      <c r="BW694" s="159"/>
      <c r="BX694" s="159"/>
      <c r="BY694" s="159"/>
    </row>
    <row r="695" spans="1:77" x14ac:dyDescent="0.15">
      <c r="A695" s="159">
        <v>1410002011</v>
      </c>
      <c r="B695" s="190" t="s">
        <v>601</v>
      </c>
      <c r="C695" s="148" t="s">
        <v>77</v>
      </c>
      <c r="D695" s="159"/>
      <c r="E695" s="148" t="s">
        <v>83</v>
      </c>
      <c r="F695" s="148">
        <v>50000</v>
      </c>
      <c r="G695" s="148"/>
      <c r="H695" s="159"/>
      <c r="I695" s="159"/>
      <c r="J695" s="191"/>
      <c r="K695" s="191"/>
      <c r="L695" s="191"/>
      <c r="M695" s="191"/>
      <c r="N695" s="191"/>
      <c r="O695" s="148" t="s">
        <v>79</v>
      </c>
      <c r="P695" s="148" t="s">
        <v>80</v>
      </c>
      <c r="Q695" s="148"/>
      <c r="R695" s="148">
        <v>3000</v>
      </c>
      <c r="S695" s="148"/>
      <c r="T695" s="148"/>
      <c r="U695" s="148"/>
      <c r="V695" s="148" t="s">
        <v>101</v>
      </c>
      <c r="W695" s="148"/>
      <c r="X695" s="148"/>
      <c r="Y695" s="148"/>
      <c r="Z695" s="148"/>
      <c r="AA695" s="148"/>
      <c r="AB695" s="148"/>
      <c r="AC695" s="148"/>
      <c r="AD695" s="148"/>
      <c r="AE695" s="148"/>
      <c r="AF695" s="148"/>
      <c r="AG695" s="148"/>
      <c r="AH695" s="148"/>
      <c r="AI695" s="148"/>
      <c r="AJ695" s="148"/>
      <c r="AK695" s="148"/>
      <c r="AL695" s="148"/>
      <c r="AM695" s="148"/>
      <c r="AN695" s="148"/>
      <c r="AO695" s="148"/>
      <c r="AP695" s="148"/>
      <c r="AQ695" s="148"/>
      <c r="AR695" s="148"/>
      <c r="AS695" s="148"/>
      <c r="AT695" s="148"/>
      <c r="AU695" s="148"/>
      <c r="AV695" s="148"/>
      <c r="AW695" s="148"/>
      <c r="AX695" s="148"/>
      <c r="AY695" s="148"/>
      <c r="AZ695" s="148"/>
      <c r="BA695" s="148"/>
      <c r="BB695" s="159"/>
      <c r="BC695" s="159"/>
      <c r="BD695" s="159"/>
      <c r="BE695" s="159"/>
      <c r="BF695" s="159"/>
      <c r="BG695" s="159"/>
      <c r="BH695" s="159"/>
      <c r="BI695" s="159"/>
      <c r="BJ695" s="159"/>
      <c r="BK695" s="159"/>
      <c r="BL695" s="159"/>
      <c r="BM695" s="159"/>
      <c r="BN695" s="159"/>
      <c r="BO695" s="159"/>
      <c r="BP695" s="159"/>
      <c r="BQ695" s="159"/>
      <c r="BR695" s="159"/>
      <c r="BS695" s="159"/>
      <c r="BT695" s="159"/>
      <c r="BU695" s="159"/>
      <c r="BV695" s="159"/>
      <c r="BW695" s="159"/>
      <c r="BX695" s="159"/>
      <c r="BY695" s="159"/>
    </row>
    <row r="696" spans="1:77" x14ac:dyDescent="0.15">
      <c r="A696" s="159">
        <v>1410002013</v>
      </c>
      <c r="B696" s="190" t="s">
        <v>602</v>
      </c>
      <c r="C696" s="148" t="s">
        <v>77</v>
      </c>
      <c r="D696" s="159"/>
      <c r="E696" s="148" t="s">
        <v>78</v>
      </c>
      <c r="F696" s="148"/>
      <c r="G696" s="148"/>
      <c r="H696" s="159"/>
      <c r="I696" s="159"/>
      <c r="J696" s="191"/>
      <c r="K696" s="191"/>
      <c r="L696" s="191"/>
      <c r="M696" s="191"/>
      <c r="N696" s="191"/>
      <c r="O696" s="148" t="s">
        <v>79</v>
      </c>
      <c r="P696" s="148" t="s">
        <v>80</v>
      </c>
      <c r="Q696" s="148"/>
      <c r="R696" s="148">
        <v>10000</v>
      </c>
      <c r="S696" s="148"/>
      <c r="T696" s="148">
        <v>10000</v>
      </c>
      <c r="U696" s="148"/>
      <c r="V696" s="148" t="s">
        <v>101</v>
      </c>
      <c r="W696" s="148"/>
      <c r="X696" s="148"/>
      <c r="Y696" s="148"/>
      <c r="Z696" s="148"/>
      <c r="AA696" s="148"/>
      <c r="AB696" s="148"/>
      <c r="AC696" s="148"/>
      <c r="AD696" s="148"/>
      <c r="AE696" s="148"/>
      <c r="AF696" s="148"/>
      <c r="AG696" s="148"/>
      <c r="AH696" s="148"/>
      <c r="AI696" s="148"/>
      <c r="AJ696" s="148"/>
      <c r="AK696" s="148"/>
      <c r="AL696" s="148"/>
      <c r="AM696" s="148"/>
      <c r="AN696" s="148"/>
      <c r="AO696" s="148"/>
      <c r="AP696" s="148"/>
      <c r="AQ696" s="148"/>
      <c r="AR696" s="148"/>
      <c r="AS696" s="148"/>
      <c r="AT696" s="148"/>
      <c r="AU696" s="148"/>
      <c r="AV696" s="148"/>
      <c r="AW696" s="148"/>
      <c r="AX696" s="148"/>
      <c r="AY696" s="148"/>
      <c r="AZ696" s="148"/>
      <c r="BA696" s="148"/>
      <c r="BB696" s="159"/>
      <c r="BC696" s="159"/>
      <c r="BD696" s="159"/>
      <c r="BE696" s="159"/>
      <c r="BF696" s="159"/>
      <c r="BG696" s="159"/>
      <c r="BH696" s="159"/>
      <c r="BI696" s="159"/>
      <c r="BJ696" s="159"/>
      <c r="BK696" s="159"/>
      <c r="BL696" s="159"/>
      <c r="BM696" s="159"/>
      <c r="BN696" s="159"/>
      <c r="BO696" s="159"/>
      <c r="BP696" s="159"/>
      <c r="BQ696" s="159"/>
      <c r="BR696" s="159"/>
      <c r="BS696" s="159"/>
      <c r="BT696" s="159"/>
      <c r="BU696" s="159"/>
      <c r="BV696" s="159"/>
      <c r="BW696" s="159"/>
      <c r="BX696" s="159"/>
      <c r="BY696" s="159"/>
    </row>
    <row r="697" spans="1:77" x14ac:dyDescent="0.15">
      <c r="A697" s="159">
        <v>1410010011</v>
      </c>
      <c r="B697" s="190" t="s">
        <v>603</v>
      </c>
      <c r="C697" s="148" t="s">
        <v>100</v>
      </c>
      <c r="D697" s="159"/>
      <c r="E697" s="148" t="s">
        <v>85</v>
      </c>
      <c r="F697" s="148">
        <v>80000</v>
      </c>
      <c r="G697" s="148">
        <v>180000</v>
      </c>
      <c r="H697" s="159"/>
      <c r="I697" s="148">
        <v>90000</v>
      </c>
      <c r="J697" s="161"/>
      <c r="K697" s="191"/>
      <c r="L697" s="191"/>
      <c r="M697" s="191" t="s">
        <v>101</v>
      </c>
      <c r="N697" s="191" t="s">
        <v>848</v>
      </c>
      <c r="O697" s="148" t="s">
        <v>79</v>
      </c>
      <c r="P697" s="148" t="s">
        <v>80</v>
      </c>
      <c r="Q697" s="167">
        <v>270</v>
      </c>
      <c r="R697" s="167">
        <v>4000</v>
      </c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  <c r="AC697" s="148"/>
      <c r="AD697" s="148"/>
      <c r="AE697" s="148"/>
      <c r="AF697" s="148"/>
      <c r="AG697" s="148"/>
      <c r="AH697" s="148"/>
      <c r="AI697" s="148"/>
      <c r="AJ697" s="148"/>
      <c r="AK697" s="148"/>
      <c r="AL697" s="148"/>
      <c r="AM697" s="148"/>
      <c r="AN697" s="148"/>
      <c r="AO697" s="148"/>
      <c r="AP697" s="148"/>
      <c r="AQ697" s="148"/>
      <c r="AR697" s="148"/>
      <c r="AS697" s="148"/>
      <c r="AT697" s="148"/>
      <c r="AU697" s="148"/>
      <c r="AV697" s="148"/>
      <c r="AW697" s="148"/>
      <c r="AX697" s="148"/>
      <c r="AY697" s="148"/>
      <c r="AZ697" s="148"/>
      <c r="BA697" s="148"/>
      <c r="BB697" s="159"/>
      <c r="BC697" s="159"/>
      <c r="BD697" s="159"/>
      <c r="BE697" s="159"/>
      <c r="BF697" s="159"/>
      <c r="BG697" s="159"/>
      <c r="BH697" s="159"/>
      <c r="BI697" s="159"/>
      <c r="BJ697" s="159"/>
      <c r="BK697" s="159"/>
      <c r="BL697" s="159"/>
      <c r="BM697" s="159"/>
      <c r="BN697" s="159"/>
      <c r="BO697" s="159"/>
      <c r="BP697" s="159"/>
      <c r="BQ697" s="159"/>
      <c r="BR697" s="159"/>
      <c r="BS697" s="159"/>
      <c r="BT697" s="159"/>
      <c r="BU697" s="159"/>
      <c r="BV697" s="159"/>
      <c r="BW697" s="159"/>
      <c r="BX697" s="159"/>
      <c r="BY697" s="159"/>
    </row>
    <row r="698" spans="1:77" x14ac:dyDescent="0.15">
      <c r="A698" s="159">
        <v>1410010021</v>
      </c>
      <c r="B698" s="190" t="s">
        <v>603</v>
      </c>
      <c r="C698" s="148" t="s">
        <v>100</v>
      </c>
      <c r="D698" s="159"/>
      <c r="E698" s="148" t="s">
        <v>85</v>
      </c>
      <c r="F698" s="148">
        <v>80000</v>
      </c>
      <c r="G698" s="148">
        <v>180000</v>
      </c>
      <c r="H698" s="159"/>
      <c r="I698" s="148">
        <v>90000</v>
      </c>
      <c r="J698" s="161"/>
      <c r="K698" s="191"/>
      <c r="L698" s="191"/>
      <c r="M698" s="191" t="s">
        <v>101</v>
      </c>
      <c r="N698" s="191" t="s">
        <v>848</v>
      </c>
      <c r="O698" s="148" t="s">
        <v>79</v>
      </c>
      <c r="P698" s="148" t="s">
        <v>80</v>
      </c>
      <c r="Q698" s="167">
        <v>350</v>
      </c>
      <c r="R698" s="167">
        <v>4000</v>
      </c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  <c r="AC698" s="148"/>
      <c r="AD698" s="148"/>
      <c r="AE698" s="148"/>
      <c r="AF698" s="148"/>
      <c r="AG698" s="148"/>
      <c r="AH698" s="148"/>
      <c r="AI698" s="148"/>
      <c r="AJ698" s="148"/>
      <c r="AK698" s="148"/>
      <c r="AL698" s="148"/>
      <c r="AM698" s="148"/>
      <c r="AN698" s="148"/>
      <c r="AO698" s="148"/>
      <c r="AP698" s="148"/>
      <c r="AQ698" s="148"/>
      <c r="AR698" s="148"/>
      <c r="AS698" s="148"/>
      <c r="AT698" s="148"/>
      <c r="AU698" s="148"/>
      <c r="AV698" s="148"/>
      <c r="AW698" s="148"/>
      <c r="AX698" s="148"/>
      <c r="AY698" s="148"/>
      <c r="AZ698" s="148"/>
      <c r="BA698" s="148"/>
      <c r="BB698" s="159"/>
      <c r="BC698" s="159"/>
      <c r="BD698" s="159"/>
      <c r="BE698" s="159"/>
      <c r="BF698" s="159"/>
      <c r="BG698" s="159"/>
      <c r="BH698" s="159"/>
      <c r="BI698" s="159"/>
      <c r="BJ698" s="159"/>
      <c r="BK698" s="159"/>
      <c r="BL698" s="159"/>
      <c r="BM698" s="159"/>
      <c r="BN698" s="159"/>
      <c r="BO698" s="159"/>
      <c r="BP698" s="159"/>
      <c r="BQ698" s="159"/>
      <c r="BR698" s="159"/>
      <c r="BS698" s="159"/>
      <c r="BT698" s="159"/>
      <c r="BU698" s="159"/>
      <c r="BV698" s="159"/>
      <c r="BW698" s="159"/>
      <c r="BX698" s="159"/>
      <c r="BY698" s="159"/>
    </row>
    <row r="699" spans="1:77" x14ac:dyDescent="0.15">
      <c r="A699" s="159">
        <v>1410010031</v>
      </c>
      <c r="B699" s="190" t="s">
        <v>603</v>
      </c>
      <c r="C699" s="148" t="s">
        <v>100</v>
      </c>
      <c r="D699" s="159"/>
      <c r="E699" s="148" t="s">
        <v>85</v>
      </c>
      <c r="F699" s="148">
        <v>80000</v>
      </c>
      <c r="G699" s="148">
        <v>180000</v>
      </c>
      <c r="H699" s="159"/>
      <c r="I699" s="148">
        <v>90000</v>
      </c>
      <c r="J699" s="161"/>
      <c r="K699" s="191"/>
      <c r="L699" s="191"/>
      <c r="M699" s="191" t="s">
        <v>101</v>
      </c>
      <c r="N699" s="191" t="s">
        <v>848</v>
      </c>
      <c r="O699" s="148" t="s">
        <v>79</v>
      </c>
      <c r="P699" s="148" t="s">
        <v>80</v>
      </c>
      <c r="Q699" s="167">
        <v>430</v>
      </c>
      <c r="R699" s="167">
        <v>4000</v>
      </c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  <c r="AC699" s="148"/>
      <c r="AD699" s="148"/>
      <c r="AE699" s="148"/>
      <c r="AF699" s="148"/>
      <c r="AG699" s="148"/>
      <c r="AH699" s="148"/>
      <c r="AI699" s="148"/>
      <c r="AJ699" s="148"/>
      <c r="AK699" s="148"/>
      <c r="AL699" s="148"/>
      <c r="AM699" s="148"/>
      <c r="AN699" s="148"/>
      <c r="AO699" s="148"/>
      <c r="AP699" s="148"/>
      <c r="AQ699" s="148"/>
      <c r="AR699" s="148"/>
      <c r="AS699" s="148"/>
      <c r="AT699" s="148"/>
      <c r="AU699" s="148"/>
      <c r="AV699" s="148"/>
      <c r="AW699" s="148"/>
      <c r="AX699" s="148"/>
      <c r="AY699" s="148"/>
      <c r="AZ699" s="148"/>
      <c r="BA699" s="148"/>
      <c r="BB699" s="159"/>
      <c r="BC699" s="159"/>
      <c r="BD699" s="159"/>
      <c r="BE699" s="159"/>
      <c r="BF699" s="159"/>
      <c r="BG699" s="159"/>
      <c r="BH699" s="159"/>
      <c r="BI699" s="159"/>
      <c r="BJ699" s="159"/>
      <c r="BK699" s="159"/>
      <c r="BL699" s="159"/>
      <c r="BM699" s="159"/>
      <c r="BN699" s="159"/>
      <c r="BO699" s="159"/>
      <c r="BP699" s="159"/>
      <c r="BQ699" s="159"/>
      <c r="BR699" s="159"/>
      <c r="BS699" s="159"/>
      <c r="BT699" s="159"/>
      <c r="BU699" s="159"/>
      <c r="BV699" s="159"/>
      <c r="BW699" s="159"/>
      <c r="BX699" s="159"/>
      <c r="BY699" s="159"/>
    </row>
    <row r="700" spans="1:77" x14ac:dyDescent="0.15">
      <c r="A700" s="159">
        <v>1410010041</v>
      </c>
      <c r="B700" s="190" t="s">
        <v>603</v>
      </c>
      <c r="C700" s="148" t="s">
        <v>100</v>
      </c>
      <c r="D700" s="159"/>
      <c r="E700" s="148" t="s">
        <v>85</v>
      </c>
      <c r="F700" s="148">
        <v>80000</v>
      </c>
      <c r="G700" s="148">
        <v>180000</v>
      </c>
      <c r="H700" s="159"/>
      <c r="I700" s="148">
        <v>90000</v>
      </c>
      <c r="J700" s="161"/>
      <c r="K700" s="191"/>
      <c r="L700" s="191"/>
      <c r="M700" s="191" t="s">
        <v>101</v>
      </c>
      <c r="N700" s="191" t="s">
        <v>848</v>
      </c>
      <c r="O700" s="148" t="s">
        <v>79</v>
      </c>
      <c r="P700" s="148" t="s">
        <v>80</v>
      </c>
      <c r="Q700" s="167">
        <v>510</v>
      </c>
      <c r="R700" s="167">
        <v>4000</v>
      </c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  <c r="AC700" s="148"/>
      <c r="AD700" s="148"/>
      <c r="AE700" s="148"/>
      <c r="AF700" s="148"/>
      <c r="AG700" s="148"/>
      <c r="AH700" s="148"/>
      <c r="AI700" s="148"/>
      <c r="AJ700" s="148"/>
      <c r="AK700" s="148"/>
      <c r="AL700" s="148"/>
      <c r="AM700" s="148"/>
      <c r="AN700" s="148"/>
      <c r="AO700" s="148"/>
      <c r="AP700" s="148"/>
      <c r="AQ700" s="148"/>
      <c r="AR700" s="148"/>
      <c r="AS700" s="148"/>
      <c r="AT700" s="148"/>
      <c r="AU700" s="148"/>
      <c r="AV700" s="148"/>
      <c r="AW700" s="148"/>
      <c r="AX700" s="148"/>
      <c r="AY700" s="148"/>
      <c r="AZ700" s="148"/>
      <c r="BA700" s="148"/>
      <c r="BB700" s="159"/>
      <c r="BC700" s="159"/>
      <c r="BD700" s="159"/>
      <c r="BE700" s="159"/>
      <c r="BF700" s="159"/>
      <c r="BG700" s="159"/>
      <c r="BH700" s="159"/>
      <c r="BI700" s="159"/>
      <c r="BJ700" s="159"/>
      <c r="BK700" s="159"/>
      <c r="BL700" s="159"/>
      <c r="BM700" s="159"/>
      <c r="BN700" s="159"/>
      <c r="BO700" s="159"/>
      <c r="BP700" s="159"/>
      <c r="BQ700" s="159"/>
      <c r="BR700" s="159"/>
      <c r="BS700" s="159"/>
      <c r="BT700" s="159"/>
      <c r="BU700" s="159"/>
      <c r="BV700" s="159"/>
      <c r="BW700" s="159"/>
      <c r="BX700" s="159"/>
      <c r="BY700" s="159"/>
    </row>
    <row r="701" spans="1:77" x14ac:dyDescent="0.15">
      <c r="A701" s="159">
        <v>1410010012</v>
      </c>
      <c r="B701" s="190" t="s">
        <v>604</v>
      </c>
      <c r="C701" s="148" t="s">
        <v>89</v>
      </c>
      <c r="D701" s="159"/>
      <c r="E701" s="148" t="s">
        <v>78</v>
      </c>
      <c r="F701" s="148"/>
      <c r="G701" s="148"/>
      <c r="H701" s="159"/>
      <c r="I701" s="148"/>
      <c r="J701" s="161"/>
      <c r="K701" s="191"/>
      <c r="L701" s="191"/>
      <c r="M701" s="191"/>
      <c r="N701" s="191"/>
      <c r="O701" s="148" t="s">
        <v>90</v>
      </c>
      <c r="P701" s="148"/>
      <c r="Q701" s="167"/>
      <c r="R701" s="167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  <c r="AC701" s="148">
        <v>1410010101</v>
      </c>
      <c r="AD701" s="148">
        <v>1410010101</v>
      </c>
      <c r="AE701" s="148"/>
      <c r="AF701" s="148"/>
      <c r="AG701" s="148"/>
      <c r="AH701" s="148"/>
      <c r="AI701" s="148"/>
      <c r="AJ701" s="148"/>
      <c r="AK701" s="148"/>
      <c r="AL701" s="148"/>
      <c r="AM701" s="148"/>
      <c r="AN701" s="148"/>
      <c r="AO701" s="148"/>
      <c r="AP701" s="148"/>
      <c r="AQ701" s="148"/>
      <c r="AR701" s="148"/>
      <c r="AS701" s="148"/>
      <c r="AT701" s="148"/>
      <c r="AU701" s="148"/>
      <c r="AV701" s="148"/>
      <c r="AW701" s="148"/>
      <c r="AX701" s="148"/>
      <c r="AY701" s="148"/>
      <c r="AZ701" s="148"/>
      <c r="BA701" s="148"/>
      <c r="BB701" s="159"/>
      <c r="BC701" s="159"/>
      <c r="BD701" s="159"/>
      <c r="BE701" s="159"/>
      <c r="BF701" s="159"/>
      <c r="BG701" s="159"/>
      <c r="BH701" s="159"/>
      <c r="BI701" s="159"/>
      <c r="BJ701" s="159"/>
      <c r="BK701" s="159"/>
      <c r="BL701" s="159"/>
      <c r="BM701" s="159"/>
      <c r="BN701" s="159"/>
      <c r="BO701" s="159"/>
      <c r="BP701" s="159"/>
      <c r="BQ701" s="159"/>
      <c r="BR701" s="159"/>
      <c r="BS701" s="159"/>
      <c r="BT701" s="159"/>
      <c r="BU701" s="159"/>
      <c r="BV701" s="159"/>
      <c r="BW701" s="159"/>
      <c r="BX701" s="159"/>
      <c r="BY701" s="159"/>
    </row>
    <row r="702" spans="1:77" x14ac:dyDescent="0.15">
      <c r="A702" s="159">
        <v>1410040011</v>
      </c>
      <c r="B702" s="190" t="s">
        <v>605</v>
      </c>
      <c r="C702" s="148" t="s">
        <v>89</v>
      </c>
      <c r="D702" s="159"/>
      <c r="E702" s="148" t="s">
        <v>78</v>
      </c>
      <c r="F702" s="148"/>
      <c r="G702" s="148"/>
      <c r="H702" s="159"/>
      <c r="I702" s="159"/>
      <c r="J702" s="191"/>
      <c r="K702" s="191"/>
      <c r="L702" s="191"/>
      <c r="M702" s="191"/>
      <c r="N702" s="191"/>
      <c r="O702" s="148" t="s">
        <v>90</v>
      </c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  <c r="AC702" s="148">
        <v>1410040101</v>
      </c>
      <c r="AD702" s="148">
        <v>1410040101</v>
      </c>
      <c r="AE702" s="148"/>
      <c r="AF702" s="148"/>
      <c r="AG702" s="148"/>
      <c r="AH702" s="148"/>
      <c r="AI702" s="148"/>
      <c r="AJ702" s="148"/>
      <c r="AK702" s="148"/>
      <c r="AL702" s="148"/>
      <c r="AM702" s="148"/>
      <c r="AN702" s="148"/>
      <c r="AO702" s="148"/>
      <c r="AP702" s="148"/>
      <c r="AQ702" s="148"/>
      <c r="AR702" s="148"/>
      <c r="AS702" s="148"/>
      <c r="AT702" s="148"/>
      <c r="AU702" s="148"/>
      <c r="AV702" s="148"/>
      <c r="AW702" s="148"/>
      <c r="AX702" s="148"/>
      <c r="AY702" s="148"/>
      <c r="AZ702" s="148"/>
      <c r="BA702" s="148"/>
      <c r="BB702" s="159"/>
      <c r="BC702" s="159"/>
      <c r="BD702" s="159"/>
      <c r="BE702" s="159"/>
      <c r="BF702" s="159"/>
      <c r="BG702" s="159"/>
      <c r="BH702" s="159"/>
      <c r="BI702" s="159"/>
      <c r="BJ702" s="159"/>
      <c r="BK702" s="159"/>
      <c r="BL702" s="159"/>
      <c r="BM702" s="159"/>
      <c r="BN702" s="159"/>
      <c r="BO702" s="159"/>
      <c r="BP702" s="159"/>
      <c r="BQ702" s="159"/>
      <c r="BR702" s="159"/>
      <c r="BS702" s="159"/>
      <c r="BT702" s="159"/>
      <c r="BU702" s="159"/>
      <c r="BV702" s="159"/>
      <c r="BW702" s="159"/>
      <c r="BX702" s="159"/>
      <c r="BY702" s="159"/>
    </row>
    <row r="703" spans="1:77" x14ac:dyDescent="0.15">
      <c r="A703" s="159">
        <v>1410040021</v>
      </c>
      <c r="B703" s="190" t="s">
        <v>605</v>
      </c>
      <c r="C703" s="148" t="s">
        <v>89</v>
      </c>
      <c r="D703" s="159"/>
      <c r="E703" s="148" t="s">
        <v>78</v>
      </c>
      <c r="F703" s="148"/>
      <c r="G703" s="148"/>
      <c r="H703" s="159"/>
      <c r="I703" s="159"/>
      <c r="J703" s="191"/>
      <c r="K703" s="191"/>
      <c r="L703" s="191"/>
      <c r="M703" s="191"/>
      <c r="N703" s="191"/>
      <c r="O703" s="148" t="s">
        <v>90</v>
      </c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  <c r="AC703" s="148">
        <v>1410040201</v>
      </c>
      <c r="AD703" s="148">
        <v>1410040201</v>
      </c>
      <c r="AE703" s="148"/>
      <c r="AF703" s="148"/>
      <c r="AG703" s="148"/>
      <c r="AH703" s="148"/>
      <c r="AI703" s="148"/>
      <c r="AJ703" s="148"/>
      <c r="AK703" s="148"/>
      <c r="AL703" s="148"/>
      <c r="AM703" s="148"/>
      <c r="AN703" s="148"/>
      <c r="AO703" s="148"/>
      <c r="AP703" s="148"/>
      <c r="AQ703" s="148"/>
      <c r="AR703" s="148"/>
      <c r="AS703" s="148"/>
      <c r="AT703" s="148"/>
      <c r="AU703" s="148"/>
      <c r="AV703" s="148"/>
      <c r="AW703" s="148"/>
      <c r="AX703" s="148"/>
      <c r="AY703" s="148"/>
      <c r="AZ703" s="148"/>
      <c r="BA703" s="148"/>
      <c r="BB703" s="159"/>
      <c r="BC703" s="159"/>
      <c r="BD703" s="159"/>
      <c r="BE703" s="159"/>
      <c r="BF703" s="159"/>
      <c r="BG703" s="159"/>
      <c r="BH703" s="159"/>
      <c r="BI703" s="159"/>
      <c r="BJ703" s="159"/>
      <c r="BK703" s="159"/>
      <c r="BL703" s="159"/>
      <c r="BM703" s="159"/>
      <c r="BN703" s="159"/>
      <c r="BO703" s="159"/>
      <c r="BP703" s="159"/>
      <c r="BQ703" s="159"/>
      <c r="BR703" s="159"/>
      <c r="BS703" s="159"/>
      <c r="BT703" s="159"/>
      <c r="BU703" s="159"/>
      <c r="BV703" s="159"/>
      <c r="BW703" s="159"/>
      <c r="BX703" s="159"/>
      <c r="BY703" s="159"/>
    </row>
    <row r="704" spans="1:77" x14ac:dyDescent="0.15">
      <c r="A704" s="159">
        <v>1410200011</v>
      </c>
      <c r="B704" s="190" t="s">
        <v>606</v>
      </c>
      <c r="C704" s="148" t="s">
        <v>89</v>
      </c>
      <c r="D704" s="159"/>
      <c r="E704" s="148" t="s">
        <v>78</v>
      </c>
      <c r="F704" s="148"/>
      <c r="G704" s="148"/>
      <c r="H704" s="159"/>
      <c r="I704" s="159"/>
      <c r="J704" s="191"/>
      <c r="K704" s="191"/>
      <c r="L704" s="191"/>
      <c r="M704" s="191"/>
      <c r="N704" s="191"/>
      <c r="O704" s="148" t="s">
        <v>491</v>
      </c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  <c r="AC704" s="148"/>
      <c r="AD704" s="148"/>
      <c r="AE704" s="148" t="s">
        <v>171</v>
      </c>
      <c r="AF704" s="148">
        <v>1</v>
      </c>
      <c r="AG704" s="148"/>
      <c r="AH704" s="148"/>
      <c r="AI704" s="148"/>
      <c r="AJ704" s="148" t="s">
        <v>90</v>
      </c>
      <c r="AK704" s="148"/>
      <c r="AL704" s="148"/>
      <c r="AM704" s="148"/>
      <c r="AN704" s="148"/>
      <c r="AO704" s="148"/>
      <c r="AP704" s="148"/>
      <c r="AQ704" s="148"/>
      <c r="AR704" s="148"/>
      <c r="AS704" s="148"/>
      <c r="AT704" s="148"/>
      <c r="AU704" s="148"/>
      <c r="AV704" s="148"/>
      <c r="AW704" s="148"/>
      <c r="AX704" s="148"/>
      <c r="AY704" s="148">
        <v>1410200101</v>
      </c>
      <c r="AZ704" s="148"/>
      <c r="BA704" s="167" t="s">
        <v>493</v>
      </c>
      <c r="BB704" s="167">
        <v>5</v>
      </c>
      <c r="BC704" s="159"/>
      <c r="BD704" s="159"/>
      <c r="BE704" s="148" t="s">
        <v>90</v>
      </c>
      <c r="BF704" s="148"/>
      <c r="BG704" s="148"/>
      <c r="BH704" s="148"/>
      <c r="BI704" s="148"/>
      <c r="BJ704" s="148"/>
      <c r="BK704" s="148"/>
      <c r="BL704" s="148"/>
      <c r="BM704" s="148"/>
      <c r="BN704" s="148"/>
      <c r="BO704" s="148"/>
      <c r="BP704" s="148"/>
      <c r="BQ704" s="148"/>
      <c r="BR704" s="148"/>
      <c r="BS704" s="148"/>
      <c r="BT704" s="148">
        <v>1410200201</v>
      </c>
      <c r="BU704" s="159"/>
      <c r="BV704" s="167" t="s">
        <v>493</v>
      </c>
      <c r="BW704" s="167">
        <v>4</v>
      </c>
      <c r="BX704" s="159"/>
      <c r="BY704" s="159"/>
    </row>
    <row r="705" spans="1:77" x14ac:dyDescent="0.15">
      <c r="A705" s="159">
        <v>1410200021</v>
      </c>
      <c r="B705" s="190" t="s">
        <v>606</v>
      </c>
      <c r="C705" s="148" t="s">
        <v>89</v>
      </c>
      <c r="D705" s="159"/>
      <c r="E705" s="148" t="s">
        <v>78</v>
      </c>
      <c r="F705" s="148"/>
      <c r="G705" s="148"/>
      <c r="H705" s="159"/>
      <c r="I705" s="159"/>
      <c r="J705" s="191"/>
      <c r="K705" s="191"/>
      <c r="L705" s="191"/>
      <c r="M705" s="191"/>
      <c r="N705" s="191"/>
      <c r="O705" s="148" t="s">
        <v>491</v>
      </c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  <c r="AC705" s="148"/>
      <c r="AD705" s="148"/>
      <c r="AE705" s="148" t="s">
        <v>171</v>
      </c>
      <c r="AF705" s="148">
        <v>1</v>
      </c>
      <c r="AG705" s="148"/>
      <c r="AH705" s="148"/>
      <c r="AI705" s="148"/>
      <c r="AJ705" s="148" t="s">
        <v>90</v>
      </c>
      <c r="AK705" s="148"/>
      <c r="AL705" s="148"/>
      <c r="AM705" s="148"/>
      <c r="AN705" s="148"/>
      <c r="AO705" s="148"/>
      <c r="AP705" s="148"/>
      <c r="AQ705" s="148"/>
      <c r="AR705" s="148"/>
      <c r="AS705" s="148"/>
      <c r="AT705" s="148"/>
      <c r="AU705" s="148"/>
      <c r="AV705" s="148"/>
      <c r="AW705" s="148"/>
      <c r="AX705" s="148"/>
      <c r="AY705" s="148">
        <v>1410200102</v>
      </c>
      <c r="AZ705" s="148"/>
      <c r="BA705" s="167" t="s">
        <v>493</v>
      </c>
      <c r="BB705" s="167">
        <v>5</v>
      </c>
      <c r="BC705" s="159"/>
      <c r="BD705" s="159"/>
      <c r="BE705" s="148" t="s">
        <v>90</v>
      </c>
      <c r="BF705" s="148"/>
      <c r="BG705" s="148"/>
      <c r="BH705" s="148"/>
      <c r="BI705" s="148"/>
      <c r="BJ705" s="148"/>
      <c r="BK705" s="148"/>
      <c r="BL705" s="148"/>
      <c r="BM705" s="148"/>
      <c r="BN705" s="148"/>
      <c r="BO705" s="148"/>
      <c r="BP705" s="148"/>
      <c r="BQ705" s="148"/>
      <c r="BR705" s="148"/>
      <c r="BS705" s="148"/>
      <c r="BT705" s="148">
        <v>1410200201</v>
      </c>
      <c r="BU705" s="159"/>
      <c r="BV705" s="167" t="s">
        <v>493</v>
      </c>
      <c r="BW705" s="167">
        <v>4</v>
      </c>
      <c r="BX705" s="159"/>
      <c r="BY705" s="159"/>
    </row>
    <row r="706" spans="1:77" x14ac:dyDescent="0.15">
      <c r="A706" s="159">
        <v>1410200031</v>
      </c>
      <c r="B706" s="190" t="s">
        <v>606</v>
      </c>
      <c r="C706" s="148" t="s">
        <v>89</v>
      </c>
      <c r="D706" s="159"/>
      <c r="E706" s="148" t="s">
        <v>78</v>
      </c>
      <c r="F706" s="148"/>
      <c r="G706" s="148"/>
      <c r="H706" s="159"/>
      <c r="I706" s="159"/>
      <c r="J706" s="191"/>
      <c r="K706" s="191"/>
      <c r="L706" s="191"/>
      <c r="M706" s="191"/>
      <c r="N706" s="191"/>
      <c r="O706" s="148" t="s">
        <v>491</v>
      </c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  <c r="AC706" s="148"/>
      <c r="AD706" s="148"/>
      <c r="AE706" s="148" t="s">
        <v>171</v>
      </c>
      <c r="AF706" s="148">
        <v>1</v>
      </c>
      <c r="AG706" s="148"/>
      <c r="AH706" s="148"/>
      <c r="AI706" s="148"/>
      <c r="AJ706" s="148" t="s">
        <v>90</v>
      </c>
      <c r="AK706" s="148"/>
      <c r="AL706" s="148"/>
      <c r="AM706" s="148"/>
      <c r="AN706" s="148"/>
      <c r="AO706" s="148"/>
      <c r="AP706" s="148"/>
      <c r="AQ706" s="148"/>
      <c r="AR706" s="148"/>
      <c r="AS706" s="148"/>
      <c r="AT706" s="148"/>
      <c r="AU706" s="148"/>
      <c r="AV706" s="148"/>
      <c r="AW706" s="148"/>
      <c r="AX706" s="148"/>
      <c r="AY706" s="148">
        <v>1410200103</v>
      </c>
      <c r="AZ706" s="148"/>
      <c r="BA706" s="167" t="s">
        <v>493</v>
      </c>
      <c r="BB706" s="167">
        <v>5</v>
      </c>
      <c r="BC706" s="159"/>
      <c r="BD706" s="159"/>
      <c r="BE706" s="148" t="s">
        <v>90</v>
      </c>
      <c r="BF706" s="148"/>
      <c r="BG706" s="148"/>
      <c r="BH706" s="148"/>
      <c r="BI706" s="148"/>
      <c r="BJ706" s="148"/>
      <c r="BK706" s="148"/>
      <c r="BL706" s="148"/>
      <c r="BM706" s="148"/>
      <c r="BN706" s="148"/>
      <c r="BO706" s="148"/>
      <c r="BP706" s="148"/>
      <c r="BQ706" s="148"/>
      <c r="BR706" s="148"/>
      <c r="BS706" s="148"/>
      <c r="BT706" s="148">
        <v>1410200201</v>
      </c>
      <c r="BU706" s="159"/>
      <c r="BV706" s="167" t="s">
        <v>493</v>
      </c>
      <c r="BW706" s="167">
        <v>4</v>
      </c>
      <c r="BX706" s="159"/>
      <c r="BY706" s="159"/>
    </row>
    <row r="707" spans="1:77" x14ac:dyDescent="0.15">
      <c r="A707" s="159">
        <v>1410020011</v>
      </c>
      <c r="B707" s="190" t="s">
        <v>607</v>
      </c>
      <c r="C707" s="148" t="s">
        <v>100</v>
      </c>
      <c r="D707" s="159"/>
      <c r="E707" s="150" t="s">
        <v>78</v>
      </c>
      <c r="F707" s="150"/>
      <c r="G707" s="150"/>
      <c r="H707" s="150"/>
      <c r="I707" s="150"/>
      <c r="J707" s="166"/>
      <c r="K707" s="166"/>
      <c r="L707" s="166"/>
      <c r="M707" s="166"/>
      <c r="N707" s="166"/>
      <c r="O707" s="150" t="s">
        <v>95</v>
      </c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7">
        <v>20000820</v>
      </c>
      <c r="AF707" s="167" t="s">
        <v>96</v>
      </c>
      <c r="AG707" s="167"/>
      <c r="AH707" s="167">
        <v>1</v>
      </c>
      <c r="AI707" s="148"/>
      <c r="AJ707" s="148"/>
      <c r="AK707" s="148"/>
      <c r="AL707" s="148"/>
      <c r="AM707" s="148"/>
      <c r="AN707" s="148"/>
      <c r="AO707" s="148"/>
      <c r="AP707" s="148"/>
      <c r="AQ707" s="148"/>
      <c r="AR707" s="148"/>
      <c r="AS707" s="148"/>
      <c r="AT707" s="148"/>
      <c r="AU707" s="148"/>
      <c r="AV707" s="148"/>
      <c r="AW707" s="148"/>
      <c r="AX707" s="148"/>
      <c r="AY707" s="148"/>
      <c r="AZ707" s="148"/>
      <c r="BA707" s="148"/>
      <c r="BB707" s="148"/>
      <c r="BC707" s="148"/>
      <c r="BD707" s="148"/>
      <c r="BE707" s="148"/>
      <c r="BF707" s="148"/>
      <c r="BG707" s="148"/>
      <c r="BH707" s="148"/>
      <c r="BI707" s="148"/>
      <c r="BJ707" s="148"/>
      <c r="BK707" s="148"/>
      <c r="BL707" s="148"/>
      <c r="BM707" s="148"/>
      <c r="BN707" s="148"/>
      <c r="BO707" s="148"/>
      <c r="BP707" s="148"/>
      <c r="BQ707" s="148"/>
      <c r="BR707" s="148"/>
      <c r="BS707" s="148"/>
      <c r="BT707" s="148"/>
      <c r="BU707" s="148"/>
      <c r="BV707" s="148"/>
      <c r="BW707" s="148"/>
      <c r="BX707" s="148"/>
      <c r="BY707" s="148"/>
    </row>
    <row r="708" spans="1:77" x14ac:dyDescent="0.15">
      <c r="A708" s="159">
        <v>1410020021</v>
      </c>
      <c r="B708" s="190" t="s">
        <v>607</v>
      </c>
      <c r="C708" s="148" t="s">
        <v>100</v>
      </c>
      <c r="D708" s="159"/>
      <c r="E708" s="150" t="s">
        <v>78</v>
      </c>
      <c r="F708" s="150"/>
      <c r="G708" s="150"/>
      <c r="H708" s="150"/>
      <c r="I708" s="150"/>
      <c r="J708" s="166"/>
      <c r="K708" s="166"/>
      <c r="L708" s="166"/>
      <c r="M708" s="166"/>
      <c r="N708" s="166"/>
      <c r="O708" s="150" t="s">
        <v>95</v>
      </c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7">
        <v>20000821</v>
      </c>
      <c r="AF708" s="167" t="s">
        <v>96</v>
      </c>
      <c r="AG708" s="167"/>
      <c r="AH708" s="167">
        <v>1</v>
      </c>
      <c r="AI708" s="148"/>
      <c r="AJ708" s="148"/>
      <c r="AK708" s="148"/>
      <c r="AL708" s="148"/>
      <c r="AM708" s="148"/>
      <c r="AN708" s="148"/>
      <c r="AO708" s="148"/>
      <c r="AP708" s="148"/>
      <c r="AQ708" s="148"/>
      <c r="AR708" s="148"/>
      <c r="AS708" s="148"/>
      <c r="AT708" s="148"/>
      <c r="AU708" s="148"/>
      <c r="AV708" s="148"/>
      <c r="AW708" s="148"/>
      <c r="AX708" s="148"/>
      <c r="AY708" s="148"/>
      <c r="AZ708" s="148"/>
      <c r="BA708" s="148"/>
      <c r="BB708" s="148"/>
      <c r="BC708" s="148"/>
      <c r="BD708" s="148"/>
      <c r="BE708" s="148"/>
      <c r="BF708" s="148"/>
      <c r="BG708" s="148"/>
      <c r="BH708" s="148"/>
      <c r="BI708" s="148"/>
      <c r="BJ708" s="148"/>
      <c r="BK708" s="148"/>
      <c r="BL708" s="148"/>
      <c r="BM708" s="148"/>
      <c r="BN708" s="148"/>
      <c r="BO708" s="148"/>
      <c r="BP708" s="148"/>
      <c r="BQ708" s="148"/>
      <c r="BR708" s="148"/>
      <c r="BS708" s="148"/>
      <c r="BT708" s="148"/>
      <c r="BU708" s="148"/>
      <c r="BV708" s="148"/>
      <c r="BW708" s="148"/>
      <c r="BX708" s="148"/>
      <c r="BY708" s="148"/>
    </row>
    <row r="709" spans="1:77" x14ac:dyDescent="0.15">
      <c r="A709" s="159">
        <v>1410020031</v>
      </c>
      <c r="B709" s="190" t="s">
        <v>607</v>
      </c>
      <c r="C709" s="148" t="s">
        <v>100</v>
      </c>
      <c r="D709" s="159"/>
      <c r="E709" s="150" t="s">
        <v>78</v>
      </c>
      <c r="F709" s="150"/>
      <c r="G709" s="150"/>
      <c r="H709" s="150"/>
      <c r="I709" s="150"/>
      <c r="J709" s="166"/>
      <c r="K709" s="166"/>
      <c r="L709" s="166"/>
      <c r="M709" s="166"/>
      <c r="N709" s="166"/>
      <c r="O709" s="150" t="s">
        <v>95</v>
      </c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>
        <v>20000822</v>
      </c>
      <c r="AF709" s="167" t="s">
        <v>96</v>
      </c>
      <c r="AG709" s="167"/>
      <c r="AH709" s="167">
        <v>1</v>
      </c>
      <c r="AI709" s="148"/>
      <c r="AJ709" s="148"/>
      <c r="AK709" s="148"/>
      <c r="AL709" s="148"/>
      <c r="AM709" s="148"/>
      <c r="AN709" s="148"/>
      <c r="AO709" s="148"/>
      <c r="AP709" s="148"/>
      <c r="AQ709" s="148"/>
      <c r="AR709" s="148"/>
      <c r="AS709" s="148"/>
      <c r="AT709" s="148"/>
      <c r="AU709" s="148"/>
      <c r="AV709" s="148"/>
      <c r="AW709" s="148"/>
      <c r="AX709" s="148"/>
      <c r="AY709" s="148"/>
      <c r="AZ709" s="148"/>
      <c r="BA709" s="148"/>
      <c r="BB709" s="148"/>
      <c r="BC709" s="148"/>
      <c r="BD709" s="148"/>
      <c r="BE709" s="148"/>
      <c r="BF709" s="148"/>
      <c r="BG709" s="148"/>
      <c r="BH709" s="148"/>
      <c r="BI709" s="148"/>
      <c r="BJ709" s="148"/>
      <c r="BK709" s="148"/>
      <c r="BL709" s="148"/>
      <c r="BM709" s="148"/>
      <c r="BN709" s="148"/>
      <c r="BO709" s="148"/>
      <c r="BP709" s="148"/>
      <c r="BQ709" s="148"/>
      <c r="BR709" s="148"/>
      <c r="BS709" s="148"/>
      <c r="BT709" s="148"/>
      <c r="BU709" s="148"/>
      <c r="BV709" s="148"/>
      <c r="BW709" s="148"/>
      <c r="BX709" s="148"/>
      <c r="BY709" s="148"/>
    </row>
    <row r="710" spans="1:77" x14ac:dyDescent="0.15">
      <c r="A710" s="159">
        <v>1410020041</v>
      </c>
      <c r="B710" s="190" t="s">
        <v>607</v>
      </c>
      <c r="C710" s="148" t="s">
        <v>100</v>
      </c>
      <c r="D710" s="159"/>
      <c r="E710" s="150" t="s">
        <v>78</v>
      </c>
      <c r="F710" s="150"/>
      <c r="G710" s="150"/>
      <c r="H710" s="150"/>
      <c r="I710" s="150"/>
      <c r="J710" s="166"/>
      <c r="K710" s="166"/>
      <c r="L710" s="166"/>
      <c r="M710" s="166"/>
      <c r="N710" s="166"/>
      <c r="O710" s="150" t="s">
        <v>95</v>
      </c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>
        <v>20000823</v>
      </c>
      <c r="AF710" s="167" t="s">
        <v>96</v>
      </c>
      <c r="AG710" s="167"/>
      <c r="AH710" s="167">
        <v>1</v>
      </c>
      <c r="AI710" s="148"/>
      <c r="AJ710" s="148"/>
      <c r="AK710" s="148"/>
      <c r="AL710" s="148"/>
      <c r="AM710" s="148"/>
      <c r="AN710" s="148"/>
      <c r="AO710" s="148"/>
      <c r="AP710" s="148"/>
      <c r="AQ710" s="148"/>
      <c r="AR710" s="148"/>
      <c r="AS710" s="148"/>
      <c r="AT710" s="148"/>
      <c r="AU710" s="148"/>
      <c r="AV710" s="148"/>
      <c r="AW710" s="148"/>
      <c r="AX710" s="148"/>
      <c r="AY710" s="148"/>
      <c r="AZ710" s="148"/>
      <c r="BA710" s="148"/>
      <c r="BB710" s="148"/>
      <c r="BC710" s="148"/>
      <c r="BD710" s="148"/>
      <c r="BE710" s="148"/>
      <c r="BF710" s="148"/>
      <c r="BG710" s="148"/>
      <c r="BH710" s="148"/>
      <c r="BI710" s="148"/>
      <c r="BJ710" s="148"/>
      <c r="BK710" s="148"/>
      <c r="BL710" s="148"/>
      <c r="BM710" s="148"/>
      <c r="BN710" s="148"/>
      <c r="BO710" s="148"/>
      <c r="BP710" s="148"/>
      <c r="BQ710" s="148"/>
      <c r="BR710" s="148"/>
      <c r="BS710" s="148"/>
      <c r="BT710" s="148"/>
      <c r="BU710" s="148"/>
      <c r="BV710" s="148"/>
      <c r="BW710" s="148"/>
      <c r="BX710" s="148"/>
      <c r="BY710" s="148"/>
    </row>
    <row r="711" spans="1:77" s="19" customFormat="1" x14ac:dyDescent="0.15">
      <c r="A711" s="151">
        <v>1003001011</v>
      </c>
      <c r="B711" s="157" t="s">
        <v>608</v>
      </c>
      <c r="C711" s="151" t="s">
        <v>77</v>
      </c>
      <c r="D711" s="151"/>
      <c r="E711" s="151" t="s">
        <v>78</v>
      </c>
      <c r="F711" s="151"/>
      <c r="G711" s="151"/>
      <c r="H711" s="151"/>
      <c r="I711" s="151"/>
      <c r="J711" s="165"/>
      <c r="K711" s="165"/>
      <c r="L711" s="165"/>
      <c r="M711" s="165"/>
      <c r="N711" s="165"/>
      <c r="O711" s="151" t="s">
        <v>79</v>
      </c>
      <c r="P711" s="151" t="s">
        <v>80</v>
      </c>
      <c r="Q711" s="151"/>
      <c r="R711" s="151">
        <v>10000</v>
      </c>
      <c r="S711" s="151"/>
      <c r="T711" s="151">
        <v>10000</v>
      </c>
      <c r="U711" s="151"/>
      <c r="V711" s="151" t="s">
        <v>101</v>
      </c>
      <c r="W711" s="151"/>
      <c r="X711" s="151"/>
      <c r="Y711" s="151"/>
      <c r="Z711" s="151"/>
      <c r="AA711" s="151"/>
      <c r="AB711" s="151"/>
      <c r="AC711" s="151"/>
      <c r="AD711" s="151"/>
      <c r="AE711" s="151"/>
      <c r="AF711" s="151"/>
      <c r="AG711" s="151"/>
      <c r="AH711" s="151"/>
      <c r="AI711" s="151"/>
      <c r="AJ711" s="151"/>
      <c r="AK711" s="151"/>
      <c r="AL711" s="151"/>
      <c r="AM711" s="151"/>
      <c r="AN711" s="151"/>
      <c r="AO711" s="151"/>
      <c r="AP711" s="151"/>
      <c r="AQ711" s="151"/>
      <c r="AR711" s="151"/>
      <c r="AS711" s="151"/>
      <c r="AT711" s="151"/>
      <c r="AU711" s="151"/>
      <c r="AV711" s="151"/>
      <c r="AW711" s="151"/>
      <c r="AX711" s="151"/>
      <c r="AY711" s="151"/>
      <c r="AZ711" s="151"/>
      <c r="BA711" s="151"/>
      <c r="BB711" s="151"/>
      <c r="BC711" s="151"/>
      <c r="BD711" s="151"/>
      <c r="BE711" s="151"/>
      <c r="BF711" s="151"/>
      <c r="BG711" s="151"/>
      <c r="BH711" s="151"/>
      <c r="BI711" s="151"/>
      <c r="BJ711" s="151"/>
      <c r="BK711" s="151"/>
      <c r="BL711" s="151"/>
      <c r="BM711" s="151"/>
      <c r="BN711" s="151"/>
      <c r="BO711" s="151"/>
      <c r="BP711" s="151"/>
      <c r="BQ711" s="151"/>
      <c r="BR711" s="151"/>
      <c r="BS711" s="151"/>
      <c r="BT711" s="151"/>
      <c r="BU711" s="151"/>
      <c r="BV711" s="151"/>
      <c r="BW711" s="151"/>
      <c r="BX711" s="151"/>
      <c r="BY711" s="151"/>
    </row>
    <row r="712" spans="1:77" s="19" customFormat="1" x14ac:dyDescent="0.15">
      <c r="A712" s="151">
        <v>1003001012</v>
      </c>
      <c r="B712" s="157" t="s">
        <v>609</v>
      </c>
      <c r="C712" s="151" t="s">
        <v>77</v>
      </c>
      <c r="D712" s="151"/>
      <c r="E712" s="151" t="s">
        <v>425</v>
      </c>
      <c r="F712" s="151">
        <v>40000</v>
      </c>
      <c r="G712" s="151">
        <v>1200</v>
      </c>
      <c r="H712" s="151"/>
      <c r="I712" s="151"/>
      <c r="J712" s="165"/>
      <c r="K712" s="165"/>
      <c r="L712" s="165"/>
      <c r="M712" s="165"/>
      <c r="N712" s="165"/>
      <c r="O712" s="151" t="s">
        <v>79</v>
      </c>
      <c r="P712" s="151" t="s">
        <v>80</v>
      </c>
      <c r="Q712" s="151"/>
      <c r="R712" s="151">
        <v>5000</v>
      </c>
      <c r="S712" s="151"/>
      <c r="T712" s="151"/>
      <c r="U712" s="151"/>
      <c r="V712" s="151" t="s">
        <v>101</v>
      </c>
      <c r="W712" s="151"/>
      <c r="X712" s="151"/>
      <c r="Y712" s="151"/>
      <c r="Z712" s="151"/>
      <c r="AA712" s="151"/>
      <c r="AB712" s="151"/>
      <c r="AC712" s="151"/>
      <c r="AD712" s="151"/>
      <c r="AE712" s="151"/>
      <c r="AF712" s="151"/>
      <c r="AG712" s="151"/>
      <c r="AH712" s="151"/>
      <c r="AI712" s="151"/>
      <c r="AJ712" s="151"/>
      <c r="AK712" s="151"/>
      <c r="AL712" s="151"/>
      <c r="AM712" s="151"/>
      <c r="AN712" s="151"/>
      <c r="AO712" s="151"/>
      <c r="AP712" s="151"/>
      <c r="AQ712" s="151"/>
      <c r="AR712" s="151"/>
      <c r="AS712" s="151"/>
      <c r="AT712" s="151"/>
      <c r="AU712" s="151"/>
      <c r="AV712" s="151"/>
      <c r="AW712" s="151"/>
      <c r="AX712" s="151"/>
      <c r="AY712" s="151"/>
      <c r="AZ712" s="151"/>
      <c r="BA712" s="151"/>
      <c r="BB712" s="151"/>
      <c r="BC712" s="151"/>
      <c r="BD712" s="151"/>
      <c r="BE712" s="151"/>
      <c r="BF712" s="151"/>
      <c r="BG712" s="151"/>
      <c r="BH712" s="151"/>
      <c r="BI712" s="151"/>
      <c r="BJ712" s="151"/>
      <c r="BK712" s="151"/>
      <c r="BL712" s="151"/>
      <c r="BM712" s="151"/>
      <c r="BN712" s="151"/>
      <c r="BO712" s="151"/>
      <c r="BP712" s="151"/>
      <c r="BQ712" s="151"/>
      <c r="BR712" s="151"/>
      <c r="BS712" s="151"/>
      <c r="BT712" s="151"/>
      <c r="BU712" s="151"/>
      <c r="BV712" s="151"/>
      <c r="BW712" s="151"/>
      <c r="BX712" s="151"/>
      <c r="BY712" s="151"/>
    </row>
    <row r="713" spans="1:77" s="19" customFormat="1" x14ac:dyDescent="0.15">
      <c r="A713" s="151">
        <v>1003002011</v>
      </c>
      <c r="B713" s="157" t="s">
        <v>610</v>
      </c>
      <c r="C713" s="151" t="s">
        <v>77</v>
      </c>
      <c r="D713" s="151"/>
      <c r="E713" s="151" t="s">
        <v>78</v>
      </c>
      <c r="F713" s="151"/>
      <c r="G713" s="151"/>
      <c r="H713" s="151"/>
      <c r="I713" s="151"/>
      <c r="J713" s="165"/>
      <c r="K713" s="165"/>
      <c r="L713" s="165"/>
      <c r="M713" s="165"/>
      <c r="N713" s="165"/>
      <c r="O713" s="151" t="s">
        <v>79</v>
      </c>
      <c r="P713" s="151" t="s">
        <v>80</v>
      </c>
      <c r="Q713" s="151"/>
      <c r="R713" s="151">
        <v>10000</v>
      </c>
      <c r="S713" s="151"/>
      <c r="T713" s="151">
        <v>10000</v>
      </c>
      <c r="U713" s="151"/>
      <c r="V713" s="151" t="s">
        <v>101</v>
      </c>
      <c r="W713" s="151"/>
      <c r="X713" s="151"/>
      <c r="Y713" s="151"/>
      <c r="Z713" s="151"/>
      <c r="AA713" s="151"/>
      <c r="AB713" s="151"/>
      <c r="AC713" s="151"/>
      <c r="AD713" s="151"/>
      <c r="AE713" s="151"/>
      <c r="AF713" s="151"/>
      <c r="AG713" s="151"/>
      <c r="AH713" s="151"/>
      <c r="AI713" s="151"/>
      <c r="AJ713" s="151"/>
      <c r="AK713" s="151"/>
      <c r="AL713" s="151"/>
      <c r="AM713" s="151"/>
      <c r="AN713" s="151"/>
      <c r="AO713" s="151"/>
      <c r="AP713" s="151"/>
      <c r="AQ713" s="151"/>
      <c r="AR713" s="151"/>
      <c r="AS713" s="151"/>
      <c r="AT713" s="151"/>
      <c r="AU713" s="151"/>
      <c r="AV713" s="151"/>
      <c r="AW713" s="151"/>
      <c r="AX713" s="151"/>
      <c r="AY713" s="151"/>
      <c r="AZ713" s="151"/>
      <c r="BA713" s="151"/>
      <c r="BB713" s="151"/>
      <c r="BC713" s="151"/>
      <c r="BD713" s="151"/>
      <c r="BE713" s="151"/>
      <c r="BF713" s="151"/>
      <c r="BG713" s="151"/>
      <c r="BH713" s="151"/>
      <c r="BI713" s="151"/>
      <c r="BJ713" s="151"/>
      <c r="BK713" s="151"/>
      <c r="BL713" s="151"/>
      <c r="BM713" s="151"/>
      <c r="BN713" s="151"/>
      <c r="BO713" s="151"/>
      <c r="BP713" s="151"/>
      <c r="BQ713" s="151"/>
      <c r="BR713" s="151"/>
      <c r="BS713" s="151"/>
      <c r="BT713" s="151"/>
      <c r="BU713" s="151"/>
      <c r="BV713" s="151"/>
      <c r="BW713" s="151"/>
      <c r="BX713" s="151"/>
      <c r="BY713" s="151"/>
    </row>
    <row r="714" spans="1:77" s="19" customFormat="1" x14ac:dyDescent="0.15">
      <c r="A714" s="151">
        <v>1003200011</v>
      </c>
      <c r="B714" s="157" t="s">
        <v>611</v>
      </c>
      <c r="C714" s="151" t="s">
        <v>89</v>
      </c>
      <c r="D714" s="151"/>
      <c r="E714" s="151" t="s">
        <v>78</v>
      </c>
      <c r="F714" s="151"/>
      <c r="G714" s="151"/>
      <c r="H714" s="151"/>
      <c r="I714" s="151"/>
      <c r="J714" s="165"/>
      <c r="K714" s="165"/>
      <c r="L714" s="165"/>
      <c r="M714" s="165"/>
      <c r="N714" s="165"/>
      <c r="O714" s="151" t="s">
        <v>98</v>
      </c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  <c r="AB714" s="151"/>
      <c r="AC714" s="151"/>
      <c r="AD714" s="151"/>
      <c r="AE714" s="151">
        <v>100320001</v>
      </c>
      <c r="AF714" s="151"/>
      <c r="AG714" s="151"/>
      <c r="AH714" s="151"/>
      <c r="AI714" s="151"/>
      <c r="AJ714" s="151"/>
      <c r="AK714" s="151"/>
      <c r="AL714" s="151"/>
      <c r="AM714" s="151"/>
      <c r="AN714" s="151"/>
      <c r="AO714" s="151"/>
      <c r="AP714" s="151"/>
      <c r="AQ714" s="151"/>
      <c r="AR714" s="151"/>
      <c r="AS714" s="151"/>
      <c r="AT714" s="151"/>
      <c r="AU714" s="151"/>
      <c r="AV714" s="151"/>
      <c r="AW714" s="151"/>
      <c r="AX714" s="151"/>
      <c r="AY714" s="151"/>
      <c r="AZ714" s="151"/>
      <c r="BA714" s="151"/>
      <c r="BB714" s="151"/>
      <c r="BC714" s="151"/>
      <c r="BD714" s="151"/>
      <c r="BE714" s="151"/>
      <c r="BF714" s="151"/>
      <c r="BG714" s="151"/>
      <c r="BH714" s="151"/>
      <c r="BI714" s="151"/>
      <c r="BJ714" s="151"/>
      <c r="BK714" s="151"/>
      <c r="BL714" s="151"/>
      <c r="BM714" s="151"/>
      <c r="BN714" s="151"/>
      <c r="BO714" s="151"/>
      <c r="BP714" s="151"/>
      <c r="BQ714" s="151"/>
      <c r="BR714" s="151"/>
      <c r="BS714" s="151"/>
      <c r="BT714" s="151"/>
      <c r="BU714" s="151"/>
      <c r="BV714" s="151"/>
      <c r="BW714" s="151"/>
      <c r="BX714" s="151"/>
      <c r="BY714" s="151"/>
    </row>
    <row r="715" spans="1:77" s="19" customFormat="1" x14ac:dyDescent="0.15">
      <c r="A715" s="151">
        <v>1003200021</v>
      </c>
      <c r="B715" s="157" t="s">
        <v>611</v>
      </c>
      <c r="C715" s="151" t="s">
        <v>89</v>
      </c>
      <c r="D715" s="151"/>
      <c r="E715" s="151" t="s">
        <v>78</v>
      </c>
      <c r="F715" s="151"/>
      <c r="G715" s="151"/>
      <c r="H715" s="151"/>
      <c r="I715" s="151"/>
      <c r="J715" s="165"/>
      <c r="K715" s="165"/>
      <c r="L715" s="165"/>
      <c r="M715" s="165"/>
      <c r="N715" s="165"/>
      <c r="O715" s="151" t="s">
        <v>98</v>
      </c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  <c r="AB715" s="151"/>
      <c r="AC715" s="151"/>
      <c r="AD715" s="151"/>
      <c r="AE715" s="151">
        <v>100320002</v>
      </c>
      <c r="AF715" s="151"/>
      <c r="AG715" s="151"/>
      <c r="AH715" s="151"/>
      <c r="AI715" s="151"/>
      <c r="AJ715" s="151"/>
      <c r="AK715" s="151"/>
      <c r="AL715" s="151"/>
      <c r="AM715" s="151"/>
      <c r="AN715" s="151"/>
      <c r="AO715" s="151"/>
      <c r="AP715" s="151"/>
      <c r="AQ715" s="151"/>
      <c r="AR715" s="151"/>
      <c r="AS715" s="151"/>
      <c r="AT715" s="151"/>
      <c r="AU715" s="151"/>
      <c r="AV715" s="151"/>
      <c r="AW715" s="151"/>
      <c r="AX715" s="151"/>
      <c r="AY715" s="151"/>
      <c r="AZ715" s="151"/>
      <c r="BA715" s="151"/>
      <c r="BB715" s="151"/>
      <c r="BC715" s="151"/>
      <c r="BD715" s="151"/>
      <c r="BE715" s="151"/>
      <c r="BF715" s="151"/>
      <c r="BG715" s="151"/>
      <c r="BH715" s="151"/>
      <c r="BI715" s="151"/>
      <c r="BJ715" s="151"/>
      <c r="BK715" s="151"/>
      <c r="BL715" s="151"/>
      <c r="BM715" s="151"/>
      <c r="BN715" s="151"/>
      <c r="BO715" s="151"/>
      <c r="BP715" s="151"/>
      <c r="BQ715" s="151"/>
      <c r="BR715" s="151"/>
      <c r="BS715" s="151"/>
      <c r="BT715" s="151"/>
      <c r="BU715" s="151"/>
      <c r="BV715" s="151"/>
      <c r="BW715" s="151"/>
      <c r="BX715" s="151"/>
      <c r="BY715" s="151"/>
    </row>
    <row r="716" spans="1:77" s="19" customFormat="1" x14ac:dyDescent="0.15">
      <c r="A716" s="151">
        <v>1003200031</v>
      </c>
      <c r="B716" s="157" t="s">
        <v>611</v>
      </c>
      <c r="C716" s="151" t="s">
        <v>89</v>
      </c>
      <c r="D716" s="151"/>
      <c r="E716" s="151" t="s">
        <v>78</v>
      </c>
      <c r="F716" s="151"/>
      <c r="G716" s="151"/>
      <c r="H716" s="151"/>
      <c r="I716" s="151"/>
      <c r="J716" s="165"/>
      <c r="K716" s="165"/>
      <c r="L716" s="165"/>
      <c r="M716" s="165"/>
      <c r="N716" s="165"/>
      <c r="O716" s="151" t="s">
        <v>98</v>
      </c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  <c r="AB716" s="151"/>
      <c r="AC716" s="151"/>
      <c r="AD716" s="151"/>
      <c r="AE716" s="151">
        <v>100320003</v>
      </c>
      <c r="AF716" s="151"/>
      <c r="AG716" s="151"/>
      <c r="AH716" s="151"/>
      <c r="AI716" s="151"/>
      <c r="AJ716" s="151"/>
      <c r="AK716" s="151"/>
      <c r="AL716" s="151"/>
      <c r="AM716" s="151"/>
      <c r="AN716" s="151"/>
      <c r="AO716" s="151"/>
      <c r="AP716" s="151"/>
      <c r="AQ716" s="151"/>
      <c r="AR716" s="151"/>
      <c r="AS716" s="151"/>
      <c r="AT716" s="151"/>
      <c r="AU716" s="151"/>
      <c r="AV716" s="151"/>
      <c r="AW716" s="151"/>
      <c r="AX716" s="151"/>
      <c r="AY716" s="151"/>
      <c r="AZ716" s="151"/>
      <c r="BA716" s="151"/>
      <c r="BB716" s="151"/>
      <c r="BC716" s="151"/>
      <c r="BD716" s="151"/>
      <c r="BE716" s="151"/>
      <c r="BF716" s="151"/>
      <c r="BG716" s="151"/>
      <c r="BH716" s="151"/>
      <c r="BI716" s="151"/>
      <c r="BJ716" s="151"/>
      <c r="BK716" s="151"/>
      <c r="BL716" s="151"/>
      <c r="BM716" s="151"/>
      <c r="BN716" s="151"/>
      <c r="BO716" s="151"/>
      <c r="BP716" s="151"/>
      <c r="BQ716" s="151"/>
      <c r="BR716" s="151"/>
      <c r="BS716" s="151"/>
      <c r="BT716" s="151"/>
      <c r="BU716" s="151"/>
      <c r="BV716" s="151"/>
      <c r="BW716" s="151"/>
      <c r="BX716" s="151"/>
      <c r="BY716" s="151"/>
    </row>
    <row r="717" spans="1:77" s="19" customFormat="1" x14ac:dyDescent="0.15">
      <c r="A717" s="151">
        <v>1003010011</v>
      </c>
      <c r="B717" s="157" t="s">
        <v>612</v>
      </c>
      <c r="C717" s="151" t="s">
        <v>100</v>
      </c>
      <c r="D717" s="151"/>
      <c r="E717" s="151" t="s">
        <v>85</v>
      </c>
      <c r="F717" s="151">
        <v>50000</v>
      </c>
      <c r="G717" s="151">
        <v>150000</v>
      </c>
      <c r="H717" s="151"/>
      <c r="I717" s="151"/>
      <c r="J717" s="165"/>
      <c r="K717" s="165"/>
      <c r="L717" s="165"/>
      <c r="M717" s="165" t="s">
        <v>101</v>
      </c>
      <c r="N717" s="165" t="s">
        <v>845</v>
      </c>
      <c r="O717" s="151" t="s">
        <v>79</v>
      </c>
      <c r="P717" s="151" t="s">
        <v>102</v>
      </c>
      <c r="Q717" s="182">
        <v>120</v>
      </c>
      <c r="R717" s="151"/>
      <c r="S717" s="151">
        <v>4000</v>
      </c>
      <c r="T717" s="151"/>
      <c r="U717" s="151">
        <v>3500</v>
      </c>
      <c r="V717" s="151"/>
      <c r="W717" s="151" t="s">
        <v>522</v>
      </c>
      <c r="X717" s="151">
        <v>10030101</v>
      </c>
      <c r="Y717" s="151" t="s">
        <v>308</v>
      </c>
      <c r="Z717" s="151">
        <v>-7500</v>
      </c>
      <c r="AA717" s="151"/>
      <c r="AB717" s="151"/>
      <c r="AC717" s="151"/>
      <c r="AD717" s="151"/>
      <c r="AE717" s="151"/>
      <c r="AF717" s="151"/>
      <c r="AG717" s="151"/>
      <c r="AH717" s="151"/>
      <c r="AI717" s="151"/>
      <c r="AJ717" s="151" t="s">
        <v>90</v>
      </c>
      <c r="AK717" s="151"/>
      <c r="AL717" s="151"/>
      <c r="AM717" s="151"/>
      <c r="AN717" s="151"/>
      <c r="AO717" s="151"/>
      <c r="AP717" s="151"/>
      <c r="AQ717" s="151"/>
      <c r="AR717" s="151"/>
      <c r="AS717" s="151"/>
      <c r="AT717" s="151"/>
      <c r="AU717" s="151"/>
      <c r="AV717" s="151"/>
      <c r="AW717" s="151"/>
      <c r="AX717" s="151">
        <v>1003010101</v>
      </c>
      <c r="AY717" s="151">
        <v>1003010101</v>
      </c>
      <c r="AZ717" s="151"/>
      <c r="BA717" s="151"/>
      <c r="BB717" s="151"/>
      <c r="BC717" s="151"/>
      <c r="BD717" s="151"/>
      <c r="BE717" s="151"/>
      <c r="BF717" s="151"/>
      <c r="BG717" s="151"/>
      <c r="BH717" s="151"/>
      <c r="BI717" s="151"/>
      <c r="BJ717" s="151"/>
      <c r="BK717" s="151"/>
      <c r="BL717" s="151"/>
      <c r="BM717" s="151"/>
      <c r="BN717" s="151"/>
      <c r="BO717" s="151"/>
      <c r="BP717" s="151"/>
      <c r="BQ717" s="151"/>
      <c r="BR717" s="151"/>
      <c r="BS717" s="151"/>
      <c r="BT717" s="151"/>
      <c r="BU717" s="151"/>
      <c r="BV717" s="151"/>
      <c r="BW717" s="151"/>
      <c r="BX717" s="151"/>
      <c r="BY717" s="151"/>
    </row>
    <row r="718" spans="1:77" s="19" customFormat="1" x14ac:dyDescent="0.15">
      <c r="A718" s="151">
        <v>1003010021</v>
      </c>
      <c r="B718" s="157" t="s">
        <v>612</v>
      </c>
      <c r="C718" s="151" t="s">
        <v>100</v>
      </c>
      <c r="D718" s="151"/>
      <c r="E718" s="151" t="s">
        <v>85</v>
      </c>
      <c r="F718" s="151">
        <v>50000</v>
      </c>
      <c r="G718" s="151">
        <v>150000</v>
      </c>
      <c r="H718" s="151"/>
      <c r="I718" s="151"/>
      <c r="J718" s="165"/>
      <c r="K718" s="165"/>
      <c r="L718" s="165"/>
      <c r="M718" s="165" t="s">
        <v>101</v>
      </c>
      <c r="N718" s="165" t="s">
        <v>845</v>
      </c>
      <c r="O718" s="151" t="s">
        <v>79</v>
      </c>
      <c r="P718" s="151" t="s">
        <v>102</v>
      </c>
      <c r="Q718" s="182">
        <v>180</v>
      </c>
      <c r="R718" s="151"/>
      <c r="S718" s="151">
        <v>4000</v>
      </c>
      <c r="T718" s="151"/>
      <c r="U718" s="151">
        <v>3500</v>
      </c>
      <c r="V718" s="151"/>
      <c r="W718" s="151" t="s">
        <v>522</v>
      </c>
      <c r="X718" s="151">
        <v>10030101</v>
      </c>
      <c r="Y718" s="151" t="s">
        <v>308</v>
      </c>
      <c r="Z718" s="151">
        <v>-7500</v>
      </c>
      <c r="AA718" s="151"/>
      <c r="AB718" s="151"/>
      <c r="AC718" s="151"/>
      <c r="AD718" s="151"/>
      <c r="AE718" s="151"/>
      <c r="AF718" s="151"/>
      <c r="AG718" s="151"/>
      <c r="AH718" s="151"/>
      <c r="AI718" s="151"/>
      <c r="AJ718" s="151" t="s">
        <v>90</v>
      </c>
      <c r="AK718" s="151"/>
      <c r="AL718" s="151"/>
      <c r="AM718" s="151"/>
      <c r="AN718" s="151"/>
      <c r="AO718" s="151"/>
      <c r="AP718" s="151"/>
      <c r="AQ718" s="151"/>
      <c r="AR718" s="151"/>
      <c r="AS718" s="151"/>
      <c r="AT718" s="151"/>
      <c r="AU718" s="151"/>
      <c r="AV718" s="151"/>
      <c r="AW718" s="151"/>
      <c r="AX718" s="151">
        <v>1003010101</v>
      </c>
      <c r="AY718" s="151">
        <v>1003010101</v>
      </c>
      <c r="AZ718" s="151"/>
      <c r="BA718" s="151"/>
      <c r="BB718" s="151"/>
      <c r="BC718" s="151"/>
      <c r="BD718" s="151"/>
      <c r="BE718" s="151"/>
      <c r="BF718" s="151"/>
      <c r="BG718" s="151"/>
      <c r="BH718" s="151"/>
      <c r="BI718" s="151"/>
      <c r="BJ718" s="151"/>
      <c r="BK718" s="151"/>
      <c r="BL718" s="151"/>
      <c r="BM718" s="151"/>
      <c r="BN718" s="151"/>
      <c r="BO718" s="151"/>
      <c r="BP718" s="151"/>
      <c r="BQ718" s="151"/>
      <c r="BR718" s="151"/>
      <c r="BS718" s="151"/>
      <c r="BT718" s="151"/>
      <c r="BU718" s="151"/>
      <c r="BV718" s="151"/>
      <c r="BW718" s="151"/>
      <c r="BX718" s="151"/>
      <c r="BY718" s="151"/>
    </row>
    <row r="719" spans="1:77" s="19" customFormat="1" x14ac:dyDescent="0.15">
      <c r="A719" s="151">
        <v>1003010031</v>
      </c>
      <c r="B719" s="157" t="s">
        <v>612</v>
      </c>
      <c r="C719" s="151" t="s">
        <v>100</v>
      </c>
      <c r="D719" s="151"/>
      <c r="E719" s="151" t="s">
        <v>85</v>
      </c>
      <c r="F719" s="151">
        <v>50000</v>
      </c>
      <c r="G719" s="151">
        <v>150000</v>
      </c>
      <c r="H719" s="151"/>
      <c r="I719" s="151"/>
      <c r="J719" s="165"/>
      <c r="K719" s="165"/>
      <c r="L719" s="165"/>
      <c r="M719" s="165" t="s">
        <v>101</v>
      </c>
      <c r="N719" s="165" t="s">
        <v>845</v>
      </c>
      <c r="O719" s="151" t="s">
        <v>79</v>
      </c>
      <c r="P719" s="151" t="s">
        <v>102</v>
      </c>
      <c r="Q719" s="182">
        <v>240</v>
      </c>
      <c r="R719" s="151"/>
      <c r="S719" s="151">
        <v>4000</v>
      </c>
      <c r="T719" s="151"/>
      <c r="U719" s="151">
        <v>3500</v>
      </c>
      <c r="V719" s="151"/>
      <c r="W719" s="151" t="s">
        <v>522</v>
      </c>
      <c r="X719" s="151">
        <v>10030101</v>
      </c>
      <c r="Y719" s="151" t="s">
        <v>308</v>
      </c>
      <c r="Z719" s="151">
        <v>-7500</v>
      </c>
      <c r="AA719" s="151"/>
      <c r="AB719" s="151"/>
      <c r="AC719" s="151"/>
      <c r="AD719" s="151"/>
      <c r="AE719" s="151"/>
      <c r="AF719" s="151"/>
      <c r="AG719" s="151"/>
      <c r="AH719" s="151"/>
      <c r="AI719" s="151"/>
      <c r="AJ719" s="151" t="s">
        <v>90</v>
      </c>
      <c r="AK719" s="151"/>
      <c r="AL719" s="151"/>
      <c r="AM719" s="151"/>
      <c r="AN719" s="151"/>
      <c r="AO719" s="151"/>
      <c r="AP719" s="151"/>
      <c r="AQ719" s="151"/>
      <c r="AR719" s="151"/>
      <c r="AS719" s="151"/>
      <c r="AT719" s="151"/>
      <c r="AU719" s="151"/>
      <c r="AV719" s="151"/>
      <c r="AW719" s="151"/>
      <c r="AX719" s="151">
        <v>1003010101</v>
      </c>
      <c r="AY719" s="151">
        <v>1003010101</v>
      </c>
      <c r="AZ719" s="151"/>
      <c r="BA719" s="151"/>
      <c r="BB719" s="151"/>
      <c r="BC719" s="151"/>
      <c r="BD719" s="151"/>
      <c r="BE719" s="151"/>
      <c r="BF719" s="151"/>
      <c r="BG719" s="151"/>
      <c r="BH719" s="151"/>
      <c r="BI719" s="151"/>
      <c r="BJ719" s="151"/>
      <c r="BK719" s="151"/>
      <c r="BL719" s="151"/>
      <c r="BM719" s="151"/>
      <c r="BN719" s="151"/>
      <c r="BO719" s="151"/>
      <c r="BP719" s="151"/>
      <c r="BQ719" s="151"/>
      <c r="BR719" s="151"/>
      <c r="BS719" s="151"/>
      <c r="BT719" s="151"/>
      <c r="BU719" s="151"/>
      <c r="BV719" s="151"/>
      <c r="BW719" s="151"/>
      <c r="BX719" s="151"/>
      <c r="BY719" s="151"/>
    </row>
    <row r="720" spans="1:77" s="19" customFormat="1" x14ac:dyDescent="0.15">
      <c r="A720" s="151">
        <v>1003010041</v>
      </c>
      <c r="B720" s="157" t="s">
        <v>612</v>
      </c>
      <c r="C720" s="151" t="s">
        <v>100</v>
      </c>
      <c r="D720" s="151"/>
      <c r="E720" s="151" t="s">
        <v>85</v>
      </c>
      <c r="F720" s="151">
        <v>50000</v>
      </c>
      <c r="G720" s="151">
        <v>150000</v>
      </c>
      <c r="H720" s="151"/>
      <c r="I720" s="151"/>
      <c r="J720" s="165"/>
      <c r="K720" s="165"/>
      <c r="L720" s="165"/>
      <c r="M720" s="165" t="s">
        <v>101</v>
      </c>
      <c r="N720" s="165" t="s">
        <v>845</v>
      </c>
      <c r="O720" s="151" t="s">
        <v>79</v>
      </c>
      <c r="P720" s="151" t="s">
        <v>102</v>
      </c>
      <c r="Q720" s="182">
        <v>300</v>
      </c>
      <c r="R720" s="151"/>
      <c r="S720" s="151">
        <v>4000</v>
      </c>
      <c r="T720" s="151"/>
      <c r="U720" s="151">
        <v>3500</v>
      </c>
      <c r="V720" s="151"/>
      <c r="W720" s="151" t="s">
        <v>522</v>
      </c>
      <c r="X720" s="151">
        <v>10030101</v>
      </c>
      <c r="Y720" s="151" t="s">
        <v>308</v>
      </c>
      <c r="Z720" s="151">
        <v>-7500</v>
      </c>
      <c r="AA720" s="151"/>
      <c r="AB720" s="151"/>
      <c r="AC720" s="151"/>
      <c r="AD720" s="151"/>
      <c r="AE720" s="151"/>
      <c r="AF720" s="151"/>
      <c r="AG720" s="151"/>
      <c r="AH720" s="151"/>
      <c r="AI720" s="151"/>
      <c r="AJ720" s="151" t="s">
        <v>90</v>
      </c>
      <c r="AK720" s="151"/>
      <c r="AL720" s="151"/>
      <c r="AM720" s="151"/>
      <c r="AN720" s="151"/>
      <c r="AO720" s="151"/>
      <c r="AP720" s="151"/>
      <c r="AQ720" s="151"/>
      <c r="AR720" s="151"/>
      <c r="AS720" s="151"/>
      <c r="AT720" s="151"/>
      <c r="AU720" s="151"/>
      <c r="AV720" s="151"/>
      <c r="AW720" s="151"/>
      <c r="AX720" s="151">
        <v>1003010101</v>
      </c>
      <c r="AY720" s="151">
        <v>1003010101</v>
      </c>
      <c r="AZ720" s="151"/>
      <c r="BA720" s="151"/>
      <c r="BB720" s="151"/>
      <c r="BC720" s="151"/>
      <c r="BD720" s="151"/>
      <c r="BE720" s="151"/>
      <c r="BF720" s="151"/>
      <c r="BG720" s="151"/>
      <c r="BH720" s="151"/>
      <c r="BI720" s="151"/>
      <c r="BJ720" s="151"/>
      <c r="BK720" s="151"/>
      <c r="BL720" s="151"/>
      <c r="BM720" s="151"/>
      <c r="BN720" s="151"/>
      <c r="BO720" s="151"/>
      <c r="BP720" s="151"/>
      <c r="BQ720" s="151"/>
      <c r="BR720" s="151"/>
      <c r="BS720" s="151"/>
      <c r="BT720" s="151"/>
      <c r="BU720" s="151"/>
      <c r="BV720" s="151"/>
      <c r="BW720" s="151"/>
      <c r="BX720" s="151"/>
      <c r="BY720" s="151"/>
    </row>
    <row r="721" spans="1:77" s="19" customFormat="1" x14ac:dyDescent="0.15">
      <c r="A721" s="151">
        <v>1003010012</v>
      </c>
      <c r="B721" s="157" t="s">
        <v>613</v>
      </c>
      <c r="C721" s="151" t="s">
        <v>112</v>
      </c>
      <c r="D721" s="151"/>
      <c r="E721" s="151" t="s">
        <v>85</v>
      </c>
      <c r="F721" s="151">
        <v>50000</v>
      </c>
      <c r="G721" s="151">
        <v>150000</v>
      </c>
      <c r="H721" s="151"/>
      <c r="I721" s="151"/>
      <c r="J721" s="165"/>
      <c r="K721" s="165"/>
      <c r="L721" s="165"/>
      <c r="M721" s="165"/>
      <c r="N721" s="165"/>
      <c r="O721" s="151" t="s">
        <v>306</v>
      </c>
      <c r="P721" s="151"/>
      <c r="Q721" s="182">
        <v>120</v>
      </c>
      <c r="R721" s="151"/>
      <c r="S721" s="151">
        <v>4000</v>
      </c>
      <c r="T721" s="151"/>
      <c r="U721" s="151"/>
      <c r="V721" s="151"/>
      <c r="W721" s="151" t="s">
        <v>522</v>
      </c>
      <c r="X721" s="151">
        <v>10030102</v>
      </c>
      <c r="Y721" s="151" t="s">
        <v>308</v>
      </c>
      <c r="Z721" s="151">
        <v>-7500</v>
      </c>
      <c r="AA721" s="151"/>
      <c r="AB721" s="151"/>
      <c r="AC721" s="151"/>
      <c r="AD721" s="151"/>
      <c r="AE721" s="151"/>
      <c r="AF721" s="151"/>
      <c r="AG721" s="151"/>
      <c r="AH721" s="151"/>
      <c r="AI721" s="151"/>
      <c r="AJ721" s="151" t="s">
        <v>90</v>
      </c>
      <c r="AK721" s="151"/>
      <c r="AL721" s="151"/>
      <c r="AM721" s="151"/>
      <c r="AN721" s="151"/>
      <c r="AO721" s="151"/>
      <c r="AP721" s="151"/>
      <c r="AQ721" s="151"/>
      <c r="AR721" s="151"/>
      <c r="AS721" s="151"/>
      <c r="AT721" s="151"/>
      <c r="AU721" s="151"/>
      <c r="AV721" s="151"/>
      <c r="AW721" s="151"/>
      <c r="AX721" s="151">
        <v>1003010201</v>
      </c>
      <c r="AY721" s="151">
        <v>1003010201</v>
      </c>
      <c r="AZ721" s="151"/>
      <c r="BA721" s="151"/>
      <c r="BB721" s="151"/>
      <c r="BC721" s="151"/>
      <c r="BD721" s="151"/>
      <c r="BE721" s="151"/>
      <c r="BF721" s="151"/>
      <c r="BG721" s="151"/>
      <c r="BH721" s="151"/>
      <c r="BI721" s="151"/>
      <c r="BJ721" s="151"/>
      <c r="BK721" s="151"/>
      <c r="BL721" s="151"/>
      <c r="BM721" s="151"/>
      <c r="BN721" s="151"/>
      <c r="BO721" s="151"/>
      <c r="BP721" s="151"/>
      <c r="BQ721" s="151"/>
      <c r="BR721" s="151"/>
      <c r="BS721" s="151"/>
      <c r="BT721" s="151"/>
      <c r="BU721" s="151"/>
      <c r="BV721" s="151"/>
      <c r="BW721" s="151"/>
      <c r="BX721" s="151"/>
      <c r="BY721" s="151"/>
    </row>
    <row r="722" spans="1:77" s="19" customFormat="1" x14ac:dyDescent="0.15">
      <c r="A722" s="151">
        <v>1003010022</v>
      </c>
      <c r="B722" s="157" t="s">
        <v>613</v>
      </c>
      <c r="C722" s="151" t="s">
        <v>112</v>
      </c>
      <c r="D722" s="151"/>
      <c r="E722" s="151" t="s">
        <v>85</v>
      </c>
      <c r="F722" s="151">
        <v>50000</v>
      </c>
      <c r="G722" s="151">
        <v>150000</v>
      </c>
      <c r="H722" s="151"/>
      <c r="I722" s="151"/>
      <c r="J722" s="165"/>
      <c r="K722" s="165"/>
      <c r="L722" s="165"/>
      <c r="M722" s="165"/>
      <c r="N722" s="165"/>
      <c r="O722" s="151" t="s">
        <v>306</v>
      </c>
      <c r="P722" s="151"/>
      <c r="Q722" s="182">
        <v>180</v>
      </c>
      <c r="R722" s="151"/>
      <c r="S722" s="151">
        <v>4000</v>
      </c>
      <c r="T722" s="151"/>
      <c r="U722" s="151"/>
      <c r="V722" s="151"/>
      <c r="W722" s="151" t="s">
        <v>522</v>
      </c>
      <c r="X722" s="151">
        <v>10030102</v>
      </c>
      <c r="Y722" s="151" t="s">
        <v>308</v>
      </c>
      <c r="Z722" s="151">
        <v>-7500</v>
      </c>
      <c r="AA722" s="151"/>
      <c r="AB722" s="151"/>
      <c r="AC722" s="151"/>
      <c r="AD722" s="151"/>
      <c r="AE722" s="151"/>
      <c r="AF722" s="151"/>
      <c r="AG722" s="151"/>
      <c r="AH722" s="151"/>
      <c r="AI722" s="151"/>
      <c r="AJ722" s="151" t="s">
        <v>90</v>
      </c>
      <c r="AK722" s="151"/>
      <c r="AL722" s="151"/>
      <c r="AM722" s="151"/>
      <c r="AN722" s="151"/>
      <c r="AO722" s="151"/>
      <c r="AP722" s="151"/>
      <c r="AQ722" s="151"/>
      <c r="AR722" s="151"/>
      <c r="AS722" s="151"/>
      <c r="AT722" s="151"/>
      <c r="AU722" s="151"/>
      <c r="AV722" s="151"/>
      <c r="AW722" s="151"/>
      <c r="AX722" s="151">
        <v>1003010201</v>
      </c>
      <c r="AY722" s="151">
        <v>1003010201</v>
      </c>
      <c r="AZ722" s="151"/>
      <c r="BA722" s="151"/>
      <c r="BB722" s="151"/>
      <c r="BC722" s="151"/>
      <c r="BD722" s="151"/>
      <c r="BE722" s="151"/>
      <c r="BF722" s="151"/>
      <c r="BG722" s="151"/>
      <c r="BH722" s="151"/>
      <c r="BI722" s="151"/>
      <c r="BJ722" s="151"/>
      <c r="BK722" s="151"/>
      <c r="BL722" s="151"/>
      <c r="BM722" s="151"/>
      <c r="BN722" s="151"/>
      <c r="BO722" s="151"/>
      <c r="BP722" s="151"/>
      <c r="BQ722" s="151"/>
      <c r="BR722" s="151"/>
      <c r="BS722" s="151"/>
      <c r="BT722" s="151"/>
      <c r="BU722" s="151"/>
      <c r="BV722" s="151"/>
      <c r="BW722" s="151"/>
      <c r="BX722" s="151"/>
      <c r="BY722" s="151"/>
    </row>
    <row r="723" spans="1:77" s="19" customFormat="1" x14ac:dyDescent="0.15">
      <c r="A723" s="151">
        <v>1003010032</v>
      </c>
      <c r="B723" s="157" t="s">
        <v>613</v>
      </c>
      <c r="C723" s="151" t="s">
        <v>112</v>
      </c>
      <c r="D723" s="151"/>
      <c r="E723" s="151" t="s">
        <v>85</v>
      </c>
      <c r="F723" s="151">
        <v>50000</v>
      </c>
      <c r="G723" s="151">
        <v>150000</v>
      </c>
      <c r="H723" s="151"/>
      <c r="I723" s="151"/>
      <c r="J723" s="165"/>
      <c r="K723" s="165"/>
      <c r="L723" s="165"/>
      <c r="M723" s="165"/>
      <c r="N723" s="165"/>
      <c r="O723" s="151" t="s">
        <v>306</v>
      </c>
      <c r="P723" s="151"/>
      <c r="Q723" s="182">
        <v>240</v>
      </c>
      <c r="R723" s="151"/>
      <c r="S723" s="151">
        <v>4000</v>
      </c>
      <c r="T723" s="151"/>
      <c r="U723" s="151"/>
      <c r="V723" s="151"/>
      <c r="W723" s="151" t="s">
        <v>522</v>
      </c>
      <c r="X723" s="151">
        <v>10030102</v>
      </c>
      <c r="Y723" s="151" t="s">
        <v>308</v>
      </c>
      <c r="Z723" s="151">
        <v>-7500</v>
      </c>
      <c r="AA723" s="151"/>
      <c r="AB723" s="151"/>
      <c r="AC723" s="151"/>
      <c r="AD723" s="151"/>
      <c r="AE723" s="151"/>
      <c r="AF723" s="151"/>
      <c r="AG723" s="151"/>
      <c r="AH723" s="151"/>
      <c r="AI723" s="151"/>
      <c r="AJ723" s="151" t="s">
        <v>90</v>
      </c>
      <c r="AK723" s="151"/>
      <c r="AL723" s="151"/>
      <c r="AM723" s="151"/>
      <c r="AN723" s="151"/>
      <c r="AO723" s="151"/>
      <c r="AP723" s="151"/>
      <c r="AQ723" s="151"/>
      <c r="AR723" s="151"/>
      <c r="AS723" s="151"/>
      <c r="AT723" s="151"/>
      <c r="AU723" s="151"/>
      <c r="AV723" s="151"/>
      <c r="AW723" s="151"/>
      <c r="AX723" s="151">
        <v>1003010201</v>
      </c>
      <c r="AY723" s="151">
        <v>1003010201</v>
      </c>
      <c r="AZ723" s="151"/>
      <c r="BA723" s="151"/>
      <c r="BB723" s="151"/>
      <c r="BC723" s="151"/>
      <c r="BD723" s="151"/>
      <c r="BE723" s="151"/>
      <c r="BF723" s="151"/>
      <c r="BG723" s="151"/>
      <c r="BH723" s="151"/>
      <c r="BI723" s="151"/>
      <c r="BJ723" s="151"/>
      <c r="BK723" s="151"/>
      <c r="BL723" s="151"/>
      <c r="BM723" s="151"/>
      <c r="BN723" s="151"/>
      <c r="BO723" s="151"/>
      <c r="BP723" s="151"/>
      <c r="BQ723" s="151"/>
      <c r="BR723" s="151"/>
      <c r="BS723" s="151"/>
      <c r="BT723" s="151"/>
      <c r="BU723" s="151"/>
      <c r="BV723" s="151"/>
      <c r="BW723" s="151"/>
      <c r="BX723" s="151"/>
      <c r="BY723" s="151"/>
    </row>
    <row r="724" spans="1:77" s="19" customFormat="1" x14ac:dyDescent="0.15">
      <c r="A724" s="151">
        <v>1003010042</v>
      </c>
      <c r="B724" s="157" t="s">
        <v>613</v>
      </c>
      <c r="C724" s="151" t="s">
        <v>112</v>
      </c>
      <c r="D724" s="151"/>
      <c r="E724" s="151" t="s">
        <v>85</v>
      </c>
      <c r="F724" s="151">
        <v>50000</v>
      </c>
      <c r="G724" s="151">
        <v>150000</v>
      </c>
      <c r="H724" s="151"/>
      <c r="I724" s="151"/>
      <c r="J724" s="165"/>
      <c r="K724" s="165"/>
      <c r="L724" s="165"/>
      <c r="M724" s="165"/>
      <c r="N724" s="165"/>
      <c r="O724" s="151" t="s">
        <v>306</v>
      </c>
      <c r="P724" s="151"/>
      <c r="Q724" s="182">
        <v>300</v>
      </c>
      <c r="R724" s="151"/>
      <c r="S724" s="151">
        <v>4000</v>
      </c>
      <c r="T724" s="151"/>
      <c r="U724" s="151"/>
      <c r="V724" s="151"/>
      <c r="W724" s="151" t="s">
        <v>522</v>
      </c>
      <c r="X724" s="151">
        <v>10030102</v>
      </c>
      <c r="Y724" s="151" t="s">
        <v>308</v>
      </c>
      <c r="Z724" s="151">
        <v>-7500</v>
      </c>
      <c r="AA724" s="151"/>
      <c r="AB724" s="151"/>
      <c r="AC724" s="151"/>
      <c r="AD724" s="151"/>
      <c r="AE724" s="151"/>
      <c r="AF724" s="151"/>
      <c r="AG724" s="151"/>
      <c r="AH724" s="151"/>
      <c r="AI724" s="151"/>
      <c r="AJ724" s="151" t="s">
        <v>90</v>
      </c>
      <c r="AK724" s="151"/>
      <c r="AL724" s="151"/>
      <c r="AM724" s="151"/>
      <c r="AN724" s="151"/>
      <c r="AO724" s="151"/>
      <c r="AP724" s="151"/>
      <c r="AQ724" s="151"/>
      <c r="AR724" s="151"/>
      <c r="AS724" s="151"/>
      <c r="AT724" s="151"/>
      <c r="AU724" s="151"/>
      <c r="AV724" s="151"/>
      <c r="AW724" s="151"/>
      <c r="AX724" s="151">
        <v>1003010201</v>
      </c>
      <c r="AY724" s="151">
        <v>1003010201</v>
      </c>
      <c r="AZ724" s="151"/>
      <c r="BA724" s="151"/>
      <c r="BB724" s="151"/>
      <c r="BC724" s="151"/>
      <c r="BD724" s="151"/>
      <c r="BE724" s="151"/>
      <c r="BF724" s="151"/>
      <c r="BG724" s="151"/>
      <c r="BH724" s="151"/>
      <c r="BI724" s="151"/>
      <c r="BJ724" s="151"/>
      <c r="BK724" s="151"/>
      <c r="BL724" s="151"/>
      <c r="BM724" s="151"/>
      <c r="BN724" s="151"/>
      <c r="BO724" s="151"/>
      <c r="BP724" s="151"/>
      <c r="BQ724" s="151"/>
      <c r="BR724" s="151"/>
      <c r="BS724" s="151"/>
      <c r="BT724" s="151"/>
      <c r="BU724" s="151"/>
      <c r="BV724" s="151"/>
      <c r="BW724" s="151"/>
      <c r="BX724" s="151"/>
      <c r="BY724" s="151"/>
    </row>
    <row r="725" spans="1:77" s="19" customFormat="1" x14ac:dyDescent="0.15">
      <c r="A725" s="151">
        <v>1003020011</v>
      </c>
      <c r="B725" s="157" t="s">
        <v>614</v>
      </c>
      <c r="C725" s="151" t="s">
        <v>89</v>
      </c>
      <c r="D725" s="151"/>
      <c r="E725" s="151" t="s">
        <v>78</v>
      </c>
      <c r="F725" s="151"/>
      <c r="G725" s="151"/>
      <c r="H725" s="151"/>
      <c r="I725" s="151"/>
      <c r="J725" s="165"/>
      <c r="K725" s="165"/>
      <c r="L725" s="165"/>
      <c r="M725" s="165"/>
      <c r="N725" s="165"/>
      <c r="O725" s="151" t="s">
        <v>90</v>
      </c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  <c r="AB725" s="151"/>
      <c r="AC725" s="151">
        <v>1003020101</v>
      </c>
      <c r="AD725" s="151">
        <v>1003020101</v>
      </c>
      <c r="AE725" s="151"/>
      <c r="AF725" s="151"/>
      <c r="AG725" s="151"/>
      <c r="AH725" s="151"/>
      <c r="AI725" s="151"/>
      <c r="AJ725" s="151"/>
      <c r="AK725" s="151"/>
      <c r="AL725" s="151"/>
      <c r="AM725" s="151"/>
      <c r="AN725" s="151"/>
      <c r="AO725" s="151"/>
      <c r="AP725" s="151"/>
      <c r="AQ725" s="151"/>
      <c r="AR725" s="151"/>
      <c r="AS725" s="151"/>
      <c r="AT725" s="151"/>
      <c r="AU725" s="151"/>
      <c r="AV725" s="151"/>
      <c r="AW725" s="151"/>
      <c r="AX725" s="151"/>
      <c r="AY725" s="151"/>
      <c r="AZ725" s="151"/>
      <c r="BA725" s="151"/>
      <c r="BB725" s="151"/>
      <c r="BC725" s="151"/>
      <c r="BD725" s="151"/>
      <c r="BE725" s="151"/>
      <c r="BF725" s="151"/>
      <c r="BG725" s="151"/>
      <c r="BH725" s="151"/>
      <c r="BI725" s="151"/>
      <c r="BJ725" s="151"/>
      <c r="BK725" s="151"/>
      <c r="BL725" s="151"/>
      <c r="BM725" s="151"/>
      <c r="BN725" s="151"/>
      <c r="BO725" s="151"/>
      <c r="BP725" s="151"/>
      <c r="BQ725" s="151"/>
      <c r="BR725" s="151"/>
      <c r="BS725" s="151"/>
      <c r="BT725" s="151"/>
      <c r="BU725" s="151"/>
      <c r="BV725" s="151"/>
      <c r="BW725" s="151"/>
      <c r="BX725" s="151"/>
      <c r="BY725" s="151"/>
    </row>
    <row r="726" spans="1:77" s="19" customFormat="1" x14ac:dyDescent="0.15">
      <c r="A726" s="151">
        <v>1003020021</v>
      </c>
      <c r="B726" s="157" t="s">
        <v>614</v>
      </c>
      <c r="C726" s="151" t="s">
        <v>89</v>
      </c>
      <c r="D726" s="151"/>
      <c r="E726" s="151" t="s">
        <v>78</v>
      </c>
      <c r="F726" s="151"/>
      <c r="G726" s="151"/>
      <c r="H726" s="151"/>
      <c r="I726" s="151"/>
      <c r="J726" s="165"/>
      <c r="K726" s="165"/>
      <c r="L726" s="165"/>
      <c r="M726" s="165"/>
      <c r="N726" s="165"/>
      <c r="O726" s="151" t="s">
        <v>90</v>
      </c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  <c r="AB726" s="151"/>
      <c r="AC726" s="151">
        <v>1003020102</v>
      </c>
      <c r="AD726" s="151">
        <v>1003020102</v>
      </c>
      <c r="AE726" s="151"/>
      <c r="AF726" s="151"/>
      <c r="AG726" s="151"/>
      <c r="AH726" s="151"/>
      <c r="AI726" s="151"/>
      <c r="AJ726" s="151"/>
      <c r="AK726" s="151"/>
      <c r="AL726" s="151"/>
      <c r="AM726" s="151"/>
      <c r="AN726" s="151"/>
      <c r="AO726" s="151"/>
      <c r="AP726" s="151"/>
      <c r="AQ726" s="151"/>
      <c r="AR726" s="151"/>
      <c r="AS726" s="151"/>
      <c r="AT726" s="151"/>
      <c r="AU726" s="151"/>
      <c r="AV726" s="151"/>
      <c r="AW726" s="151"/>
      <c r="AX726" s="151"/>
      <c r="AY726" s="151"/>
      <c r="AZ726" s="151"/>
      <c r="BA726" s="151"/>
      <c r="BB726" s="151"/>
      <c r="BC726" s="151"/>
      <c r="BD726" s="151"/>
      <c r="BE726" s="151"/>
      <c r="BF726" s="151"/>
      <c r="BG726" s="151"/>
      <c r="BH726" s="151"/>
      <c r="BI726" s="151"/>
      <c r="BJ726" s="151"/>
      <c r="BK726" s="151"/>
      <c r="BL726" s="151"/>
      <c r="BM726" s="151"/>
      <c r="BN726" s="151"/>
      <c r="BO726" s="151"/>
      <c r="BP726" s="151"/>
      <c r="BQ726" s="151"/>
      <c r="BR726" s="151"/>
      <c r="BS726" s="151"/>
      <c r="BT726" s="151"/>
      <c r="BU726" s="151"/>
      <c r="BV726" s="151"/>
      <c r="BW726" s="151"/>
      <c r="BX726" s="151"/>
      <c r="BY726" s="151"/>
    </row>
    <row r="727" spans="1:77" s="19" customFormat="1" x14ac:dyDescent="0.15">
      <c r="A727" s="151">
        <v>1003020031</v>
      </c>
      <c r="B727" s="157" t="s">
        <v>614</v>
      </c>
      <c r="C727" s="151" t="s">
        <v>89</v>
      </c>
      <c r="D727" s="151"/>
      <c r="E727" s="151" t="s">
        <v>78</v>
      </c>
      <c r="F727" s="151"/>
      <c r="G727" s="151"/>
      <c r="H727" s="151"/>
      <c r="I727" s="151"/>
      <c r="J727" s="165"/>
      <c r="K727" s="165"/>
      <c r="L727" s="165"/>
      <c r="M727" s="165"/>
      <c r="N727" s="165"/>
      <c r="O727" s="151" t="s">
        <v>90</v>
      </c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  <c r="AB727" s="151"/>
      <c r="AC727" s="151">
        <v>1003020103</v>
      </c>
      <c r="AD727" s="151">
        <v>1003020103</v>
      </c>
      <c r="AE727" s="151"/>
      <c r="AF727" s="151"/>
      <c r="AG727" s="151"/>
      <c r="AH727" s="151"/>
      <c r="AI727" s="151"/>
      <c r="AJ727" s="151"/>
      <c r="AK727" s="151"/>
      <c r="AL727" s="151"/>
      <c r="AM727" s="151"/>
      <c r="AN727" s="151"/>
      <c r="AO727" s="151"/>
      <c r="AP727" s="151"/>
      <c r="AQ727" s="151"/>
      <c r="AR727" s="151"/>
      <c r="AS727" s="151"/>
      <c r="AT727" s="151"/>
      <c r="AU727" s="151"/>
      <c r="AV727" s="151"/>
      <c r="AW727" s="151"/>
      <c r="AX727" s="151"/>
      <c r="AY727" s="151"/>
      <c r="AZ727" s="151"/>
      <c r="BA727" s="151"/>
      <c r="BB727" s="151"/>
      <c r="BC727" s="151"/>
      <c r="BD727" s="151"/>
      <c r="BE727" s="151"/>
      <c r="BF727" s="151"/>
      <c r="BG727" s="151"/>
      <c r="BH727" s="151"/>
      <c r="BI727" s="151"/>
      <c r="BJ727" s="151"/>
      <c r="BK727" s="151"/>
      <c r="BL727" s="151"/>
      <c r="BM727" s="151"/>
      <c r="BN727" s="151"/>
      <c r="BO727" s="151"/>
      <c r="BP727" s="151"/>
      <c r="BQ727" s="151"/>
      <c r="BR727" s="151"/>
      <c r="BS727" s="151"/>
      <c r="BT727" s="151"/>
      <c r="BU727" s="151"/>
      <c r="BV727" s="151"/>
      <c r="BW727" s="151"/>
      <c r="BX727" s="151"/>
      <c r="BY727" s="151"/>
    </row>
    <row r="728" spans="1:77" s="19" customFormat="1" x14ac:dyDescent="0.15">
      <c r="A728" s="151">
        <v>1003020041</v>
      </c>
      <c r="B728" s="157" t="s">
        <v>614</v>
      </c>
      <c r="C728" s="151" t="s">
        <v>89</v>
      </c>
      <c r="D728" s="151"/>
      <c r="E728" s="151" t="s">
        <v>78</v>
      </c>
      <c r="F728" s="151"/>
      <c r="G728" s="151"/>
      <c r="H728" s="151"/>
      <c r="I728" s="151"/>
      <c r="J728" s="165"/>
      <c r="K728" s="165"/>
      <c r="L728" s="165"/>
      <c r="M728" s="165"/>
      <c r="N728" s="165"/>
      <c r="O728" s="151" t="s">
        <v>90</v>
      </c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  <c r="AB728" s="151"/>
      <c r="AC728" s="151">
        <v>1003020104</v>
      </c>
      <c r="AD728" s="151">
        <v>1003020104</v>
      </c>
      <c r="AE728" s="151"/>
      <c r="AF728" s="151"/>
      <c r="AG728" s="151"/>
      <c r="AH728" s="151"/>
      <c r="AI728" s="151"/>
      <c r="AJ728" s="151"/>
      <c r="AK728" s="151"/>
      <c r="AL728" s="151"/>
      <c r="AM728" s="151"/>
      <c r="AN728" s="151"/>
      <c r="AO728" s="151"/>
      <c r="AP728" s="151"/>
      <c r="AQ728" s="151"/>
      <c r="AR728" s="151"/>
      <c r="AS728" s="151"/>
      <c r="AT728" s="151"/>
      <c r="AU728" s="151"/>
      <c r="AV728" s="151"/>
      <c r="AW728" s="151"/>
      <c r="AX728" s="151"/>
      <c r="AY728" s="151"/>
      <c r="AZ728" s="151"/>
      <c r="BA728" s="151"/>
      <c r="BB728" s="151"/>
      <c r="BC728" s="151"/>
      <c r="BD728" s="151"/>
      <c r="BE728" s="151"/>
      <c r="BF728" s="151"/>
      <c r="BG728" s="151"/>
      <c r="BH728" s="151"/>
      <c r="BI728" s="151"/>
      <c r="BJ728" s="151"/>
      <c r="BK728" s="151"/>
      <c r="BL728" s="151"/>
      <c r="BM728" s="151"/>
      <c r="BN728" s="151"/>
      <c r="BO728" s="151"/>
      <c r="BP728" s="151"/>
      <c r="BQ728" s="151"/>
      <c r="BR728" s="151"/>
      <c r="BS728" s="151"/>
      <c r="BT728" s="151"/>
      <c r="BU728" s="151"/>
      <c r="BV728" s="151"/>
      <c r="BW728" s="151"/>
      <c r="BX728" s="151"/>
      <c r="BY728" s="151"/>
    </row>
    <row r="729" spans="1:77" s="19" customFormat="1" x14ac:dyDescent="0.15">
      <c r="A729" s="151">
        <v>1003040011</v>
      </c>
      <c r="B729" s="157" t="s">
        <v>615</v>
      </c>
      <c r="C729" s="151" t="s">
        <v>112</v>
      </c>
      <c r="D729" s="151"/>
      <c r="E729" s="151" t="s">
        <v>78</v>
      </c>
      <c r="F729" s="151"/>
      <c r="G729" s="151"/>
      <c r="H729" s="151"/>
      <c r="I729" s="151"/>
      <c r="J729" s="165"/>
      <c r="K729" s="165"/>
      <c r="L729" s="165"/>
      <c r="M729" s="165"/>
      <c r="N729" s="165"/>
      <c r="O729" s="151" t="s">
        <v>139</v>
      </c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  <c r="AB729" s="151"/>
      <c r="AC729" s="151"/>
      <c r="AD729" s="151"/>
      <c r="AE729" s="151" t="s">
        <v>313</v>
      </c>
      <c r="AF729" s="151">
        <v>10000</v>
      </c>
      <c r="AG729" s="151"/>
      <c r="AH729" s="151"/>
      <c r="AI729" s="151"/>
      <c r="AJ729" s="151"/>
      <c r="AK729" s="151"/>
      <c r="AL729" s="151"/>
      <c r="AM729" s="151"/>
      <c r="AN729" s="151"/>
      <c r="AO729" s="151"/>
      <c r="AP729" s="151"/>
      <c r="AQ729" s="151"/>
      <c r="AR729" s="151"/>
      <c r="AS729" s="151"/>
      <c r="AT729" s="151"/>
      <c r="AU729" s="151"/>
      <c r="AV729" s="151"/>
      <c r="AW729" s="151"/>
      <c r="AX729" s="151"/>
      <c r="AY729" s="151"/>
      <c r="AZ729" s="151"/>
      <c r="BA729" s="151"/>
      <c r="BB729" s="151"/>
      <c r="BC729" s="151"/>
      <c r="BD729" s="151"/>
      <c r="BE729" s="151"/>
      <c r="BF729" s="151"/>
      <c r="BG729" s="151"/>
      <c r="BH729" s="151"/>
      <c r="BI729" s="151"/>
      <c r="BJ729" s="151"/>
      <c r="BK729" s="151"/>
      <c r="BL729" s="151"/>
      <c r="BM729" s="151"/>
      <c r="BN729" s="151"/>
      <c r="BO729" s="151"/>
      <c r="BP729" s="151"/>
      <c r="BQ729" s="151"/>
      <c r="BR729" s="151"/>
      <c r="BS729" s="151"/>
      <c r="BT729" s="151"/>
      <c r="BU729" s="151"/>
      <c r="BV729" s="151"/>
      <c r="BW729" s="151"/>
      <c r="BX729" s="151"/>
      <c r="BY729" s="174"/>
    </row>
    <row r="730" spans="1:77" s="19" customFormat="1" x14ac:dyDescent="0.15">
      <c r="A730" s="151">
        <v>1003040021</v>
      </c>
      <c r="B730" s="157" t="s">
        <v>615</v>
      </c>
      <c r="C730" s="151" t="s">
        <v>112</v>
      </c>
      <c r="D730" s="151"/>
      <c r="E730" s="151" t="s">
        <v>78</v>
      </c>
      <c r="F730" s="151"/>
      <c r="G730" s="151"/>
      <c r="H730" s="151"/>
      <c r="I730" s="151"/>
      <c r="J730" s="165"/>
      <c r="K730" s="165"/>
      <c r="L730" s="165"/>
      <c r="M730" s="165"/>
      <c r="N730" s="165"/>
      <c r="O730" s="151" t="s">
        <v>139</v>
      </c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  <c r="AB730" s="151"/>
      <c r="AC730" s="151"/>
      <c r="AD730" s="151"/>
      <c r="AE730" s="151" t="s">
        <v>313</v>
      </c>
      <c r="AF730" s="151">
        <v>10000</v>
      </c>
      <c r="AG730" s="151"/>
      <c r="AH730" s="151"/>
      <c r="AI730" s="151"/>
      <c r="AJ730" s="151"/>
      <c r="AK730" s="151"/>
      <c r="AL730" s="151"/>
      <c r="AM730" s="151"/>
      <c r="AN730" s="151"/>
      <c r="AO730" s="151"/>
      <c r="AP730" s="151"/>
      <c r="AQ730" s="151"/>
      <c r="AR730" s="151"/>
      <c r="AS730" s="151"/>
      <c r="AT730" s="151"/>
      <c r="AU730" s="151"/>
      <c r="AV730" s="151"/>
      <c r="AW730" s="151"/>
      <c r="AX730" s="151"/>
      <c r="AY730" s="151"/>
      <c r="AZ730" s="151"/>
      <c r="BA730" s="151"/>
      <c r="BB730" s="151"/>
      <c r="BC730" s="151"/>
      <c r="BD730" s="151"/>
      <c r="BE730" s="151"/>
      <c r="BF730" s="151"/>
      <c r="BG730" s="151"/>
      <c r="BH730" s="151"/>
      <c r="BI730" s="151"/>
      <c r="BJ730" s="151"/>
      <c r="BK730" s="151"/>
      <c r="BL730" s="151"/>
      <c r="BM730" s="151"/>
      <c r="BN730" s="151"/>
      <c r="BO730" s="151"/>
      <c r="BP730" s="151"/>
      <c r="BQ730" s="151"/>
      <c r="BR730" s="151"/>
      <c r="BS730" s="151"/>
      <c r="BT730" s="151"/>
      <c r="BU730" s="151"/>
      <c r="BV730" s="151"/>
      <c r="BW730" s="151"/>
      <c r="BX730" s="151"/>
      <c r="BY730" s="174"/>
    </row>
    <row r="731" spans="1:77" x14ac:dyDescent="0.15">
      <c r="A731" s="148">
        <v>1416001011</v>
      </c>
      <c r="B731" s="149" t="s">
        <v>616</v>
      </c>
      <c r="C731" s="148" t="s">
        <v>77</v>
      </c>
      <c r="D731" s="148"/>
      <c r="E731" s="148" t="s">
        <v>78</v>
      </c>
      <c r="F731" s="148"/>
      <c r="G731" s="148"/>
      <c r="H731" s="148"/>
      <c r="I731" s="148"/>
      <c r="J731" s="161"/>
      <c r="K731" s="161"/>
      <c r="L731" s="161"/>
      <c r="M731" s="161"/>
      <c r="N731" s="161"/>
      <c r="O731" s="148" t="s">
        <v>79</v>
      </c>
      <c r="P731" s="148" t="s">
        <v>80</v>
      </c>
      <c r="Q731" s="148"/>
      <c r="R731" s="148">
        <v>10000</v>
      </c>
      <c r="S731" s="148"/>
      <c r="T731" s="148">
        <v>10000</v>
      </c>
      <c r="U731" s="148"/>
      <c r="V731" s="148" t="s">
        <v>101</v>
      </c>
      <c r="W731" s="148"/>
      <c r="X731" s="148"/>
      <c r="Y731" s="148"/>
      <c r="Z731" s="148"/>
      <c r="AA731" s="148"/>
      <c r="AB731" s="148"/>
      <c r="AC731" s="148"/>
      <c r="AD731" s="148"/>
      <c r="AE731" s="148"/>
      <c r="AF731" s="148"/>
      <c r="AG731" s="148"/>
      <c r="AH731" s="148"/>
      <c r="AI731" s="148"/>
      <c r="AJ731" s="148"/>
      <c r="AK731" s="148"/>
      <c r="AL731" s="148"/>
      <c r="AM731" s="148"/>
      <c r="AN731" s="148"/>
      <c r="AO731" s="148"/>
      <c r="AP731" s="148"/>
      <c r="AQ731" s="148"/>
      <c r="AR731" s="148"/>
      <c r="AS731" s="148"/>
      <c r="AT731" s="148"/>
      <c r="AU731" s="148"/>
      <c r="AV731" s="148"/>
      <c r="AW731" s="148"/>
      <c r="AX731" s="148"/>
      <c r="AY731" s="148"/>
      <c r="AZ731" s="148"/>
      <c r="BA731" s="148"/>
      <c r="BB731" s="148"/>
      <c r="BC731" s="148"/>
      <c r="BD731" s="148"/>
      <c r="BE731" s="148"/>
      <c r="BF731" s="148"/>
      <c r="BG731" s="148"/>
      <c r="BH731" s="148"/>
      <c r="BI731" s="148"/>
      <c r="BJ731" s="148"/>
      <c r="BK731" s="148"/>
      <c r="BL731" s="148"/>
      <c r="BM731" s="148"/>
      <c r="BN731" s="148"/>
      <c r="BO731" s="148"/>
      <c r="BP731" s="148"/>
      <c r="BQ731" s="148"/>
      <c r="BR731" s="148"/>
      <c r="BS731" s="148"/>
      <c r="BT731" s="148"/>
      <c r="BU731" s="148"/>
      <c r="BV731" s="148"/>
      <c r="BW731" s="148"/>
      <c r="BX731" s="148"/>
      <c r="BY731" s="170"/>
    </row>
    <row r="732" spans="1:77" x14ac:dyDescent="0.15">
      <c r="A732" s="148">
        <v>1416200011</v>
      </c>
      <c r="B732" s="149" t="s">
        <v>617</v>
      </c>
      <c r="C732" s="148" t="s">
        <v>100</v>
      </c>
      <c r="D732" s="148"/>
      <c r="E732" s="148" t="s">
        <v>78</v>
      </c>
      <c r="F732" s="148"/>
      <c r="G732" s="148"/>
      <c r="H732" s="148"/>
      <c r="I732" s="148"/>
      <c r="J732" s="161"/>
      <c r="K732" s="161"/>
      <c r="L732" s="161"/>
      <c r="M732" s="161"/>
      <c r="N732" s="161"/>
      <c r="O732" s="148" t="s">
        <v>90</v>
      </c>
      <c r="P732" s="148"/>
      <c r="Q732" s="148"/>
      <c r="R732" s="148"/>
      <c r="S732" s="148"/>
      <c r="T732" s="148"/>
      <c r="U732" s="148"/>
      <c r="V732" s="148"/>
      <c r="W732" s="159"/>
      <c r="X732" s="159"/>
      <c r="Y732" s="159"/>
      <c r="Z732" s="159"/>
      <c r="AA732" s="159"/>
      <c r="AB732" s="159"/>
      <c r="AC732" s="159">
        <v>1416200101</v>
      </c>
      <c r="AD732" s="159">
        <v>1416200101</v>
      </c>
      <c r="AE732" s="148"/>
      <c r="AF732" s="148"/>
      <c r="AG732" s="148"/>
      <c r="AH732" s="148"/>
      <c r="AI732" s="148"/>
      <c r="AJ732" s="148"/>
      <c r="AK732" s="148"/>
      <c r="AL732" s="148"/>
      <c r="AM732" s="148"/>
      <c r="AN732" s="148"/>
      <c r="AO732" s="148"/>
      <c r="AP732" s="148"/>
      <c r="AQ732" s="148"/>
      <c r="AR732" s="148"/>
      <c r="AS732" s="148"/>
      <c r="AT732" s="148"/>
      <c r="AU732" s="148"/>
      <c r="AV732" s="148"/>
      <c r="AW732" s="148"/>
      <c r="AX732" s="148"/>
      <c r="AY732" s="148"/>
      <c r="AZ732" s="148"/>
      <c r="BA732" s="148"/>
      <c r="BB732" s="148"/>
      <c r="BC732" s="148"/>
      <c r="BD732" s="148"/>
      <c r="BE732" s="148"/>
      <c r="BF732" s="148"/>
      <c r="BG732" s="148"/>
      <c r="BH732" s="148"/>
      <c r="BI732" s="148"/>
      <c r="BJ732" s="148"/>
      <c r="BK732" s="148"/>
      <c r="BL732" s="148"/>
      <c r="BM732" s="148"/>
      <c r="BN732" s="148"/>
      <c r="BO732" s="148"/>
      <c r="BP732" s="148"/>
      <c r="BQ732" s="148"/>
      <c r="BR732" s="148"/>
      <c r="BS732" s="148"/>
      <c r="BT732" s="148"/>
      <c r="BU732" s="148"/>
      <c r="BV732" s="148"/>
      <c r="BW732" s="148"/>
      <c r="BX732" s="148"/>
      <c r="BY732" s="170"/>
    </row>
    <row r="733" spans="1:77" x14ac:dyDescent="0.15">
      <c r="A733" s="148">
        <v>1416200012</v>
      </c>
      <c r="B733" s="149" t="s">
        <v>618</v>
      </c>
      <c r="C733" s="148" t="s">
        <v>100</v>
      </c>
      <c r="D733" s="148"/>
      <c r="E733" s="148" t="s">
        <v>78</v>
      </c>
      <c r="F733" s="148"/>
      <c r="G733" s="148"/>
      <c r="H733" s="148"/>
      <c r="I733" s="148"/>
      <c r="J733" s="161"/>
      <c r="K733" s="161"/>
      <c r="L733" s="161"/>
      <c r="M733" s="161"/>
      <c r="N733" s="161"/>
      <c r="O733" s="148" t="s">
        <v>79</v>
      </c>
      <c r="P733" s="148" t="s">
        <v>102</v>
      </c>
      <c r="Q733" s="148">
        <v>100</v>
      </c>
      <c r="R733" s="148"/>
      <c r="S733" s="148">
        <v>2000</v>
      </c>
      <c r="T733" s="148"/>
      <c r="U733" s="148"/>
      <c r="V733" s="148"/>
      <c r="W733" s="148" t="s">
        <v>103</v>
      </c>
      <c r="X733" s="148">
        <v>10000</v>
      </c>
      <c r="Y733" s="148">
        <v>10</v>
      </c>
      <c r="Z733" s="148"/>
      <c r="AA733" s="148"/>
      <c r="AB733" s="148"/>
      <c r="AC733" s="148"/>
      <c r="AD733" s="148"/>
      <c r="AE733" s="148"/>
      <c r="AF733" s="148"/>
      <c r="AG733" s="148"/>
      <c r="AH733" s="148"/>
      <c r="AI733" s="148"/>
      <c r="AJ733" s="148"/>
      <c r="AK733" s="148"/>
      <c r="AL733" s="148"/>
      <c r="AM733" s="148"/>
      <c r="AN733" s="148"/>
      <c r="AO733" s="148"/>
      <c r="AP733" s="148"/>
      <c r="AQ733" s="148"/>
      <c r="AR733" s="148"/>
      <c r="AS733" s="148"/>
      <c r="AT733" s="148"/>
      <c r="AU733" s="148"/>
      <c r="AV733" s="148"/>
      <c r="AW733" s="148"/>
      <c r="AX733" s="148"/>
      <c r="AY733" s="148"/>
      <c r="AZ733" s="148"/>
      <c r="BA733" s="148"/>
      <c r="BB733" s="148"/>
      <c r="BC733" s="148"/>
      <c r="BD733" s="148"/>
      <c r="BE733" s="148"/>
      <c r="BF733" s="148"/>
      <c r="BG733" s="148"/>
      <c r="BH733" s="148"/>
      <c r="BI733" s="148"/>
      <c r="BJ733" s="148"/>
      <c r="BK733" s="148"/>
      <c r="BL733" s="148"/>
      <c r="BM733" s="148"/>
      <c r="BN733" s="148"/>
      <c r="BO733" s="148"/>
      <c r="BP733" s="148"/>
      <c r="BQ733" s="148"/>
      <c r="BR733" s="148"/>
      <c r="BS733" s="148"/>
      <c r="BT733" s="148"/>
      <c r="BU733" s="148"/>
      <c r="BV733" s="148"/>
      <c r="BW733" s="148"/>
      <c r="BX733" s="148"/>
      <c r="BY733" s="170"/>
    </row>
    <row r="734" spans="1:77" x14ac:dyDescent="0.15">
      <c r="A734" s="148">
        <v>1416200013</v>
      </c>
      <c r="B734" s="149" t="s">
        <v>619</v>
      </c>
      <c r="C734" s="148" t="s">
        <v>89</v>
      </c>
      <c r="D734" s="148"/>
      <c r="E734" s="148" t="s">
        <v>78</v>
      </c>
      <c r="F734" s="148"/>
      <c r="G734" s="148"/>
      <c r="H734" s="148"/>
      <c r="I734" s="148"/>
      <c r="J734" s="161"/>
      <c r="K734" s="161"/>
      <c r="L734" s="161"/>
      <c r="M734" s="161"/>
      <c r="N734" s="161"/>
      <c r="O734" s="148" t="s">
        <v>306</v>
      </c>
      <c r="P734" s="148"/>
      <c r="Q734" s="177">
        <v>100</v>
      </c>
      <c r="R734" s="177"/>
      <c r="S734" s="177">
        <v>2000</v>
      </c>
      <c r="T734" s="177"/>
      <c r="U734" s="177"/>
      <c r="V734" s="148"/>
      <c r="W734" s="148" t="s">
        <v>103</v>
      </c>
      <c r="X734" s="148">
        <v>10000</v>
      </c>
      <c r="Y734" s="148">
        <v>10</v>
      </c>
      <c r="Z734" s="148"/>
      <c r="AA734" s="148"/>
      <c r="AB734" s="148"/>
      <c r="AC734" s="148"/>
      <c r="AD734" s="148"/>
      <c r="AE734" s="148"/>
      <c r="AF734" s="148"/>
      <c r="AG734" s="148"/>
      <c r="AH734" s="148"/>
      <c r="AI734" s="148"/>
      <c r="AJ734" s="148"/>
      <c r="AK734" s="148"/>
      <c r="AL734" s="148"/>
      <c r="AM734" s="148"/>
      <c r="AN734" s="148"/>
      <c r="AO734" s="148"/>
      <c r="AP734" s="148"/>
      <c r="AQ734" s="148"/>
      <c r="AR734" s="148"/>
      <c r="AS734" s="148"/>
      <c r="AT734" s="148"/>
      <c r="AU734" s="148"/>
      <c r="AV734" s="148"/>
      <c r="AW734" s="148"/>
      <c r="AX734" s="148"/>
      <c r="AY734" s="148"/>
      <c r="AZ734" s="148"/>
      <c r="BA734" s="148"/>
      <c r="BB734" s="148"/>
      <c r="BC734" s="148"/>
      <c r="BD734" s="148"/>
      <c r="BE734" s="148"/>
      <c r="BF734" s="148"/>
      <c r="BG734" s="148"/>
      <c r="BH734" s="148"/>
      <c r="BI734" s="148"/>
      <c r="BJ734" s="148"/>
      <c r="BK734" s="148"/>
      <c r="BL734" s="148"/>
      <c r="BM734" s="148"/>
      <c r="BN734" s="148"/>
      <c r="BO734" s="148"/>
      <c r="BP734" s="148"/>
      <c r="BQ734" s="148"/>
      <c r="BR734" s="148"/>
      <c r="BS734" s="148"/>
      <c r="BT734" s="148"/>
      <c r="BU734" s="148"/>
      <c r="BV734" s="148"/>
      <c r="BW734" s="148"/>
      <c r="BX734" s="148"/>
      <c r="BY734" s="170"/>
    </row>
    <row r="735" spans="1:77" x14ac:dyDescent="0.15">
      <c r="A735" s="159">
        <v>1416010011</v>
      </c>
      <c r="B735" s="190" t="s">
        <v>620</v>
      </c>
      <c r="C735" s="148" t="s">
        <v>100</v>
      </c>
      <c r="D735" s="159"/>
      <c r="E735" s="148" t="s">
        <v>85</v>
      </c>
      <c r="F735" s="148">
        <v>50000</v>
      </c>
      <c r="G735" s="148">
        <v>150000</v>
      </c>
      <c r="H735" s="148"/>
      <c r="I735" s="148"/>
      <c r="J735" s="161"/>
      <c r="K735" s="161"/>
      <c r="L735" s="161"/>
      <c r="M735" s="161" t="s">
        <v>101</v>
      </c>
      <c r="N735" s="161" t="s">
        <v>848</v>
      </c>
      <c r="O735" s="148" t="s">
        <v>79</v>
      </c>
      <c r="P735" s="148" t="s">
        <v>102</v>
      </c>
      <c r="Q735" s="179">
        <v>100</v>
      </c>
      <c r="R735" s="179"/>
      <c r="S735" s="179">
        <v>2000</v>
      </c>
      <c r="T735" s="179"/>
      <c r="U735" s="179">
        <v>3500</v>
      </c>
      <c r="V735" s="148"/>
      <c r="W735" s="159"/>
      <c r="X735" s="159"/>
      <c r="Y735" s="159"/>
      <c r="Z735" s="159"/>
      <c r="AA735" s="159"/>
      <c r="AB735" s="159"/>
      <c r="AC735" s="159"/>
      <c r="AD735" s="159"/>
      <c r="AE735" s="159"/>
      <c r="AF735" s="159"/>
      <c r="AG735" s="159"/>
      <c r="AH735" s="159"/>
      <c r="AI735" s="159"/>
      <c r="AJ735" s="159"/>
      <c r="AK735" s="159"/>
      <c r="AL735" s="159"/>
      <c r="AM735" s="159"/>
      <c r="AN735" s="159"/>
      <c r="AO735" s="159"/>
      <c r="AP735" s="159"/>
      <c r="AQ735" s="159"/>
      <c r="AR735" s="159"/>
      <c r="AS735" s="159"/>
      <c r="AT735" s="159"/>
      <c r="AU735" s="159"/>
      <c r="AV735" s="159"/>
      <c r="AW735" s="159"/>
      <c r="AX735" s="159"/>
      <c r="AY735" s="159"/>
      <c r="AZ735" s="159"/>
      <c r="BA735" s="159"/>
      <c r="BB735" s="159"/>
      <c r="BC735" s="159"/>
      <c r="BD735" s="159"/>
      <c r="BE735" s="159"/>
      <c r="BF735" s="159"/>
      <c r="BG735" s="159"/>
      <c r="BH735" s="159"/>
      <c r="BI735" s="159"/>
      <c r="BJ735" s="159"/>
      <c r="BK735" s="159"/>
      <c r="BL735" s="159"/>
      <c r="BM735" s="159"/>
      <c r="BN735" s="159"/>
      <c r="BO735" s="159"/>
      <c r="BP735" s="159"/>
      <c r="BQ735" s="159"/>
      <c r="BR735" s="159"/>
      <c r="BS735" s="159"/>
      <c r="BT735" s="159"/>
      <c r="BU735" s="159"/>
      <c r="BV735" s="159"/>
      <c r="BW735" s="159"/>
      <c r="BX735" s="159"/>
      <c r="BY735" s="159"/>
    </row>
    <row r="736" spans="1:77" x14ac:dyDescent="0.15">
      <c r="A736" s="159">
        <v>1416010021</v>
      </c>
      <c r="B736" s="190" t="s">
        <v>620</v>
      </c>
      <c r="C736" s="148" t="s">
        <v>100</v>
      </c>
      <c r="D736" s="159"/>
      <c r="E736" s="148" t="s">
        <v>85</v>
      </c>
      <c r="F736" s="148">
        <v>50000</v>
      </c>
      <c r="G736" s="148">
        <v>150000</v>
      </c>
      <c r="H736" s="148"/>
      <c r="I736" s="148"/>
      <c r="J736" s="161"/>
      <c r="K736" s="161"/>
      <c r="L736" s="161"/>
      <c r="M736" s="161" t="s">
        <v>101</v>
      </c>
      <c r="N736" s="161" t="s">
        <v>848</v>
      </c>
      <c r="O736" s="148" t="s">
        <v>79</v>
      </c>
      <c r="P736" s="148" t="s">
        <v>102</v>
      </c>
      <c r="Q736" s="179">
        <v>140</v>
      </c>
      <c r="R736" s="179"/>
      <c r="S736" s="179">
        <v>2000</v>
      </c>
      <c r="T736" s="179"/>
      <c r="U736" s="179">
        <v>3500</v>
      </c>
      <c r="V736" s="148"/>
      <c r="W736" s="159"/>
      <c r="X736" s="159"/>
      <c r="Y736" s="159"/>
      <c r="Z736" s="159"/>
      <c r="AA736" s="159"/>
      <c r="AB736" s="159"/>
      <c r="AC736" s="159"/>
      <c r="AD736" s="159"/>
      <c r="AE736" s="159"/>
      <c r="AF736" s="159"/>
      <c r="AG736" s="159"/>
      <c r="AH736" s="159"/>
      <c r="AI736" s="159"/>
      <c r="AJ736" s="159"/>
      <c r="AK736" s="159"/>
      <c r="AL736" s="159"/>
      <c r="AM736" s="159"/>
      <c r="AN736" s="159"/>
      <c r="AO736" s="159"/>
      <c r="AP736" s="159"/>
      <c r="AQ736" s="159"/>
      <c r="AR736" s="159"/>
      <c r="AS736" s="159"/>
      <c r="AT736" s="159"/>
      <c r="AU736" s="159"/>
      <c r="AV736" s="159"/>
      <c r="AW736" s="159"/>
      <c r="AX736" s="159"/>
      <c r="AY736" s="159"/>
      <c r="AZ736" s="159"/>
      <c r="BA736" s="159"/>
      <c r="BB736" s="159"/>
      <c r="BC736" s="159"/>
      <c r="BD736" s="159"/>
      <c r="BE736" s="159"/>
      <c r="BF736" s="159"/>
      <c r="BG736" s="159"/>
      <c r="BH736" s="159"/>
      <c r="BI736" s="159"/>
      <c r="BJ736" s="159"/>
      <c r="BK736" s="159"/>
      <c r="BL736" s="159"/>
      <c r="BM736" s="159"/>
      <c r="BN736" s="159"/>
      <c r="BO736" s="159"/>
      <c r="BP736" s="159"/>
      <c r="BQ736" s="159"/>
      <c r="BR736" s="159"/>
      <c r="BS736" s="159"/>
      <c r="BT736" s="159"/>
      <c r="BU736" s="159"/>
      <c r="BV736" s="159"/>
      <c r="BW736" s="159"/>
      <c r="BX736" s="159"/>
      <c r="BY736" s="159"/>
    </row>
    <row r="737" spans="1:77" x14ac:dyDescent="0.15">
      <c r="A737" s="159">
        <v>1416010031</v>
      </c>
      <c r="B737" s="190" t="s">
        <v>620</v>
      </c>
      <c r="C737" s="148" t="s">
        <v>100</v>
      </c>
      <c r="D737" s="159"/>
      <c r="E737" s="148" t="s">
        <v>85</v>
      </c>
      <c r="F737" s="148">
        <v>50000</v>
      </c>
      <c r="G737" s="148">
        <v>150000</v>
      </c>
      <c r="H737" s="148"/>
      <c r="I737" s="148"/>
      <c r="J737" s="161"/>
      <c r="K737" s="161"/>
      <c r="L737" s="161"/>
      <c r="M737" s="161" t="s">
        <v>101</v>
      </c>
      <c r="N737" s="161" t="s">
        <v>848</v>
      </c>
      <c r="O737" s="148" t="s">
        <v>79</v>
      </c>
      <c r="P737" s="148" t="s">
        <v>102</v>
      </c>
      <c r="Q737" s="179">
        <v>180</v>
      </c>
      <c r="R737" s="179"/>
      <c r="S737" s="179">
        <v>2000</v>
      </c>
      <c r="T737" s="179"/>
      <c r="U737" s="179">
        <v>3500</v>
      </c>
      <c r="V737" s="148"/>
      <c r="W737" s="159"/>
      <c r="X737" s="159"/>
      <c r="Y737" s="159"/>
      <c r="Z737" s="159"/>
      <c r="AA737" s="159"/>
      <c r="AB737" s="159"/>
      <c r="AC737" s="159"/>
      <c r="AD737" s="159"/>
      <c r="AE737" s="159"/>
      <c r="AF737" s="159"/>
      <c r="AG737" s="159"/>
      <c r="AH737" s="159"/>
      <c r="AI737" s="159"/>
      <c r="AJ737" s="159"/>
      <c r="AK737" s="159"/>
      <c r="AL737" s="159"/>
      <c r="AM737" s="159"/>
      <c r="AN737" s="159"/>
      <c r="AO737" s="159"/>
      <c r="AP737" s="159"/>
      <c r="AQ737" s="159"/>
      <c r="AR737" s="159"/>
      <c r="AS737" s="159"/>
      <c r="AT737" s="159"/>
      <c r="AU737" s="159"/>
      <c r="AV737" s="159"/>
      <c r="AW737" s="159"/>
      <c r="AX737" s="159"/>
      <c r="AY737" s="159"/>
      <c r="AZ737" s="159"/>
      <c r="BA737" s="159"/>
      <c r="BB737" s="159"/>
      <c r="BC737" s="159"/>
      <c r="BD737" s="159"/>
      <c r="BE737" s="159"/>
      <c r="BF737" s="159"/>
      <c r="BG737" s="159"/>
      <c r="BH737" s="159"/>
      <c r="BI737" s="159"/>
      <c r="BJ737" s="159"/>
      <c r="BK737" s="159"/>
      <c r="BL737" s="159"/>
      <c r="BM737" s="159"/>
      <c r="BN737" s="159"/>
      <c r="BO737" s="159"/>
      <c r="BP737" s="159"/>
      <c r="BQ737" s="159"/>
      <c r="BR737" s="159"/>
      <c r="BS737" s="159"/>
      <c r="BT737" s="159"/>
      <c r="BU737" s="159"/>
      <c r="BV737" s="159"/>
      <c r="BW737" s="159"/>
      <c r="BX737" s="159"/>
      <c r="BY737" s="159"/>
    </row>
    <row r="738" spans="1:77" x14ac:dyDescent="0.15">
      <c r="A738" s="159">
        <v>1416010041</v>
      </c>
      <c r="B738" s="190" t="s">
        <v>620</v>
      </c>
      <c r="C738" s="148" t="s">
        <v>100</v>
      </c>
      <c r="D738" s="159"/>
      <c r="E738" s="148" t="s">
        <v>85</v>
      </c>
      <c r="F738" s="148">
        <v>50000</v>
      </c>
      <c r="G738" s="148">
        <v>150000</v>
      </c>
      <c r="H738" s="148"/>
      <c r="I738" s="148"/>
      <c r="J738" s="161"/>
      <c r="K738" s="161"/>
      <c r="L738" s="161"/>
      <c r="M738" s="161" t="s">
        <v>101</v>
      </c>
      <c r="N738" s="161" t="s">
        <v>848</v>
      </c>
      <c r="O738" s="148" t="s">
        <v>79</v>
      </c>
      <c r="P738" s="148" t="s">
        <v>102</v>
      </c>
      <c r="Q738" s="179">
        <v>220</v>
      </c>
      <c r="R738" s="179"/>
      <c r="S738" s="179">
        <v>2000</v>
      </c>
      <c r="T738" s="179"/>
      <c r="U738" s="179">
        <v>3500</v>
      </c>
      <c r="V738" s="148"/>
      <c r="W738" s="159"/>
      <c r="X738" s="159"/>
      <c r="Y738" s="159"/>
      <c r="Z738" s="159"/>
      <c r="AA738" s="159"/>
      <c r="AB738" s="159"/>
      <c r="AC738" s="159"/>
      <c r="AD738" s="159"/>
      <c r="AE738" s="159"/>
      <c r="AF738" s="159"/>
      <c r="AG738" s="159"/>
      <c r="AH738" s="159"/>
      <c r="AI738" s="159"/>
      <c r="AJ738" s="159"/>
      <c r="AK738" s="159"/>
      <c r="AL738" s="159"/>
      <c r="AM738" s="159"/>
      <c r="AN738" s="159"/>
      <c r="AO738" s="159"/>
      <c r="AP738" s="159"/>
      <c r="AQ738" s="159"/>
      <c r="AR738" s="159"/>
      <c r="AS738" s="159"/>
      <c r="AT738" s="159"/>
      <c r="AU738" s="159"/>
      <c r="AV738" s="159"/>
      <c r="AW738" s="159"/>
      <c r="AX738" s="159"/>
      <c r="AY738" s="159"/>
      <c r="AZ738" s="159"/>
      <c r="BA738" s="159"/>
      <c r="BB738" s="159"/>
      <c r="BC738" s="159"/>
      <c r="BD738" s="159"/>
      <c r="BE738" s="159"/>
      <c r="BF738" s="159"/>
      <c r="BG738" s="159"/>
      <c r="BH738" s="159"/>
      <c r="BI738" s="159"/>
      <c r="BJ738" s="159"/>
      <c r="BK738" s="159"/>
      <c r="BL738" s="159"/>
      <c r="BM738" s="159"/>
      <c r="BN738" s="159"/>
      <c r="BO738" s="159"/>
      <c r="BP738" s="159"/>
      <c r="BQ738" s="159"/>
      <c r="BR738" s="159"/>
      <c r="BS738" s="159"/>
      <c r="BT738" s="159"/>
      <c r="BU738" s="159"/>
      <c r="BV738" s="159"/>
      <c r="BW738" s="159"/>
      <c r="BX738" s="159"/>
      <c r="BY738" s="159"/>
    </row>
    <row r="739" spans="1:77" x14ac:dyDescent="0.15">
      <c r="A739" s="159">
        <v>1416010012</v>
      </c>
      <c r="B739" s="190" t="s">
        <v>621</v>
      </c>
      <c r="C739" s="148" t="s">
        <v>100</v>
      </c>
      <c r="D739" s="159"/>
      <c r="E739" s="148" t="s">
        <v>85</v>
      </c>
      <c r="F739" s="148">
        <v>50000</v>
      </c>
      <c r="G739" s="148">
        <v>150000</v>
      </c>
      <c r="H739" s="148"/>
      <c r="I739" s="148"/>
      <c r="J739" s="161"/>
      <c r="K739" s="161"/>
      <c r="L739" s="161"/>
      <c r="M739" s="161" t="s">
        <v>101</v>
      </c>
      <c r="N739" s="161" t="s">
        <v>848</v>
      </c>
      <c r="O739" s="148" t="s">
        <v>79</v>
      </c>
      <c r="P739" s="148" t="s">
        <v>167</v>
      </c>
      <c r="Q739" s="179">
        <v>100</v>
      </c>
      <c r="R739" s="179"/>
      <c r="S739" s="179">
        <v>2000</v>
      </c>
      <c r="T739" s="179"/>
      <c r="U739" s="179">
        <v>3500</v>
      </c>
      <c r="V739" s="148"/>
      <c r="W739" s="159"/>
      <c r="X739" s="159"/>
      <c r="Y739" s="159"/>
      <c r="Z739" s="159"/>
      <c r="AA739" s="159"/>
      <c r="AB739" s="159"/>
      <c r="AC739" s="159"/>
      <c r="AD739" s="159"/>
      <c r="AE739" s="159"/>
      <c r="AF739" s="159"/>
      <c r="AG739" s="159"/>
      <c r="AH739" s="159"/>
      <c r="AI739" s="159"/>
      <c r="AJ739" s="159"/>
      <c r="AK739" s="159"/>
      <c r="AL739" s="159"/>
      <c r="AM739" s="159"/>
      <c r="AN739" s="159"/>
      <c r="AO739" s="159"/>
      <c r="AP739" s="159"/>
      <c r="AQ739" s="159"/>
      <c r="AR739" s="159"/>
      <c r="AS739" s="159"/>
      <c r="AT739" s="159"/>
      <c r="AU739" s="159"/>
      <c r="AV739" s="159"/>
      <c r="AW739" s="159"/>
      <c r="AX739" s="159"/>
      <c r="AY739" s="159"/>
      <c r="AZ739" s="159"/>
      <c r="BA739" s="159"/>
      <c r="BB739" s="159"/>
      <c r="BC739" s="159"/>
      <c r="BD739" s="159"/>
      <c r="BE739" s="159"/>
      <c r="BF739" s="159"/>
      <c r="BG739" s="159"/>
      <c r="BH739" s="159"/>
      <c r="BI739" s="159"/>
      <c r="BJ739" s="159"/>
      <c r="BK739" s="159"/>
      <c r="BL739" s="159"/>
      <c r="BM739" s="159"/>
      <c r="BN739" s="159"/>
      <c r="BO739" s="159"/>
      <c r="BP739" s="159"/>
      <c r="BQ739" s="159"/>
      <c r="BR739" s="159"/>
      <c r="BS739" s="159"/>
      <c r="BT739" s="159"/>
      <c r="BU739" s="159"/>
      <c r="BV739" s="159"/>
      <c r="BW739" s="159"/>
      <c r="BX739" s="159"/>
      <c r="BY739" s="159"/>
    </row>
    <row r="740" spans="1:77" x14ac:dyDescent="0.15">
      <c r="A740" s="159">
        <v>1416010022</v>
      </c>
      <c r="B740" s="190" t="s">
        <v>621</v>
      </c>
      <c r="C740" s="148" t="s">
        <v>100</v>
      </c>
      <c r="D740" s="159"/>
      <c r="E740" s="148" t="s">
        <v>85</v>
      </c>
      <c r="F740" s="148">
        <v>50000</v>
      </c>
      <c r="G740" s="148">
        <v>150000</v>
      </c>
      <c r="H740" s="148"/>
      <c r="I740" s="148"/>
      <c r="J740" s="161"/>
      <c r="K740" s="161"/>
      <c r="L740" s="161"/>
      <c r="M740" s="161" t="s">
        <v>101</v>
      </c>
      <c r="N740" s="161" t="s">
        <v>848</v>
      </c>
      <c r="O740" s="148" t="s">
        <v>79</v>
      </c>
      <c r="P740" s="148" t="s">
        <v>167</v>
      </c>
      <c r="Q740" s="179">
        <v>140</v>
      </c>
      <c r="R740" s="179"/>
      <c r="S740" s="179">
        <v>2000</v>
      </c>
      <c r="T740" s="179"/>
      <c r="U740" s="179">
        <v>3500</v>
      </c>
      <c r="V740" s="148"/>
      <c r="W740" s="159"/>
      <c r="X740" s="159"/>
      <c r="Y740" s="159"/>
      <c r="Z740" s="159"/>
      <c r="AA740" s="159"/>
      <c r="AB740" s="159"/>
      <c r="AC740" s="159"/>
      <c r="AD740" s="159"/>
      <c r="AE740" s="159"/>
      <c r="AF740" s="159"/>
      <c r="AG740" s="159"/>
      <c r="AH740" s="159"/>
      <c r="AI740" s="159"/>
      <c r="AJ740" s="159"/>
      <c r="AK740" s="159"/>
      <c r="AL740" s="159"/>
      <c r="AM740" s="159"/>
      <c r="AN740" s="159"/>
      <c r="AO740" s="159"/>
      <c r="AP740" s="159"/>
      <c r="AQ740" s="159"/>
      <c r="AR740" s="159"/>
      <c r="AS740" s="159"/>
      <c r="AT740" s="159"/>
      <c r="AU740" s="159"/>
      <c r="AV740" s="159"/>
      <c r="AW740" s="159"/>
      <c r="AX740" s="159"/>
      <c r="AY740" s="159"/>
      <c r="AZ740" s="159"/>
      <c r="BA740" s="159"/>
      <c r="BB740" s="159"/>
      <c r="BC740" s="159"/>
      <c r="BD740" s="159"/>
      <c r="BE740" s="159"/>
      <c r="BF740" s="159"/>
      <c r="BG740" s="159"/>
      <c r="BH740" s="159"/>
      <c r="BI740" s="159"/>
      <c r="BJ740" s="159"/>
      <c r="BK740" s="159"/>
      <c r="BL740" s="159"/>
      <c r="BM740" s="159"/>
      <c r="BN740" s="159"/>
      <c r="BO740" s="159"/>
      <c r="BP740" s="159"/>
      <c r="BQ740" s="159"/>
      <c r="BR740" s="159"/>
      <c r="BS740" s="159"/>
      <c r="BT740" s="159"/>
      <c r="BU740" s="159"/>
      <c r="BV740" s="159"/>
      <c r="BW740" s="159"/>
      <c r="BX740" s="159"/>
      <c r="BY740" s="159"/>
    </row>
    <row r="741" spans="1:77" x14ac:dyDescent="0.15">
      <c r="A741" s="159">
        <v>1416010032</v>
      </c>
      <c r="B741" s="190" t="s">
        <v>853</v>
      </c>
      <c r="C741" s="148" t="s">
        <v>100</v>
      </c>
      <c r="D741" s="159"/>
      <c r="E741" s="148" t="s">
        <v>85</v>
      </c>
      <c r="F741" s="148">
        <v>50000</v>
      </c>
      <c r="G741" s="148">
        <v>150000</v>
      </c>
      <c r="H741" s="148"/>
      <c r="I741" s="148"/>
      <c r="J741" s="161"/>
      <c r="K741" s="161"/>
      <c r="L741" s="161"/>
      <c r="M741" s="161" t="s">
        <v>101</v>
      </c>
      <c r="N741" s="161" t="s">
        <v>848</v>
      </c>
      <c r="O741" s="148" t="s">
        <v>79</v>
      </c>
      <c r="P741" s="148" t="s">
        <v>167</v>
      </c>
      <c r="Q741" s="179">
        <v>180</v>
      </c>
      <c r="R741" s="179"/>
      <c r="S741" s="179">
        <v>2000</v>
      </c>
      <c r="T741" s="179"/>
      <c r="U741" s="179">
        <v>3500</v>
      </c>
      <c r="V741" s="148"/>
      <c r="W741" s="159"/>
      <c r="X741" s="159"/>
      <c r="Y741" s="159"/>
      <c r="Z741" s="159"/>
      <c r="AA741" s="159"/>
      <c r="AB741" s="159"/>
      <c r="AC741" s="159"/>
      <c r="AD741" s="159"/>
      <c r="AE741" s="159"/>
      <c r="AF741" s="159"/>
      <c r="AG741" s="159"/>
      <c r="AH741" s="159"/>
      <c r="AI741" s="159"/>
      <c r="AJ741" s="159"/>
      <c r="AK741" s="159"/>
      <c r="AL741" s="159"/>
      <c r="AM741" s="159"/>
      <c r="AN741" s="159"/>
      <c r="AO741" s="159"/>
      <c r="AP741" s="159"/>
      <c r="AQ741" s="159"/>
      <c r="AR741" s="159"/>
      <c r="AS741" s="159"/>
      <c r="AT741" s="159"/>
      <c r="AU741" s="159"/>
      <c r="AV741" s="159"/>
      <c r="AW741" s="159"/>
      <c r="AX741" s="159"/>
      <c r="AY741" s="159"/>
      <c r="AZ741" s="159"/>
      <c r="BA741" s="159"/>
      <c r="BB741" s="159"/>
      <c r="BC741" s="159"/>
      <c r="BD741" s="159"/>
      <c r="BE741" s="159"/>
      <c r="BF741" s="159"/>
      <c r="BG741" s="159"/>
      <c r="BH741" s="159"/>
      <c r="BI741" s="159"/>
      <c r="BJ741" s="159"/>
      <c r="BK741" s="159"/>
      <c r="BL741" s="159"/>
      <c r="BM741" s="159"/>
      <c r="BN741" s="159"/>
      <c r="BO741" s="159"/>
      <c r="BP741" s="159"/>
      <c r="BQ741" s="159"/>
      <c r="BR741" s="159"/>
      <c r="BS741" s="159"/>
      <c r="BT741" s="159"/>
      <c r="BU741" s="159"/>
      <c r="BV741" s="159"/>
      <c r="BW741" s="159"/>
      <c r="BX741" s="159"/>
      <c r="BY741" s="159"/>
    </row>
    <row r="742" spans="1:77" x14ac:dyDescent="0.15">
      <c r="A742" s="159">
        <v>1416010042</v>
      </c>
      <c r="B742" s="190" t="s">
        <v>621</v>
      </c>
      <c r="C742" s="148" t="s">
        <v>100</v>
      </c>
      <c r="D742" s="159"/>
      <c r="E742" s="148" t="s">
        <v>85</v>
      </c>
      <c r="F742" s="148">
        <v>50000</v>
      </c>
      <c r="G742" s="148">
        <v>150000</v>
      </c>
      <c r="H742" s="148"/>
      <c r="I742" s="148"/>
      <c r="J742" s="161"/>
      <c r="K742" s="161"/>
      <c r="L742" s="161"/>
      <c r="M742" s="161" t="s">
        <v>101</v>
      </c>
      <c r="N742" s="161" t="s">
        <v>848</v>
      </c>
      <c r="O742" s="148" t="s">
        <v>79</v>
      </c>
      <c r="P742" s="148" t="s">
        <v>167</v>
      </c>
      <c r="Q742" s="179">
        <v>220</v>
      </c>
      <c r="R742" s="179"/>
      <c r="S742" s="179">
        <v>2000</v>
      </c>
      <c r="T742" s="179"/>
      <c r="U742" s="179">
        <v>3500</v>
      </c>
      <c r="V742" s="148"/>
      <c r="W742" s="159"/>
      <c r="X742" s="159"/>
      <c r="Y742" s="159"/>
      <c r="Z742" s="159"/>
      <c r="AA742" s="159"/>
      <c r="AB742" s="159"/>
      <c r="AC742" s="159"/>
      <c r="AD742" s="159"/>
      <c r="AE742" s="159"/>
      <c r="AF742" s="159"/>
      <c r="AG742" s="159"/>
      <c r="AH742" s="159"/>
      <c r="AI742" s="159"/>
      <c r="AJ742" s="159"/>
      <c r="AK742" s="159"/>
      <c r="AL742" s="159"/>
      <c r="AM742" s="159"/>
      <c r="AN742" s="159"/>
      <c r="AO742" s="159"/>
      <c r="AP742" s="159"/>
      <c r="AQ742" s="159"/>
      <c r="AR742" s="159"/>
      <c r="AS742" s="159"/>
      <c r="AT742" s="159"/>
      <c r="AU742" s="159"/>
      <c r="AV742" s="159"/>
      <c r="AW742" s="159"/>
      <c r="AX742" s="159"/>
      <c r="AY742" s="159"/>
      <c r="AZ742" s="159"/>
      <c r="BA742" s="159"/>
      <c r="BB742" s="159"/>
      <c r="BC742" s="159"/>
      <c r="BD742" s="159"/>
      <c r="BE742" s="159"/>
      <c r="BF742" s="159"/>
      <c r="BG742" s="159"/>
      <c r="BH742" s="159"/>
      <c r="BI742" s="159"/>
      <c r="BJ742" s="159"/>
      <c r="BK742" s="159"/>
      <c r="BL742" s="159"/>
      <c r="BM742" s="159"/>
      <c r="BN742" s="159"/>
      <c r="BO742" s="159"/>
      <c r="BP742" s="159"/>
      <c r="BQ742" s="159"/>
      <c r="BR742" s="159"/>
      <c r="BS742" s="159"/>
      <c r="BT742" s="159"/>
      <c r="BU742" s="159"/>
      <c r="BV742" s="159"/>
      <c r="BW742" s="159"/>
      <c r="BX742" s="159"/>
      <c r="BY742" s="159"/>
    </row>
    <row r="743" spans="1:77" x14ac:dyDescent="0.15">
      <c r="A743" s="159">
        <v>1416020013</v>
      </c>
      <c r="B743" s="190" t="s">
        <v>622</v>
      </c>
      <c r="C743" s="148" t="s">
        <v>100</v>
      </c>
      <c r="D743" s="159"/>
      <c r="E743" s="148" t="s">
        <v>83</v>
      </c>
      <c r="F743" s="148">
        <v>40000</v>
      </c>
      <c r="G743" s="148"/>
      <c r="H743" s="148"/>
      <c r="I743" s="148"/>
      <c r="J743" s="161"/>
      <c r="K743" s="161"/>
      <c r="L743" s="161"/>
      <c r="M743" s="161" t="s">
        <v>101</v>
      </c>
      <c r="N743" s="161" t="s">
        <v>842</v>
      </c>
      <c r="O743" s="148" t="s">
        <v>79</v>
      </c>
      <c r="P743" s="148" t="s">
        <v>102</v>
      </c>
      <c r="Q743" s="179">
        <v>100</v>
      </c>
      <c r="R743" s="179"/>
      <c r="S743" s="179">
        <v>2000</v>
      </c>
      <c r="T743" s="179"/>
      <c r="U743" s="179">
        <v>3500</v>
      </c>
      <c r="V743" s="148"/>
      <c r="W743" s="159"/>
      <c r="X743" s="159"/>
      <c r="Y743" s="159"/>
      <c r="Z743" s="159"/>
      <c r="AA743" s="159"/>
      <c r="AB743" s="159"/>
      <c r="AC743" s="159"/>
      <c r="AD743" s="159"/>
      <c r="AE743" s="159"/>
      <c r="AF743" s="159"/>
      <c r="AG743" s="159"/>
      <c r="AH743" s="159"/>
      <c r="AI743" s="159"/>
      <c r="AJ743" s="159" t="s">
        <v>90</v>
      </c>
      <c r="AK743" s="159"/>
      <c r="AL743" s="159"/>
      <c r="AM743" s="159"/>
      <c r="AN743" s="159"/>
      <c r="AO743" s="159"/>
      <c r="AP743" s="159"/>
      <c r="AQ743" s="159"/>
      <c r="AR743" s="159"/>
      <c r="AS743" s="159"/>
      <c r="AT743" s="159"/>
      <c r="AU743" s="159"/>
      <c r="AV743" s="159"/>
      <c r="AW743" s="159"/>
      <c r="AX743" s="159">
        <v>1416010201</v>
      </c>
      <c r="AY743" s="159">
        <v>1416010101</v>
      </c>
      <c r="AZ743" s="159"/>
      <c r="BA743" s="159"/>
      <c r="BB743" s="159"/>
      <c r="BC743" s="159"/>
      <c r="BD743" s="159"/>
      <c r="BE743" s="159"/>
      <c r="BF743" s="159"/>
      <c r="BG743" s="159"/>
      <c r="BH743" s="159"/>
      <c r="BI743" s="159"/>
      <c r="BJ743" s="159"/>
      <c r="BK743" s="159"/>
      <c r="BL743" s="159"/>
      <c r="BM743" s="159"/>
      <c r="BN743" s="159"/>
      <c r="BO743" s="159"/>
      <c r="BP743" s="159"/>
      <c r="BQ743" s="159"/>
      <c r="BR743" s="159"/>
      <c r="BS743" s="159"/>
      <c r="BT743" s="159"/>
      <c r="BU743" s="159"/>
      <c r="BV743" s="159"/>
      <c r="BW743" s="159"/>
      <c r="BX743" s="159"/>
      <c r="BY743" s="159"/>
    </row>
    <row r="744" spans="1:77" x14ac:dyDescent="0.15">
      <c r="A744" s="159">
        <v>1416020023</v>
      </c>
      <c r="B744" s="190" t="s">
        <v>622</v>
      </c>
      <c r="C744" s="148" t="s">
        <v>100</v>
      </c>
      <c r="D744" s="159"/>
      <c r="E744" s="148" t="s">
        <v>83</v>
      </c>
      <c r="F744" s="148">
        <v>40000</v>
      </c>
      <c r="G744" s="148"/>
      <c r="H744" s="148"/>
      <c r="I744" s="148"/>
      <c r="J744" s="161"/>
      <c r="K744" s="161"/>
      <c r="L744" s="161"/>
      <c r="M744" s="161" t="s">
        <v>101</v>
      </c>
      <c r="N744" s="161" t="s">
        <v>842</v>
      </c>
      <c r="O744" s="148" t="s">
        <v>79</v>
      </c>
      <c r="P744" s="148" t="s">
        <v>102</v>
      </c>
      <c r="Q744" s="179">
        <v>150</v>
      </c>
      <c r="R744" s="179"/>
      <c r="S744" s="179">
        <v>2000</v>
      </c>
      <c r="T744" s="179"/>
      <c r="U744" s="179">
        <v>3500</v>
      </c>
      <c r="V744" s="148"/>
      <c r="W744" s="159"/>
      <c r="X744" s="159"/>
      <c r="Y744" s="159"/>
      <c r="Z744" s="159"/>
      <c r="AA744" s="159"/>
      <c r="AB744" s="159"/>
      <c r="AC744" s="159"/>
      <c r="AD744" s="159"/>
      <c r="AE744" s="159"/>
      <c r="AF744" s="159"/>
      <c r="AG744" s="159"/>
      <c r="AH744" s="159"/>
      <c r="AI744" s="159"/>
      <c r="AJ744" s="159" t="s">
        <v>90</v>
      </c>
      <c r="AK744" s="159"/>
      <c r="AL744" s="159"/>
      <c r="AM744" s="159"/>
      <c r="AN744" s="159"/>
      <c r="AO744" s="159"/>
      <c r="AP744" s="159"/>
      <c r="AQ744" s="159"/>
      <c r="AR744" s="159"/>
      <c r="AS744" s="159"/>
      <c r="AT744" s="159"/>
      <c r="AU744" s="159"/>
      <c r="AV744" s="159"/>
      <c r="AW744" s="159"/>
      <c r="AX744" s="159">
        <v>1416010202</v>
      </c>
      <c r="AY744" s="159">
        <v>1416010102</v>
      </c>
      <c r="AZ744" s="159"/>
      <c r="BA744" s="159"/>
      <c r="BB744" s="159"/>
      <c r="BC744" s="159"/>
      <c r="BD744" s="159"/>
      <c r="BE744" s="159"/>
      <c r="BF744" s="159"/>
      <c r="BG744" s="159"/>
      <c r="BH744" s="159"/>
      <c r="BI744" s="159"/>
      <c r="BJ744" s="159"/>
      <c r="BK744" s="159"/>
      <c r="BL744" s="159"/>
      <c r="BM744" s="159"/>
      <c r="BN744" s="159"/>
      <c r="BO744" s="159"/>
      <c r="BP744" s="159"/>
      <c r="BQ744" s="159"/>
      <c r="BR744" s="159"/>
      <c r="BS744" s="159"/>
      <c r="BT744" s="159"/>
      <c r="BU744" s="159"/>
      <c r="BV744" s="159"/>
      <c r="BW744" s="159"/>
      <c r="BX744" s="159"/>
      <c r="BY744" s="159"/>
    </row>
    <row r="745" spans="1:77" x14ac:dyDescent="0.15">
      <c r="A745" s="159">
        <v>1416020033</v>
      </c>
      <c r="B745" s="190" t="s">
        <v>622</v>
      </c>
      <c r="C745" s="148" t="s">
        <v>100</v>
      </c>
      <c r="D745" s="159"/>
      <c r="E745" s="148" t="s">
        <v>83</v>
      </c>
      <c r="F745" s="148">
        <v>40000</v>
      </c>
      <c r="G745" s="148"/>
      <c r="H745" s="148"/>
      <c r="I745" s="148"/>
      <c r="J745" s="161"/>
      <c r="K745" s="161"/>
      <c r="L745" s="161"/>
      <c r="M745" s="161" t="s">
        <v>101</v>
      </c>
      <c r="N745" s="161" t="s">
        <v>842</v>
      </c>
      <c r="O745" s="148" t="s">
        <v>79</v>
      </c>
      <c r="P745" s="148" t="s">
        <v>102</v>
      </c>
      <c r="Q745" s="179">
        <v>200</v>
      </c>
      <c r="R745" s="179"/>
      <c r="S745" s="179">
        <v>2000</v>
      </c>
      <c r="T745" s="179"/>
      <c r="U745" s="179">
        <v>3500</v>
      </c>
      <c r="V745" s="148"/>
      <c r="W745" s="159"/>
      <c r="X745" s="159"/>
      <c r="Y745" s="159"/>
      <c r="Z745" s="159"/>
      <c r="AA745" s="159"/>
      <c r="AB745" s="159"/>
      <c r="AC745" s="159"/>
      <c r="AD745" s="159"/>
      <c r="AE745" s="159"/>
      <c r="AF745" s="159"/>
      <c r="AG745" s="159"/>
      <c r="AH745" s="159"/>
      <c r="AI745" s="159"/>
      <c r="AJ745" s="159" t="s">
        <v>90</v>
      </c>
      <c r="AK745" s="159"/>
      <c r="AL745" s="159"/>
      <c r="AM745" s="159"/>
      <c r="AN745" s="159"/>
      <c r="AO745" s="159"/>
      <c r="AP745" s="159"/>
      <c r="AQ745" s="159"/>
      <c r="AR745" s="159"/>
      <c r="AS745" s="159"/>
      <c r="AT745" s="159"/>
      <c r="AU745" s="159"/>
      <c r="AV745" s="159"/>
      <c r="AW745" s="159"/>
      <c r="AX745" s="159">
        <v>1416010203</v>
      </c>
      <c r="AY745" s="159">
        <v>1416010103</v>
      </c>
      <c r="AZ745" s="159"/>
      <c r="BA745" s="159"/>
      <c r="BB745" s="159"/>
      <c r="BC745" s="159"/>
      <c r="BD745" s="159"/>
      <c r="BE745" s="159"/>
      <c r="BF745" s="159"/>
      <c r="BG745" s="159"/>
      <c r="BH745" s="159"/>
      <c r="BI745" s="159"/>
      <c r="BJ745" s="159"/>
      <c r="BK745" s="159"/>
      <c r="BL745" s="159"/>
      <c r="BM745" s="159"/>
      <c r="BN745" s="159"/>
      <c r="BO745" s="159"/>
      <c r="BP745" s="159"/>
      <c r="BQ745" s="159"/>
      <c r="BR745" s="159"/>
      <c r="BS745" s="159"/>
      <c r="BT745" s="159"/>
      <c r="BU745" s="159"/>
      <c r="BV745" s="159"/>
      <c r="BW745" s="159"/>
      <c r="BX745" s="159"/>
      <c r="BY745" s="159"/>
    </row>
    <row r="746" spans="1:77" x14ac:dyDescent="0.15">
      <c r="A746" s="159">
        <v>1416020043</v>
      </c>
      <c r="B746" s="190" t="s">
        <v>622</v>
      </c>
      <c r="C746" s="148" t="s">
        <v>100</v>
      </c>
      <c r="D746" s="159"/>
      <c r="E746" s="148" t="s">
        <v>83</v>
      </c>
      <c r="F746" s="148">
        <v>40000</v>
      </c>
      <c r="G746" s="148"/>
      <c r="H746" s="148"/>
      <c r="I746" s="148"/>
      <c r="J746" s="161"/>
      <c r="K746" s="161"/>
      <c r="L746" s="161"/>
      <c r="M746" s="161" t="s">
        <v>101</v>
      </c>
      <c r="N746" s="161" t="s">
        <v>842</v>
      </c>
      <c r="O746" s="148" t="s">
        <v>79</v>
      </c>
      <c r="P746" s="148" t="s">
        <v>102</v>
      </c>
      <c r="Q746" s="179">
        <v>250</v>
      </c>
      <c r="R746" s="179"/>
      <c r="S746" s="179">
        <v>2000</v>
      </c>
      <c r="T746" s="179"/>
      <c r="U746" s="179">
        <v>3500</v>
      </c>
      <c r="V746" s="148"/>
      <c r="W746" s="159"/>
      <c r="X746" s="159"/>
      <c r="Y746" s="159"/>
      <c r="Z746" s="159"/>
      <c r="AA746" s="159"/>
      <c r="AB746" s="159"/>
      <c r="AC746" s="159"/>
      <c r="AD746" s="159"/>
      <c r="AE746" s="159"/>
      <c r="AF746" s="159"/>
      <c r="AG746" s="159"/>
      <c r="AH746" s="159"/>
      <c r="AI746" s="159"/>
      <c r="AJ746" s="159" t="s">
        <v>90</v>
      </c>
      <c r="AK746" s="159"/>
      <c r="AL746" s="159"/>
      <c r="AM746" s="159"/>
      <c r="AN746" s="159"/>
      <c r="AO746" s="159"/>
      <c r="AP746" s="159"/>
      <c r="AQ746" s="159"/>
      <c r="AR746" s="159"/>
      <c r="AS746" s="159"/>
      <c r="AT746" s="159"/>
      <c r="AU746" s="159"/>
      <c r="AV746" s="159"/>
      <c r="AW746" s="159"/>
      <c r="AX746" s="159">
        <v>1416010204</v>
      </c>
      <c r="AY746" s="159">
        <v>1416010104</v>
      </c>
      <c r="AZ746" s="159"/>
      <c r="BA746" s="159"/>
      <c r="BB746" s="159"/>
      <c r="BC746" s="159"/>
      <c r="BD746" s="159"/>
      <c r="BE746" s="159"/>
      <c r="BF746" s="159"/>
      <c r="BG746" s="159"/>
      <c r="BH746" s="159"/>
      <c r="BI746" s="159"/>
      <c r="BJ746" s="159"/>
      <c r="BK746" s="159"/>
      <c r="BL746" s="159"/>
      <c r="BM746" s="159"/>
      <c r="BN746" s="159"/>
      <c r="BO746" s="159"/>
      <c r="BP746" s="159"/>
      <c r="BQ746" s="159"/>
      <c r="BR746" s="159"/>
      <c r="BS746" s="159"/>
      <c r="BT746" s="159"/>
      <c r="BU746" s="159"/>
      <c r="BV746" s="159"/>
      <c r="BW746" s="159"/>
      <c r="BX746" s="159"/>
      <c r="BY746" s="159"/>
    </row>
    <row r="747" spans="1:77" x14ac:dyDescent="0.15">
      <c r="A747" s="159">
        <v>1416020011</v>
      </c>
      <c r="B747" s="190" t="s">
        <v>623</v>
      </c>
      <c r="C747" s="148" t="s">
        <v>89</v>
      </c>
      <c r="D747" s="159"/>
      <c r="E747" s="148" t="s">
        <v>78</v>
      </c>
      <c r="F747" s="148"/>
      <c r="G747" s="148"/>
      <c r="H747" s="148"/>
      <c r="I747" s="148"/>
      <c r="J747" s="161"/>
      <c r="K747" s="161"/>
      <c r="L747" s="161"/>
      <c r="M747" s="161" t="s">
        <v>101</v>
      </c>
      <c r="N747" s="161"/>
      <c r="O747" s="148" t="s">
        <v>98</v>
      </c>
      <c r="P747" s="148"/>
      <c r="Q747" s="148"/>
      <c r="R747" s="148"/>
      <c r="S747" s="148"/>
      <c r="T747" s="148"/>
      <c r="U747" s="148"/>
      <c r="V747" s="148"/>
      <c r="W747" s="159"/>
      <c r="X747" s="159"/>
      <c r="Y747" s="159"/>
      <c r="Z747" s="159"/>
      <c r="AA747" s="159"/>
      <c r="AB747" s="159"/>
      <c r="AC747" s="159"/>
      <c r="AD747" s="159"/>
      <c r="AE747" s="159">
        <v>141602001</v>
      </c>
      <c r="AF747" s="159"/>
      <c r="AG747" s="159"/>
      <c r="AH747" s="159"/>
      <c r="AI747" s="159"/>
      <c r="AJ747" s="159"/>
      <c r="AK747" s="159"/>
      <c r="AL747" s="159"/>
      <c r="AM747" s="159"/>
      <c r="AN747" s="159"/>
      <c r="AO747" s="159"/>
      <c r="AP747" s="159"/>
      <c r="AQ747" s="159"/>
      <c r="AR747" s="159"/>
      <c r="AS747" s="159"/>
      <c r="AT747" s="159"/>
      <c r="AU747" s="159"/>
      <c r="AV747" s="159"/>
      <c r="AW747" s="159"/>
      <c r="AX747" s="159"/>
      <c r="AY747" s="159"/>
      <c r="AZ747" s="159"/>
      <c r="BA747" s="159"/>
      <c r="BB747" s="159"/>
      <c r="BC747" s="159"/>
      <c r="BD747" s="159"/>
      <c r="BE747" s="159"/>
      <c r="BF747" s="159"/>
      <c r="BG747" s="159"/>
      <c r="BH747" s="159"/>
      <c r="BI747" s="159"/>
      <c r="BJ747" s="159"/>
      <c r="BK747" s="159"/>
      <c r="BL747" s="159"/>
      <c r="BM747" s="159"/>
      <c r="BN747" s="159"/>
      <c r="BO747" s="159"/>
      <c r="BP747" s="159"/>
      <c r="BQ747" s="159"/>
      <c r="BR747" s="159"/>
      <c r="BS747" s="159"/>
      <c r="BT747" s="159"/>
      <c r="BU747" s="159"/>
      <c r="BV747" s="159"/>
      <c r="BW747" s="159"/>
      <c r="BX747" s="159"/>
      <c r="BY747" s="159"/>
    </row>
    <row r="748" spans="1:77" x14ac:dyDescent="0.15">
      <c r="A748" s="159">
        <v>1416020021</v>
      </c>
      <c r="B748" s="190" t="s">
        <v>623</v>
      </c>
      <c r="C748" s="148" t="s">
        <v>89</v>
      </c>
      <c r="D748" s="159"/>
      <c r="E748" s="148" t="s">
        <v>78</v>
      </c>
      <c r="F748" s="148"/>
      <c r="G748" s="148"/>
      <c r="H748" s="148"/>
      <c r="I748" s="148"/>
      <c r="J748" s="161"/>
      <c r="K748" s="161"/>
      <c r="L748" s="161"/>
      <c r="M748" s="161" t="s">
        <v>101</v>
      </c>
      <c r="N748" s="161"/>
      <c r="O748" s="148" t="s">
        <v>98</v>
      </c>
      <c r="P748" s="148"/>
      <c r="Q748" s="148"/>
      <c r="R748" s="148"/>
      <c r="S748" s="148"/>
      <c r="T748" s="148"/>
      <c r="U748" s="148"/>
      <c r="V748" s="148"/>
      <c r="W748" s="159"/>
      <c r="X748" s="159"/>
      <c r="Y748" s="159"/>
      <c r="Z748" s="159"/>
      <c r="AA748" s="159"/>
      <c r="AB748" s="159"/>
      <c r="AC748" s="159"/>
      <c r="AD748" s="159"/>
      <c r="AE748" s="159">
        <v>141602002</v>
      </c>
      <c r="AF748" s="159"/>
      <c r="AG748" s="159"/>
      <c r="AH748" s="159"/>
      <c r="AI748" s="159"/>
      <c r="AJ748" s="159"/>
      <c r="AK748" s="159"/>
      <c r="AL748" s="159"/>
      <c r="AM748" s="159"/>
      <c r="AN748" s="159"/>
      <c r="AO748" s="159"/>
      <c r="AP748" s="159"/>
      <c r="AQ748" s="159"/>
      <c r="AR748" s="159"/>
      <c r="AS748" s="159"/>
      <c r="AT748" s="159"/>
      <c r="AU748" s="159"/>
      <c r="AV748" s="159"/>
      <c r="AW748" s="159"/>
      <c r="AX748" s="159"/>
      <c r="AY748" s="159"/>
      <c r="AZ748" s="159"/>
      <c r="BA748" s="159"/>
      <c r="BB748" s="159"/>
      <c r="BC748" s="159"/>
      <c r="BD748" s="159"/>
      <c r="BE748" s="159"/>
      <c r="BF748" s="159"/>
      <c r="BG748" s="159"/>
      <c r="BH748" s="159"/>
      <c r="BI748" s="159"/>
      <c r="BJ748" s="159"/>
      <c r="BK748" s="159"/>
      <c r="BL748" s="159"/>
      <c r="BM748" s="159"/>
      <c r="BN748" s="159"/>
      <c r="BO748" s="159"/>
      <c r="BP748" s="159"/>
      <c r="BQ748" s="159"/>
      <c r="BR748" s="159"/>
      <c r="BS748" s="159"/>
      <c r="BT748" s="159"/>
      <c r="BU748" s="159"/>
      <c r="BV748" s="159"/>
      <c r="BW748" s="159"/>
      <c r="BX748" s="159"/>
      <c r="BY748" s="159"/>
    </row>
    <row r="749" spans="1:77" x14ac:dyDescent="0.15">
      <c r="A749" s="159">
        <v>1416020031</v>
      </c>
      <c r="B749" s="190" t="s">
        <v>623</v>
      </c>
      <c r="C749" s="148" t="s">
        <v>89</v>
      </c>
      <c r="D749" s="159"/>
      <c r="E749" s="148" t="s">
        <v>78</v>
      </c>
      <c r="F749" s="148"/>
      <c r="G749" s="148"/>
      <c r="H749" s="148"/>
      <c r="I749" s="148"/>
      <c r="J749" s="161"/>
      <c r="K749" s="161"/>
      <c r="L749" s="161"/>
      <c r="M749" s="161" t="s">
        <v>101</v>
      </c>
      <c r="N749" s="161"/>
      <c r="O749" s="148" t="s">
        <v>98</v>
      </c>
      <c r="P749" s="148"/>
      <c r="Q749" s="148"/>
      <c r="R749" s="148"/>
      <c r="S749" s="148"/>
      <c r="T749" s="148"/>
      <c r="U749" s="148"/>
      <c r="V749" s="148"/>
      <c r="W749" s="159"/>
      <c r="X749" s="159"/>
      <c r="Y749" s="159"/>
      <c r="Z749" s="159"/>
      <c r="AA749" s="159"/>
      <c r="AB749" s="159"/>
      <c r="AC749" s="159"/>
      <c r="AD749" s="159"/>
      <c r="AE749" s="159">
        <v>141602003</v>
      </c>
      <c r="AF749" s="159"/>
      <c r="AG749" s="159"/>
      <c r="AH749" s="159"/>
      <c r="AI749" s="159"/>
      <c r="AJ749" s="159"/>
      <c r="AK749" s="159"/>
      <c r="AL749" s="159"/>
      <c r="AM749" s="159"/>
      <c r="AN749" s="159"/>
      <c r="AO749" s="159"/>
      <c r="AP749" s="159"/>
      <c r="AQ749" s="159"/>
      <c r="AR749" s="159"/>
      <c r="AS749" s="159"/>
      <c r="AT749" s="159"/>
      <c r="AU749" s="159"/>
      <c r="AV749" s="159"/>
      <c r="AW749" s="159"/>
      <c r="AX749" s="159"/>
      <c r="AY749" s="159"/>
      <c r="AZ749" s="159"/>
      <c r="BA749" s="159"/>
      <c r="BB749" s="159"/>
      <c r="BC749" s="159"/>
      <c r="BD749" s="159"/>
      <c r="BE749" s="159"/>
      <c r="BF749" s="159"/>
      <c r="BG749" s="159"/>
      <c r="BH749" s="159"/>
      <c r="BI749" s="159"/>
      <c r="BJ749" s="159"/>
      <c r="BK749" s="159"/>
      <c r="BL749" s="159"/>
      <c r="BM749" s="159"/>
      <c r="BN749" s="159"/>
      <c r="BO749" s="159"/>
      <c r="BP749" s="159"/>
      <c r="BQ749" s="159"/>
      <c r="BR749" s="159"/>
      <c r="BS749" s="159"/>
      <c r="BT749" s="159"/>
      <c r="BU749" s="159"/>
      <c r="BV749" s="159"/>
      <c r="BW749" s="159"/>
      <c r="BX749" s="159"/>
      <c r="BY749" s="159"/>
    </row>
    <row r="750" spans="1:77" x14ac:dyDescent="0.15">
      <c r="A750" s="159">
        <v>1416020041</v>
      </c>
      <c r="B750" s="190" t="s">
        <v>623</v>
      </c>
      <c r="C750" s="148" t="s">
        <v>89</v>
      </c>
      <c r="D750" s="159"/>
      <c r="E750" s="148" t="s">
        <v>78</v>
      </c>
      <c r="F750" s="148"/>
      <c r="G750" s="148"/>
      <c r="H750" s="148"/>
      <c r="I750" s="148"/>
      <c r="J750" s="161"/>
      <c r="K750" s="161"/>
      <c r="L750" s="161"/>
      <c r="M750" s="161" t="s">
        <v>101</v>
      </c>
      <c r="N750" s="161"/>
      <c r="O750" s="148" t="s">
        <v>98</v>
      </c>
      <c r="P750" s="148"/>
      <c r="Q750" s="148"/>
      <c r="R750" s="148"/>
      <c r="S750" s="148"/>
      <c r="T750" s="148"/>
      <c r="U750" s="148"/>
      <c r="V750" s="148"/>
      <c r="W750" s="159"/>
      <c r="X750" s="159"/>
      <c r="Y750" s="159"/>
      <c r="Z750" s="159"/>
      <c r="AA750" s="159"/>
      <c r="AB750" s="159"/>
      <c r="AC750" s="159"/>
      <c r="AD750" s="159"/>
      <c r="AE750" s="159">
        <v>141602004</v>
      </c>
      <c r="AF750" s="159"/>
      <c r="AG750" s="159"/>
      <c r="AH750" s="159"/>
      <c r="AI750" s="159"/>
      <c r="AJ750" s="159"/>
      <c r="AK750" s="159"/>
      <c r="AL750" s="159"/>
      <c r="AM750" s="159"/>
      <c r="AN750" s="159"/>
      <c r="AO750" s="159"/>
      <c r="AP750" s="159"/>
      <c r="AQ750" s="159"/>
      <c r="AR750" s="159"/>
      <c r="AS750" s="159"/>
      <c r="AT750" s="159"/>
      <c r="AU750" s="159"/>
      <c r="AV750" s="159"/>
      <c r="AW750" s="159"/>
      <c r="AX750" s="159"/>
      <c r="AY750" s="159"/>
      <c r="AZ750" s="159"/>
      <c r="BA750" s="159"/>
      <c r="BB750" s="159"/>
      <c r="BC750" s="159"/>
      <c r="BD750" s="159"/>
      <c r="BE750" s="159"/>
      <c r="BF750" s="159"/>
      <c r="BG750" s="159"/>
      <c r="BH750" s="159"/>
      <c r="BI750" s="159"/>
      <c r="BJ750" s="159"/>
      <c r="BK750" s="159"/>
      <c r="BL750" s="159"/>
      <c r="BM750" s="159"/>
      <c r="BN750" s="159"/>
      <c r="BO750" s="159"/>
      <c r="BP750" s="159"/>
      <c r="BQ750" s="159"/>
      <c r="BR750" s="159"/>
      <c r="BS750" s="159"/>
      <c r="BT750" s="159"/>
      <c r="BU750" s="159"/>
      <c r="BV750" s="159"/>
      <c r="BW750" s="159"/>
      <c r="BX750" s="159"/>
      <c r="BY750" s="159"/>
    </row>
    <row r="751" spans="1:77" x14ac:dyDescent="0.15">
      <c r="A751" s="159">
        <v>1416020012</v>
      </c>
      <c r="B751" s="190" t="s">
        <v>624</v>
      </c>
      <c r="C751" s="148" t="s">
        <v>100</v>
      </c>
      <c r="D751" s="159"/>
      <c r="E751" s="148" t="s">
        <v>83</v>
      </c>
      <c r="F751" s="148">
        <v>40000</v>
      </c>
      <c r="G751" s="148"/>
      <c r="H751" s="148"/>
      <c r="I751" s="148"/>
      <c r="J751" s="161"/>
      <c r="K751" s="161"/>
      <c r="L751" s="161"/>
      <c r="M751" s="161" t="s">
        <v>101</v>
      </c>
      <c r="N751" s="161" t="s">
        <v>842</v>
      </c>
      <c r="O751" s="148" t="s">
        <v>79</v>
      </c>
      <c r="P751" s="148" t="s">
        <v>102</v>
      </c>
      <c r="Q751" s="148">
        <v>100</v>
      </c>
      <c r="R751" s="148"/>
      <c r="S751" s="148">
        <v>2000</v>
      </c>
      <c r="T751" s="148"/>
      <c r="U751" s="179">
        <v>3500</v>
      </c>
      <c r="V751" s="148"/>
      <c r="W751" s="159"/>
      <c r="X751" s="159"/>
      <c r="Y751" s="159"/>
      <c r="Z751" s="159"/>
      <c r="AA751" s="159"/>
      <c r="AB751" s="159"/>
      <c r="AC751" s="159"/>
      <c r="AD751" s="159"/>
      <c r="AE751" s="159"/>
      <c r="AF751" s="159"/>
      <c r="AG751" s="159"/>
      <c r="AH751" s="159"/>
      <c r="AI751" s="159"/>
      <c r="AJ751" s="159"/>
      <c r="AK751" s="159"/>
      <c r="AL751" s="159"/>
      <c r="AM751" s="159"/>
      <c r="AN751" s="159"/>
      <c r="AO751" s="159"/>
      <c r="AP751" s="159"/>
      <c r="AQ751" s="159"/>
      <c r="AR751" s="159"/>
      <c r="AS751" s="159"/>
      <c r="AT751" s="159"/>
      <c r="AU751" s="159"/>
      <c r="AV751" s="159"/>
      <c r="AW751" s="159"/>
      <c r="AX751" s="159"/>
      <c r="AY751" s="159"/>
      <c r="AZ751" s="159"/>
      <c r="BA751" s="159"/>
      <c r="BB751" s="159"/>
      <c r="BC751" s="159"/>
      <c r="BD751" s="159"/>
      <c r="BE751" s="159"/>
      <c r="BF751" s="159"/>
      <c r="BG751" s="159"/>
      <c r="BH751" s="159"/>
      <c r="BI751" s="159"/>
      <c r="BJ751" s="159"/>
      <c r="BK751" s="159"/>
      <c r="BL751" s="159"/>
      <c r="BM751" s="159"/>
      <c r="BN751" s="159"/>
      <c r="BO751" s="159"/>
      <c r="BP751" s="159"/>
      <c r="BQ751" s="159"/>
      <c r="BR751" s="159"/>
      <c r="BS751" s="159"/>
      <c r="BT751" s="159"/>
      <c r="BU751" s="159"/>
      <c r="BV751" s="159"/>
      <c r="BW751" s="159"/>
      <c r="BX751" s="159"/>
      <c r="BY751" s="159"/>
    </row>
    <row r="752" spans="1:77" x14ac:dyDescent="0.15">
      <c r="A752" s="159">
        <v>1416020022</v>
      </c>
      <c r="B752" s="190" t="s">
        <v>624</v>
      </c>
      <c r="C752" s="148" t="s">
        <v>100</v>
      </c>
      <c r="D752" s="159"/>
      <c r="E752" s="148" t="s">
        <v>83</v>
      </c>
      <c r="F752" s="148">
        <v>40000</v>
      </c>
      <c r="G752" s="148"/>
      <c r="H752" s="148"/>
      <c r="I752" s="148"/>
      <c r="J752" s="161"/>
      <c r="K752" s="161"/>
      <c r="L752" s="161"/>
      <c r="M752" s="161" t="s">
        <v>101</v>
      </c>
      <c r="N752" s="161" t="s">
        <v>842</v>
      </c>
      <c r="O752" s="148" t="s">
        <v>79</v>
      </c>
      <c r="P752" s="148" t="s">
        <v>102</v>
      </c>
      <c r="Q752" s="148">
        <v>150</v>
      </c>
      <c r="R752" s="148"/>
      <c r="S752" s="148">
        <v>2000</v>
      </c>
      <c r="T752" s="148"/>
      <c r="U752" s="179">
        <v>3500</v>
      </c>
      <c r="V752" s="148"/>
      <c r="W752" s="159"/>
      <c r="X752" s="159"/>
      <c r="Y752" s="159"/>
      <c r="Z752" s="159"/>
      <c r="AA752" s="159"/>
      <c r="AB752" s="159"/>
      <c r="AC752" s="159"/>
      <c r="AD752" s="159"/>
      <c r="AE752" s="159"/>
      <c r="AF752" s="159"/>
      <c r="AG752" s="159"/>
      <c r="AH752" s="159"/>
      <c r="AI752" s="159"/>
      <c r="AJ752" s="159"/>
      <c r="AK752" s="159"/>
      <c r="AL752" s="159"/>
      <c r="AM752" s="159"/>
      <c r="AN752" s="159"/>
      <c r="AO752" s="159"/>
      <c r="AP752" s="159"/>
      <c r="AQ752" s="159"/>
      <c r="AR752" s="159"/>
      <c r="AS752" s="159"/>
      <c r="AT752" s="159"/>
      <c r="AU752" s="159"/>
      <c r="AV752" s="159"/>
      <c r="AW752" s="159"/>
      <c r="AX752" s="159"/>
      <c r="AY752" s="159"/>
      <c r="AZ752" s="159"/>
      <c r="BA752" s="159"/>
      <c r="BB752" s="159"/>
      <c r="BC752" s="159"/>
      <c r="BD752" s="159"/>
      <c r="BE752" s="159"/>
      <c r="BF752" s="159"/>
      <c r="BG752" s="159"/>
      <c r="BH752" s="159"/>
      <c r="BI752" s="159"/>
      <c r="BJ752" s="159"/>
      <c r="BK752" s="159"/>
      <c r="BL752" s="159"/>
      <c r="BM752" s="159"/>
      <c r="BN752" s="159"/>
      <c r="BO752" s="159"/>
      <c r="BP752" s="159"/>
      <c r="BQ752" s="159"/>
      <c r="BR752" s="159"/>
      <c r="BS752" s="159"/>
      <c r="BT752" s="159"/>
      <c r="BU752" s="159"/>
      <c r="BV752" s="159"/>
      <c r="BW752" s="159"/>
      <c r="BX752" s="159"/>
      <c r="BY752" s="159"/>
    </row>
    <row r="753" spans="1:77" x14ac:dyDescent="0.15">
      <c r="A753" s="159">
        <v>1416020032</v>
      </c>
      <c r="B753" s="190" t="s">
        <v>624</v>
      </c>
      <c r="C753" s="148" t="s">
        <v>100</v>
      </c>
      <c r="D753" s="159"/>
      <c r="E753" s="148" t="s">
        <v>83</v>
      </c>
      <c r="F753" s="148">
        <v>40000</v>
      </c>
      <c r="G753" s="148"/>
      <c r="H753" s="148"/>
      <c r="I753" s="148"/>
      <c r="J753" s="161"/>
      <c r="K753" s="161"/>
      <c r="L753" s="161"/>
      <c r="M753" s="161" t="s">
        <v>101</v>
      </c>
      <c r="N753" s="161" t="s">
        <v>842</v>
      </c>
      <c r="O753" s="148" t="s">
        <v>79</v>
      </c>
      <c r="P753" s="148" t="s">
        <v>102</v>
      </c>
      <c r="Q753" s="148">
        <v>200</v>
      </c>
      <c r="R753" s="148"/>
      <c r="S753" s="148">
        <v>2000</v>
      </c>
      <c r="T753" s="148"/>
      <c r="U753" s="179">
        <v>3500</v>
      </c>
      <c r="V753" s="148"/>
      <c r="W753" s="159"/>
      <c r="X753" s="159"/>
      <c r="Y753" s="159"/>
      <c r="Z753" s="159"/>
      <c r="AA753" s="159"/>
      <c r="AB753" s="159"/>
      <c r="AC753" s="159"/>
      <c r="AD753" s="159"/>
      <c r="AE753" s="159"/>
      <c r="AF753" s="159"/>
      <c r="AG753" s="159"/>
      <c r="AH753" s="159"/>
      <c r="AI753" s="159"/>
      <c r="AJ753" s="159"/>
      <c r="AK753" s="159"/>
      <c r="AL753" s="159"/>
      <c r="AM753" s="159"/>
      <c r="AN753" s="159"/>
      <c r="AO753" s="159"/>
      <c r="AP753" s="159"/>
      <c r="AQ753" s="159"/>
      <c r="AR753" s="159"/>
      <c r="AS753" s="159"/>
      <c r="AT753" s="159"/>
      <c r="AU753" s="159"/>
      <c r="AV753" s="159"/>
      <c r="AW753" s="159"/>
      <c r="AX753" s="159"/>
      <c r="AY753" s="159"/>
      <c r="AZ753" s="159"/>
      <c r="BA753" s="159"/>
      <c r="BB753" s="159"/>
      <c r="BC753" s="159"/>
      <c r="BD753" s="159"/>
      <c r="BE753" s="159"/>
      <c r="BF753" s="159"/>
      <c r="BG753" s="159"/>
      <c r="BH753" s="159"/>
      <c r="BI753" s="159"/>
      <c r="BJ753" s="159"/>
      <c r="BK753" s="159"/>
      <c r="BL753" s="159"/>
      <c r="BM753" s="159"/>
      <c r="BN753" s="159"/>
      <c r="BO753" s="159"/>
      <c r="BP753" s="159"/>
      <c r="BQ753" s="159"/>
      <c r="BR753" s="159"/>
      <c r="BS753" s="159"/>
      <c r="BT753" s="159"/>
      <c r="BU753" s="159"/>
      <c r="BV753" s="159"/>
      <c r="BW753" s="159"/>
      <c r="BX753" s="159"/>
      <c r="BY753" s="159"/>
    </row>
    <row r="754" spans="1:77" x14ac:dyDescent="0.15">
      <c r="A754" s="159">
        <v>1416020042</v>
      </c>
      <c r="B754" s="190" t="s">
        <v>624</v>
      </c>
      <c r="C754" s="148" t="s">
        <v>100</v>
      </c>
      <c r="D754" s="159"/>
      <c r="E754" s="148" t="s">
        <v>83</v>
      </c>
      <c r="F754" s="148">
        <v>40000</v>
      </c>
      <c r="G754" s="148"/>
      <c r="H754" s="148"/>
      <c r="I754" s="148"/>
      <c r="J754" s="161"/>
      <c r="K754" s="161"/>
      <c r="L754" s="161"/>
      <c r="M754" s="161" t="s">
        <v>101</v>
      </c>
      <c r="N754" s="161" t="s">
        <v>842</v>
      </c>
      <c r="O754" s="148" t="s">
        <v>79</v>
      </c>
      <c r="P754" s="148" t="s">
        <v>102</v>
      </c>
      <c r="Q754" s="148">
        <v>250</v>
      </c>
      <c r="R754" s="148"/>
      <c r="S754" s="148">
        <v>2000</v>
      </c>
      <c r="T754" s="148"/>
      <c r="U754" s="179">
        <v>3500</v>
      </c>
      <c r="V754" s="148"/>
      <c r="W754" s="159"/>
      <c r="X754" s="159"/>
      <c r="Y754" s="159"/>
      <c r="Z754" s="159"/>
      <c r="AA754" s="159"/>
      <c r="AB754" s="159"/>
      <c r="AC754" s="159"/>
      <c r="AD754" s="159"/>
      <c r="AE754" s="159"/>
      <c r="AF754" s="159"/>
      <c r="AG754" s="159"/>
      <c r="AH754" s="159"/>
      <c r="AI754" s="159"/>
      <c r="AJ754" s="159"/>
      <c r="AK754" s="159"/>
      <c r="AL754" s="159"/>
      <c r="AM754" s="159"/>
      <c r="AN754" s="159"/>
      <c r="AO754" s="159"/>
      <c r="AP754" s="159"/>
      <c r="AQ754" s="159"/>
      <c r="AR754" s="159"/>
      <c r="AS754" s="159"/>
      <c r="AT754" s="159"/>
      <c r="AU754" s="159"/>
      <c r="AV754" s="159"/>
      <c r="AW754" s="159"/>
      <c r="AX754" s="159"/>
      <c r="AY754" s="159"/>
      <c r="AZ754" s="159"/>
      <c r="BA754" s="159"/>
      <c r="BB754" s="159"/>
      <c r="BC754" s="159"/>
      <c r="BD754" s="159"/>
      <c r="BE754" s="159"/>
      <c r="BF754" s="159"/>
      <c r="BG754" s="159"/>
      <c r="BH754" s="159"/>
      <c r="BI754" s="159"/>
      <c r="BJ754" s="159"/>
      <c r="BK754" s="159"/>
      <c r="BL754" s="159"/>
      <c r="BM754" s="159"/>
      <c r="BN754" s="159"/>
      <c r="BO754" s="159"/>
      <c r="BP754" s="159"/>
      <c r="BQ754" s="159"/>
      <c r="BR754" s="159"/>
      <c r="BS754" s="159"/>
      <c r="BT754" s="159"/>
      <c r="BU754" s="159"/>
      <c r="BV754" s="159"/>
      <c r="BW754" s="159"/>
      <c r="BX754" s="159"/>
      <c r="BY754" s="159"/>
    </row>
    <row r="755" spans="1:77" x14ac:dyDescent="0.15">
      <c r="A755" s="159">
        <v>1416040011</v>
      </c>
      <c r="B755" s="190" t="s">
        <v>625</v>
      </c>
      <c r="C755" s="148" t="s">
        <v>100</v>
      </c>
      <c r="D755" s="159"/>
      <c r="E755" s="148" t="s">
        <v>83</v>
      </c>
      <c r="F755" s="148">
        <v>100000</v>
      </c>
      <c r="G755" s="148"/>
      <c r="H755" s="148"/>
      <c r="I755" s="148"/>
      <c r="J755" s="161"/>
      <c r="K755" s="161"/>
      <c r="L755" s="161"/>
      <c r="M755" s="161" t="s">
        <v>101</v>
      </c>
      <c r="N755" s="161" t="s">
        <v>842</v>
      </c>
      <c r="O755" s="148" t="s">
        <v>79</v>
      </c>
      <c r="P755" s="148" t="s">
        <v>102</v>
      </c>
      <c r="Q755" s="148">
        <v>300</v>
      </c>
      <c r="R755" s="148"/>
      <c r="S755" s="148">
        <v>5000</v>
      </c>
      <c r="T755" s="148"/>
      <c r="U755" s="148">
        <v>10000</v>
      </c>
      <c r="V755" s="148"/>
      <c r="W755" s="159"/>
      <c r="X755" s="159"/>
      <c r="Y755" s="159"/>
      <c r="Z755" s="159"/>
      <c r="AA755" s="159"/>
      <c r="AB755" s="159"/>
      <c r="AC755" s="159"/>
      <c r="AD755" s="159"/>
      <c r="AE755" s="159"/>
      <c r="AF755" s="159"/>
      <c r="AG755" s="159"/>
      <c r="AH755" s="159"/>
      <c r="AI755" s="159"/>
      <c r="AJ755" s="159"/>
      <c r="AK755" s="159"/>
      <c r="AL755" s="159"/>
      <c r="AM755" s="159"/>
      <c r="AN755" s="159"/>
      <c r="AO755" s="159"/>
      <c r="AP755" s="159"/>
      <c r="AQ755" s="159"/>
      <c r="AR755" s="159"/>
      <c r="AS755" s="159"/>
      <c r="AT755" s="159"/>
      <c r="AU755" s="159"/>
      <c r="AV755" s="159"/>
      <c r="AW755" s="159"/>
      <c r="AX755" s="159"/>
      <c r="AY755" s="159"/>
      <c r="AZ755" s="159"/>
      <c r="BA755" s="159"/>
      <c r="BB755" s="159"/>
      <c r="BC755" s="159"/>
      <c r="BD755" s="159"/>
      <c r="BE755" s="159"/>
      <c r="BF755" s="159"/>
      <c r="BG755" s="159"/>
      <c r="BH755" s="159"/>
      <c r="BI755" s="159"/>
      <c r="BJ755" s="159"/>
      <c r="BK755" s="159"/>
      <c r="BL755" s="159"/>
      <c r="BM755" s="159"/>
      <c r="BN755" s="159"/>
      <c r="BO755" s="159"/>
      <c r="BP755" s="159"/>
      <c r="BQ755" s="159"/>
      <c r="BR755" s="159"/>
      <c r="BS755" s="159"/>
      <c r="BT755" s="159"/>
      <c r="BU755" s="159"/>
      <c r="BV755" s="159"/>
      <c r="BW755" s="159"/>
      <c r="BX755" s="159"/>
      <c r="BY755" s="159"/>
    </row>
    <row r="756" spans="1:77" x14ac:dyDescent="0.15">
      <c r="A756" s="159">
        <v>1416040021</v>
      </c>
      <c r="B756" s="190" t="s">
        <v>625</v>
      </c>
      <c r="C756" s="148" t="s">
        <v>100</v>
      </c>
      <c r="D756" s="159"/>
      <c r="E756" s="148" t="s">
        <v>83</v>
      </c>
      <c r="F756" s="148">
        <v>100000</v>
      </c>
      <c r="G756" s="148"/>
      <c r="H756" s="148"/>
      <c r="I756" s="148"/>
      <c r="J756" s="161"/>
      <c r="K756" s="161"/>
      <c r="L756" s="161"/>
      <c r="M756" s="161" t="s">
        <v>101</v>
      </c>
      <c r="N756" s="161" t="s">
        <v>842</v>
      </c>
      <c r="O756" s="148" t="s">
        <v>79</v>
      </c>
      <c r="P756" s="148" t="s">
        <v>102</v>
      </c>
      <c r="Q756" s="148">
        <v>400</v>
      </c>
      <c r="R756" s="148"/>
      <c r="S756" s="148">
        <v>5000</v>
      </c>
      <c r="T756" s="148"/>
      <c r="U756" s="148">
        <v>10000</v>
      </c>
      <c r="V756" s="148"/>
      <c r="W756" s="159"/>
      <c r="X756" s="159"/>
      <c r="Y756" s="159"/>
      <c r="Z756" s="159"/>
      <c r="AA756" s="159"/>
      <c r="AB756" s="159"/>
      <c r="AC756" s="159"/>
      <c r="AD756" s="159"/>
      <c r="AE756" s="159"/>
      <c r="AF756" s="159"/>
      <c r="AG756" s="159"/>
      <c r="AH756" s="159"/>
      <c r="AI756" s="159"/>
      <c r="AJ756" s="159"/>
      <c r="AK756" s="159"/>
      <c r="AL756" s="159"/>
      <c r="AM756" s="159"/>
      <c r="AN756" s="159"/>
      <c r="AO756" s="159"/>
      <c r="AP756" s="159"/>
      <c r="AQ756" s="159"/>
      <c r="AR756" s="159"/>
      <c r="AS756" s="159"/>
      <c r="AT756" s="159"/>
      <c r="AU756" s="159"/>
      <c r="AV756" s="159"/>
      <c r="AW756" s="159"/>
      <c r="AX756" s="159"/>
      <c r="AY756" s="159"/>
      <c r="AZ756" s="159"/>
      <c r="BA756" s="159"/>
      <c r="BB756" s="159"/>
      <c r="BC756" s="159"/>
      <c r="BD756" s="159"/>
      <c r="BE756" s="159"/>
      <c r="BF756" s="159"/>
      <c r="BG756" s="159"/>
      <c r="BH756" s="159"/>
      <c r="BI756" s="159"/>
      <c r="BJ756" s="159"/>
      <c r="BK756" s="159"/>
      <c r="BL756" s="159"/>
      <c r="BM756" s="159"/>
      <c r="BN756" s="159"/>
      <c r="BO756" s="159"/>
      <c r="BP756" s="159"/>
      <c r="BQ756" s="159"/>
      <c r="BR756" s="159"/>
      <c r="BS756" s="159"/>
      <c r="BT756" s="159"/>
      <c r="BU756" s="159"/>
      <c r="BV756" s="159"/>
      <c r="BW756" s="159"/>
      <c r="BX756" s="159"/>
      <c r="BY756" s="159"/>
    </row>
    <row r="757" spans="1:77" x14ac:dyDescent="0.15">
      <c r="A757" s="159">
        <v>1416040012</v>
      </c>
      <c r="B757" s="190" t="s">
        <v>626</v>
      </c>
      <c r="C757" s="148" t="s">
        <v>89</v>
      </c>
      <c r="D757" s="159"/>
      <c r="E757" s="148" t="s">
        <v>78</v>
      </c>
      <c r="F757" s="148"/>
      <c r="G757" s="148"/>
      <c r="H757" s="148"/>
      <c r="I757" s="148"/>
      <c r="J757" s="161"/>
      <c r="K757" s="161"/>
      <c r="L757" s="161"/>
      <c r="M757" s="161"/>
      <c r="N757" s="161"/>
      <c r="O757" s="148" t="s">
        <v>90</v>
      </c>
      <c r="P757" s="148"/>
      <c r="Q757" s="148"/>
      <c r="R757" s="148"/>
      <c r="S757" s="148"/>
      <c r="T757" s="148"/>
      <c r="U757" s="148"/>
      <c r="V757" s="148"/>
      <c r="W757" s="159"/>
      <c r="X757" s="159"/>
      <c r="Y757" s="159"/>
      <c r="Z757" s="159"/>
      <c r="AA757" s="159"/>
      <c r="AB757" s="159"/>
      <c r="AC757" s="159"/>
      <c r="AD757" s="159">
        <v>1416040101</v>
      </c>
      <c r="AE757" s="159"/>
      <c r="AF757" s="159"/>
      <c r="AG757" s="159"/>
      <c r="AH757" s="159"/>
      <c r="AI757" s="159"/>
      <c r="AJ757" s="159"/>
      <c r="AK757" s="159"/>
      <c r="AL757" s="159"/>
      <c r="AM757" s="159"/>
      <c r="AN757" s="159"/>
      <c r="AO757" s="159"/>
      <c r="AP757" s="159"/>
      <c r="AQ757" s="159"/>
      <c r="AR757" s="159"/>
      <c r="AS757" s="159"/>
      <c r="AT757" s="159"/>
      <c r="AU757" s="159"/>
      <c r="AV757" s="159"/>
      <c r="AW757" s="159"/>
      <c r="AX757" s="159"/>
      <c r="AY757" s="159"/>
      <c r="AZ757" s="159"/>
      <c r="BA757" s="159"/>
      <c r="BB757" s="159"/>
      <c r="BC757" s="159"/>
      <c r="BD757" s="159"/>
      <c r="BE757" s="159"/>
      <c r="BF757" s="159"/>
      <c r="BG757" s="159"/>
      <c r="BH757" s="159"/>
      <c r="BI757" s="159"/>
      <c r="BJ757" s="159"/>
      <c r="BK757" s="159"/>
      <c r="BL757" s="159"/>
      <c r="BM757" s="159"/>
      <c r="BN757" s="159"/>
      <c r="BO757" s="159"/>
      <c r="BP757" s="159"/>
      <c r="BQ757" s="159"/>
      <c r="BR757" s="159"/>
      <c r="BS757" s="159"/>
      <c r="BT757" s="159"/>
      <c r="BU757" s="159"/>
      <c r="BV757" s="159"/>
      <c r="BW757" s="159"/>
      <c r="BX757" s="159"/>
      <c r="BY757" s="159"/>
    </row>
    <row r="758" spans="1:77" x14ac:dyDescent="0.15">
      <c r="A758" s="159">
        <v>1416041011</v>
      </c>
      <c r="B758" s="190" t="s">
        <v>625</v>
      </c>
      <c r="C758" s="148" t="s">
        <v>100</v>
      </c>
      <c r="D758" s="159"/>
      <c r="E758" s="148" t="s">
        <v>83</v>
      </c>
      <c r="F758" s="148">
        <v>100000</v>
      </c>
      <c r="G758" s="148"/>
      <c r="H758" s="148"/>
      <c r="I758" s="148"/>
      <c r="J758" s="161"/>
      <c r="K758" s="161"/>
      <c r="L758" s="161"/>
      <c r="M758" s="161" t="s">
        <v>101</v>
      </c>
      <c r="N758" s="161" t="s">
        <v>842</v>
      </c>
      <c r="O758" s="148" t="s">
        <v>79</v>
      </c>
      <c r="P758" s="148" t="s">
        <v>102</v>
      </c>
      <c r="Q758" s="148">
        <v>300</v>
      </c>
      <c r="R758" s="148"/>
      <c r="S758" s="148">
        <v>5000</v>
      </c>
      <c r="T758" s="148"/>
      <c r="U758" s="148">
        <v>10000</v>
      </c>
      <c r="V758" s="148"/>
      <c r="W758" s="159"/>
      <c r="X758" s="159"/>
      <c r="Y758" s="159"/>
      <c r="Z758" s="159"/>
      <c r="AA758" s="159"/>
      <c r="AB758" s="159"/>
      <c r="AC758" s="159"/>
      <c r="AD758" s="159"/>
      <c r="AE758" s="159"/>
      <c r="AF758" s="159"/>
      <c r="AG758" s="159"/>
      <c r="AH758" s="159"/>
      <c r="AI758" s="159"/>
      <c r="AJ758" s="159"/>
      <c r="AK758" s="159"/>
      <c r="AL758" s="159"/>
      <c r="AM758" s="159"/>
      <c r="AN758" s="159"/>
      <c r="AO758" s="159"/>
      <c r="AP758" s="159"/>
      <c r="AQ758" s="159"/>
      <c r="AR758" s="159"/>
      <c r="AS758" s="159"/>
      <c r="AT758" s="159"/>
      <c r="AU758" s="159"/>
      <c r="AV758" s="159"/>
      <c r="AW758" s="159"/>
      <c r="AX758" s="159"/>
      <c r="AY758" s="159"/>
      <c r="AZ758" s="159"/>
      <c r="BA758" s="159"/>
      <c r="BB758" s="159"/>
      <c r="BC758" s="159"/>
      <c r="BD758" s="159"/>
      <c r="BE758" s="159"/>
      <c r="BF758" s="159"/>
      <c r="BG758" s="159"/>
      <c r="BH758" s="159"/>
      <c r="BI758" s="159"/>
      <c r="BJ758" s="159"/>
      <c r="BK758" s="159"/>
      <c r="BL758" s="159"/>
      <c r="BM758" s="159"/>
      <c r="BN758" s="159"/>
      <c r="BO758" s="159"/>
      <c r="BP758" s="159"/>
      <c r="BQ758" s="159"/>
      <c r="BR758" s="159"/>
      <c r="BS758" s="159"/>
      <c r="BT758" s="159"/>
      <c r="BU758" s="159"/>
      <c r="BV758" s="159"/>
      <c r="BW758" s="159"/>
      <c r="BX758" s="159"/>
      <c r="BY758" s="159"/>
    </row>
    <row r="759" spans="1:77" x14ac:dyDescent="0.15">
      <c r="A759" s="159">
        <v>1416041021</v>
      </c>
      <c r="B759" s="190" t="s">
        <v>625</v>
      </c>
      <c r="C759" s="148" t="s">
        <v>100</v>
      </c>
      <c r="D759" s="159"/>
      <c r="E759" s="148" t="s">
        <v>83</v>
      </c>
      <c r="F759" s="148">
        <v>100000</v>
      </c>
      <c r="G759" s="148"/>
      <c r="H759" s="148"/>
      <c r="I759" s="148"/>
      <c r="J759" s="161"/>
      <c r="K759" s="161"/>
      <c r="L759" s="161"/>
      <c r="M759" s="161" t="s">
        <v>101</v>
      </c>
      <c r="N759" s="161" t="s">
        <v>842</v>
      </c>
      <c r="O759" s="148" t="s">
        <v>79</v>
      </c>
      <c r="P759" s="148" t="s">
        <v>102</v>
      </c>
      <c r="Q759" s="148">
        <v>400</v>
      </c>
      <c r="R759" s="148"/>
      <c r="S759" s="148">
        <v>5000</v>
      </c>
      <c r="T759" s="148"/>
      <c r="U759" s="148">
        <v>10000</v>
      </c>
      <c r="V759" s="148"/>
      <c r="W759" s="159"/>
      <c r="X759" s="159"/>
      <c r="Y759" s="159"/>
      <c r="Z759" s="159"/>
      <c r="AA759" s="159"/>
      <c r="AB759" s="159"/>
      <c r="AC759" s="159"/>
      <c r="AD759" s="159"/>
      <c r="AE759" s="159"/>
      <c r="AF759" s="159"/>
      <c r="AG759" s="159"/>
      <c r="AH759" s="159"/>
      <c r="AI759" s="159"/>
      <c r="AJ759" s="159"/>
      <c r="AK759" s="159"/>
      <c r="AL759" s="159"/>
      <c r="AM759" s="159"/>
      <c r="AN759" s="159"/>
      <c r="AO759" s="159"/>
      <c r="AP759" s="159"/>
      <c r="AQ759" s="159"/>
      <c r="AR759" s="159"/>
      <c r="AS759" s="159"/>
      <c r="AT759" s="159"/>
      <c r="AU759" s="159"/>
      <c r="AV759" s="159"/>
      <c r="AW759" s="159"/>
      <c r="AX759" s="159"/>
      <c r="AY759" s="159"/>
      <c r="AZ759" s="159"/>
      <c r="BA759" s="159"/>
      <c r="BB759" s="159"/>
      <c r="BC759" s="159"/>
      <c r="BD759" s="159"/>
      <c r="BE759" s="159"/>
      <c r="BF759" s="159"/>
      <c r="BG759" s="159"/>
      <c r="BH759" s="159"/>
      <c r="BI759" s="159"/>
      <c r="BJ759" s="159"/>
      <c r="BK759" s="159"/>
      <c r="BL759" s="159"/>
      <c r="BM759" s="159"/>
      <c r="BN759" s="159"/>
      <c r="BO759" s="159"/>
      <c r="BP759" s="159"/>
      <c r="BQ759" s="159"/>
      <c r="BR759" s="159"/>
      <c r="BS759" s="159"/>
      <c r="BT759" s="159"/>
      <c r="BU759" s="159"/>
      <c r="BV759" s="159"/>
      <c r="BW759" s="159"/>
      <c r="BX759" s="159"/>
      <c r="BY759" s="159"/>
    </row>
    <row r="760" spans="1:77" x14ac:dyDescent="0.15">
      <c r="A760" s="159">
        <v>1416041012</v>
      </c>
      <c r="B760" s="190" t="s">
        <v>627</v>
      </c>
      <c r="C760" s="148" t="s">
        <v>89</v>
      </c>
      <c r="D760" s="159"/>
      <c r="E760" s="148" t="s">
        <v>78</v>
      </c>
      <c r="F760" s="148"/>
      <c r="G760" s="148"/>
      <c r="H760" s="148"/>
      <c r="I760" s="148"/>
      <c r="J760" s="161"/>
      <c r="K760" s="161"/>
      <c r="L760" s="161"/>
      <c r="M760" s="161"/>
      <c r="N760" s="161"/>
      <c r="O760" s="148" t="s">
        <v>277</v>
      </c>
      <c r="P760" s="148"/>
      <c r="Q760" s="148"/>
      <c r="R760" s="148"/>
      <c r="S760" s="148"/>
      <c r="T760" s="148"/>
      <c r="U760" s="148"/>
      <c r="V760" s="148"/>
      <c r="W760" s="159"/>
      <c r="X760" s="159"/>
      <c r="Y760" s="159"/>
      <c r="Z760" s="159"/>
      <c r="AA760" s="159"/>
      <c r="AB760" s="159"/>
      <c r="AC760" s="159"/>
      <c r="AD760" s="159"/>
      <c r="AE760" s="159">
        <v>14160401</v>
      </c>
      <c r="AF760" s="159"/>
      <c r="AG760" s="159"/>
      <c r="AH760" s="159"/>
      <c r="AI760" s="159"/>
      <c r="AJ760" s="159"/>
      <c r="AK760" s="159"/>
      <c r="AL760" s="159"/>
      <c r="AM760" s="159"/>
      <c r="AN760" s="159"/>
      <c r="AO760" s="159"/>
      <c r="AP760" s="159"/>
      <c r="AQ760" s="159"/>
      <c r="AR760" s="159"/>
      <c r="AS760" s="159"/>
      <c r="AT760" s="159"/>
      <c r="AU760" s="159"/>
      <c r="AV760" s="159"/>
      <c r="AW760" s="159"/>
      <c r="AX760" s="159"/>
      <c r="AY760" s="159"/>
      <c r="AZ760" s="159"/>
      <c r="BA760" s="159"/>
      <c r="BB760" s="159"/>
      <c r="BC760" s="159"/>
      <c r="BD760" s="159"/>
      <c r="BE760" s="159"/>
      <c r="BF760" s="159"/>
      <c r="BG760" s="159"/>
      <c r="BH760" s="159"/>
      <c r="BI760" s="159"/>
      <c r="BJ760" s="159"/>
      <c r="BK760" s="159"/>
      <c r="BL760" s="159"/>
      <c r="BM760" s="159"/>
      <c r="BN760" s="159"/>
      <c r="BO760" s="159"/>
      <c r="BP760" s="159"/>
      <c r="BQ760" s="159"/>
      <c r="BR760" s="159"/>
      <c r="BS760" s="159"/>
      <c r="BT760" s="159"/>
      <c r="BU760" s="159"/>
      <c r="BV760" s="159"/>
      <c r="BW760" s="159"/>
      <c r="BX760" s="159"/>
      <c r="BY760" s="159"/>
    </row>
    <row r="761" spans="1:77" s="19" customFormat="1" x14ac:dyDescent="0.15">
      <c r="A761" s="151">
        <v>1407001011</v>
      </c>
      <c r="B761" s="157" t="s">
        <v>628</v>
      </c>
      <c r="C761" s="151" t="s">
        <v>77</v>
      </c>
      <c r="D761" s="151"/>
      <c r="E761" s="151" t="s">
        <v>78</v>
      </c>
      <c r="F761" s="151"/>
      <c r="G761" s="151"/>
      <c r="H761" s="151"/>
      <c r="I761" s="151"/>
      <c r="J761" s="165"/>
      <c r="K761" s="165"/>
      <c r="L761" s="165"/>
      <c r="M761" s="165"/>
      <c r="N761" s="165"/>
      <c r="O761" s="151" t="s">
        <v>79</v>
      </c>
      <c r="P761" s="151" t="s">
        <v>80</v>
      </c>
      <c r="Q761" s="151"/>
      <c r="R761" s="151">
        <v>10000</v>
      </c>
      <c r="S761" s="151"/>
      <c r="T761" s="151">
        <v>10000</v>
      </c>
      <c r="U761" s="151"/>
      <c r="V761" s="151" t="s">
        <v>101</v>
      </c>
      <c r="W761" s="151"/>
      <c r="X761" s="151"/>
      <c r="Y761" s="151"/>
      <c r="Z761" s="151"/>
      <c r="AA761" s="151"/>
      <c r="AB761" s="151"/>
      <c r="AC761" s="151"/>
      <c r="AD761" s="151"/>
      <c r="AE761" s="151"/>
      <c r="AF761" s="151"/>
      <c r="AG761" s="151"/>
      <c r="AH761" s="151"/>
      <c r="AI761" s="151"/>
      <c r="AJ761" s="151"/>
      <c r="AK761" s="151"/>
      <c r="AL761" s="151"/>
      <c r="AM761" s="151"/>
      <c r="AN761" s="151"/>
      <c r="AO761" s="151"/>
      <c r="AP761" s="151"/>
      <c r="AQ761" s="151"/>
      <c r="AR761" s="151"/>
      <c r="AS761" s="151"/>
      <c r="AT761" s="151"/>
      <c r="AU761" s="151"/>
      <c r="AV761" s="151"/>
      <c r="AW761" s="151"/>
      <c r="AX761" s="151"/>
      <c r="AY761" s="151"/>
      <c r="AZ761" s="151"/>
      <c r="BA761" s="151"/>
      <c r="BB761" s="151"/>
      <c r="BC761" s="151"/>
      <c r="BD761" s="151"/>
      <c r="BE761" s="151"/>
      <c r="BF761" s="151"/>
      <c r="BG761" s="151"/>
      <c r="BH761" s="151"/>
      <c r="BI761" s="151"/>
      <c r="BJ761" s="151"/>
      <c r="BK761" s="151"/>
      <c r="BL761" s="151"/>
      <c r="BM761" s="151"/>
      <c r="BN761" s="151"/>
      <c r="BO761" s="151"/>
      <c r="BP761" s="151"/>
      <c r="BQ761" s="151"/>
      <c r="BR761" s="151"/>
      <c r="BS761" s="151"/>
      <c r="BT761" s="151"/>
      <c r="BU761" s="151"/>
      <c r="BV761" s="151"/>
      <c r="BW761" s="151"/>
      <c r="BX761" s="151"/>
      <c r="BY761" s="151"/>
    </row>
    <row r="762" spans="1:77" s="19" customFormat="1" x14ac:dyDescent="0.15">
      <c r="A762" s="151">
        <v>1407001012</v>
      </c>
      <c r="B762" s="157" t="s">
        <v>629</v>
      </c>
      <c r="C762" s="151" t="s">
        <v>77</v>
      </c>
      <c r="D762" s="151"/>
      <c r="E762" s="151" t="s">
        <v>425</v>
      </c>
      <c r="F762" s="151">
        <v>40000</v>
      </c>
      <c r="G762" s="151">
        <v>1200</v>
      </c>
      <c r="H762" s="151"/>
      <c r="I762" s="151"/>
      <c r="J762" s="165"/>
      <c r="K762" s="165"/>
      <c r="L762" s="165"/>
      <c r="M762" s="165"/>
      <c r="N762" s="165"/>
      <c r="O762" s="151" t="s">
        <v>79</v>
      </c>
      <c r="P762" s="151" t="s">
        <v>80</v>
      </c>
      <c r="Q762" s="151"/>
      <c r="R762" s="151">
        <v>5000</v>
      </c>
      <c r="S762" s="151"/>
      <c r="T762" s="151"/>
      <c r="U762" s="151"/>
      <c r="V762" s="151" t="s">
        <v>101</v>
      </c>
      <c r="W762" s="151"/>
      <c r="X762" s="151"/>
      <c r="Y762" s="151"/>
      <c r="Z762" s="151"/>
      <c r="AA762" s="151"/>
      <c r="AB762" s="151"/>
      <c r="AC762" s="151"/>
      <c r="AD762" s="151"/>
      <c r="AE762" s="151"/>
      <c r="AF762" s="151"/>
      <c r="AG762" s="151"/>
      <c r="AH762" s="151"/>
      <c r="AI762" s="151"/>
      <c r="AJ762" s="151"/>
      <c r="AK762" s="151"/>
      <c r="AL762" s="151"/>
      <c r="AM762" s="151"/>
      <c r="AN762" s="151"/>
      <c r="AO762" s="151"/>
      <c r="AP762" s="151"/>
      <c r="AQ762" s="151"/>
      <c r="AR762" s="151"/>
      <c r="AS762" s="151"/>
      <c r="AT762" s="151"/>
      <c r="AU762" s="151"/>
      <c r="AV762" s="151"/>
      <c r="AW762" s="151"/>
      <c r="AX762" s="151"/>
      <c r="AY762" s="151"/>
      <c r="AZ762" s="151"/>
      <c r="BA762" s="151"/>
      <c r="BB762" s="151"/>
      <c r="BC762" s="151"/>
      <c r="BD762" s="151"/>
      <c r="BE762" s="151"/>
      <c r="BF762" s="151"/>
      <c r="BG762" s="151"/>
      <c r="BH762" s="151"/>
      <c r="BI762" s="151"/>
      <c r="BJ762" s="151"/>
      <c r="BK762" s="151"/>
      <c r="BL762" s="151"/>
      <c r="BM762" s="151"/>
      <c r="BN762" s="151"/>
      <c r="BO762" s="151"/>
      <c r="BP762" s="151"/>
      <c r="BQ762" s="151"/>
      <c r="BR762" s="151"/>
      <c r="BS762" s="151"/>
      <c r="BT762" s="151"/>
      <c r="BU762" s="151"/>
      <c r="BV762" s="151"/>
      <c r="BW762" s="151"/>
      <c r="BX762" s="151"/>
      <c r="BY762" s="151"/>
    </row>
    <row r="763" spans="1:77" s="19" customFormat="1" x14ac:dyDescent="0.15">
      <c r="A763" s="151">
        <v>1407002011</v>
      </c>
      <c r="B763" s="157" t="s">
        <v>630</v>
      </c>
      <c r="C763" s="151" t="s">
        <v>77</v>
      </c>
      <c r="D763" s="151"/>
      <c r="E763" s="151" t="s">
        <v>78</v>
      </c>
      <c r="F763" s="151"/>
      <c r="G763" s="151"/>
      <c r="H763" s="151"/>
      <c r="I763" s="151"/>
      <c r="J763" s="165"/>
      <c r="K763" s="165"/>
      <c r="L763" s="165"/>
      <c r="M763" s="165"/>
      <c r="N763" s="165"/>
      <c r="O763" s="151" t="s">
        <v>79</v>
      </c>
      <c r="P763" s="151" t="s">
        <v>80</v>
      </c>
      <c r="Q763" s="151"/>
      <c r="R763" s="151">
        <v>10000</v>
      </c>
      <c r="S763" s="151"/>
      <c r="T763" s="151">
        <v>10000</v>
      </c>
      <c r="U763" s="151"/>
      <c r="V763" s="151" t="s">
        <v>101</v>
      </c>
      <c r="W763" s="151"/>
      <c r="X763" s="151"/>
      <c r="Y763" s="151"/>
      <c r="Z763" s="151"/>
      <c r="AA763" s="151"/>
      <c r="AB763" s="151"/>
      <c r="AC763" s="151"/>
      <c r="AD763" s="151"/>
      <c r="AE763" s="151"/>
      <c r="AF763" s="151"/>
      <c r="AG763" s="151"/>
      <c r="AH763" s="151"/>
      <c r="AI763" s="151"/>
      <c r="AJ763" s="151"/>
      <c r="AK763" s="151"/>
      <c r="AL763" s="151"/>
      <c r="AM763" s="151"/>
      <c r="AN763" s="151"/>
      <c r="AO763" s="151"/>
      <c r="AP763" s="151"/>
      <c r="AQ763" s="151"/>
      <c r="AR763" s="151"/>
      <c r="AS763" s="151"/>
      <c r="AT763" s="151"/>
      <c r="AU763" s="151"/>
      <c r="AV763" s="151"/>
      <c r="AW763" s="151"/>
      <c r="AX763" s="151"/>
      <c r="AY763" s="151"/>
      <c r="AZ763" s="151"/>
      <c r="BA763" s="151"/>
      <c r="BB763" s="151"/>
      <c r="BC763" s="151"/>
      <c r="BD763" s="151"/>
      <c r="BE763" s="151"/>
      <c r="BF763" s="151"/>
      <c r="BG763" s="151"/>
      <c r="BH763" s="151"/>
      <c r="BI763" s="151"/>
      <c r="BJ763" s="151"/>
      <c r="BK763" s="151"/>
      <c r="BL763" s="151"/>
      <c r="BM763" s="151"/>
      <c r="BN763" s="151"/>
      <c r="BO763" s="151"/>
      <c r="BP763" s="151"/>
      <c r="BQ763" s="151"/>
      <c r="BR763" s="151"/>
      <c r="BS763" s="151"/>
      <c r="BT763" s="151"/>
      <c r="BU763" s="151"/>
      <c r="BV763" s="151"/>
      <c r="BW763" s="151"/>
      <c r="BX763" s="151"/>
      <c r="BY763" s="151"/>
    </row>
    <row r="764" spans="1:77" s="19" customFormat="1" x14ac:dyDescent="0.15">
      <c r="A764" s="151">
        <v>1407200011</v>
      </c>
      <c r="B764" s="157" t="s">
        <v>631</v>
      </c>
      <c r="C764" s="151" t="s">
        <v>100</v>
      </c>
      <c r="D764" s="151"/>
      <c r="E764" s="151" t="s">
        <v>78</v>
      </c>
      <c r="F764" s="151"/>
      <c r="G764" s="151"/>
      <c r="H764" s="151"/>
      <c r="I764" s="151"/>
      <c r="J764" s="165"/>
      <c r="K764" s="165"/>
      <c r="L764" s="165"/>
      <c r="M764" s="165"/>
      <c r="N764" s="165"/>
      <c r="O764" s="151" t="s">
        <v>79</v>
      </c>
      <c r="P764" s="151" t="s">
        <v>102</v>
      </c>
      <c r="Q764" s="151">
        <v>20</v>
      </c>
      <c r="R764" s="151"/>
      <c r="S764" s="151"/>
      <c r="T764" s="151"/>
      <c r="U764" s="151"/>
      <c r="V764" s="151"/>
      <c r="W764" s="151" t="s">
        <v>522</v>
      </c>
      <c r="X764" s="151">
        <v>14072001</v>
      </c>
      <c r="Y764" s="151" t="s">
        <v>171</v>
      </c>
      <c r="Z764" s="151">
        <v>20</v>
      </c>
      <c r="AA764" s="151"/>
      <c r="AB764" s="151"/>
      <c r="AC764" s="151"/>
      <c r="AD764" s="151"/>
      <c r="AE764" s="151"/>
      <c r="AF764" s="151"/>
      <c r="AG764" s="151"/>
      <c r="AH764" s="151"/>
      <c r="AI764" s="151"/>
      <c r="AJ764" s="151" t="s">
        <v>90</v>
      </c>
      <c r="AK764" s="151"/>
      <c r="AL764" s="151"/>
      <c r="AM764" s="151"/>
      <c r="AN764" s="151"/>
      <c r="AO764" s="151"/>
      <c r="AP764" s="151"/>
      <c r="AQ764" s="151"/>
      <c r="AR764" s="151"/>
      <c r="AS764" s="151"/>
      <c r="AT764" s="151"/>
      <c r="AU764" s="151"/>
      <c r="AV764" s="151"/>
      <c r="AW764" s="151"/>
      <c r="AX764" s="151">
        <v>1407200101</v>
      </c>
      <c r="AY764" s="151">
        <v>1407200101</v>
      </c>
      <c r="AZ764" s="151"/>
      <c r="BA764" s="151"/>
      <c r="BB764" s="151"/>
      <c r="BC764" s="151"/>
      <c r="BD764" s="151"/>
      <c r="BE764" s="151"/>
      <c r="BF764" s="151"/>
      <c r="BG764" s="151"/>
      <c r="BH764" s="151"/>
      <c r="BI764" s="151"/>
      <c r="BJ764" s="151"/>
      <c r="BK764" s="151"/>
      <c r="BL764" s="151"/>
      <c r="BM764" s="151"/>
      <c r="BN764" s="151"/>
      <c r="BO764" s="151"/>
      <c r="BP764" s="151"/>
      <c r="BQ764" s="151"/>
      <c r="BR764" s="151"/>
      <c r="BS764" s="151"/>
      <c r="BT764" s="151"/>
      <c r="BU764" s="151"/>
      <c r="BV764" s="151"/>
      <c r="BW764" s="151"/>
      <c r="BX764" s="151"/>
      <c r="BY764" s="151"/>
    </row>
    <row r="765" spans="1:77" s="19" customFormat="1" x14ac:dyDescent="0.15">
      <c r="A765" s="151">
        <v>1407200021</v>
      </c>
      <c r="B765" s="157" t="s">
        <v>631</v>
      </c>
      <c r="C765" s="151" t="s">
        <v>100</v>
      </c>
      <c r="D765" s="151"/>
      <c r="E765" s="151" t="s">
        <v>78</v>
      </c>
      <c r="F765" s="151"/>
      <c r="G765" s="151"/>
      <c r="H765" s="151"/>
      <c r="I765" s="151"/>
      <c r="J765" s="165"/>
      <c r="K765" s="165"/>
      <c r="L765" s="165"/>
      <c r="M765" s="165"/>
      <c r="N765" s="165"/>
      <c r="O765" s="151" t="s">
        <v>79</v>
      </c>
      <c r="P765" s="151" t="s">
        <v>102</v>
      </c>
      <c r="Q765" s="151">
        <v>30</v>
      </c>
      <c r="R765" s="151"/>
      <c r="S765" s="151"/>
      <c r="T765" s="151"/>
      <c r="U765" s="151"/>
      <c r="V765" s="151"/>
      <c r="W765" s="151" t="s">
        <v>522</v>
      </c>
      <c r="X765" s="151">
        <v>14072001</v>
      </c>
      <c r="Y765" s="151" t="s">
        <v>171</v>
      </c>
      <c r="Z765" s="151">
        <v>30</v>
      </c>
      <c r="AA765" s="151"/>
      <c r="AB765" s="151"/>
      <c r="AC765" s="151"/>
      <c r="AD765" s="151"/>
      <c r="AE765" s="151"/>
      <c r="AF765" s="151"/>
      <c r="AG765" s="151"/>
      <c r="AH765" s="151"/>
      <c r="AI765" s="151"/>
      <c r="AJ765" s="151" t="s">
        <v>90</v>
      </c>
      <c r="AK765" s="151"/>
      <c r="AL765" s="151"/>
      <c r="AM765" s="151"/>
      <c r="AN765" s="151"/>
      <c r="AO765" s="151"/>
      <c r="AP765" s="151"/>
      <c r="AQ765" s="151"/>
      <c r="AR765" s="151"/>
      <c r="AS765" s="151"/>
      <c r="AT765" s="151"/>
      <c r="AU765" s="151"/>
      <c r="AV765" s="151"/>
      <c r="AW765" s="151"/>
      <c r="AX765" s="151">
        <v>1407200101</v>
      </c>
      <c r="AY765" s="151">
        <v>1407200101</v>
      </c>
      <c r="AZ765" s="151"/>
      <c r="BA765" s="151"/>
      <c r="BB765" s="151"/>
      <c r="BC765" s="151"/>
      <c r="BD765" s="151"/>
      <c r="BE765" s="151"/>
      <c r="BF765" s="151"/>
      <c r="BG765" s="151"/>
      <c r="BH765" s="151"/>
      <c r="BI765" s="151"/>
      <c r="BJ765" s="151"/>
      <c r="BK765" s="151"/>
      <c r="BL765" s="151"/>
      <c r="BM765" s="151"/>
      <c r="BN765" s="151"/>
      <c r="BO765" s="151"/>
      <c r="BP765" s="151"/>
      <c r="BQ765" s="151"/>
      <c r="BR765" s="151"/>
      <c r="BS765" s="151"/>
      <c r="BT765" s="151"/>
      <c r="BU765" s="151"/>
      <c r="BV765" s="151"/>
      <c r="BW765" s="151"/>
      <c r="BX765" s="151"/>
      <c r="BY765" s="151"/>
    </row>
    <row r="766" spans="1:77" s="19" customFormat="1" x14ac:dyDescent="0.15">
      <c r="A766" s="151">
        <v>1407200031</v>
      </c>
      <c r="B766" s="157" t="s">
        <v>631</v>
      </c>
      <c r="C766" s="151" t="s">
        <v>100</v>
      </c>
      <c r="D766" s="151"/>
      <c r="E766" s="151" t="s">
        <v>78</v>
      </c>
      <c r="F766" s="151"/>
      <c r="G766" s="151"/>
      <c r="H766" s="151"/>
      <c r="I766" s="151"/>
      <c r="J766" s="165"/>
      <c r="K766" s="165"/>
      <c r="L766" s="165"/>
      <c r="M766" s="165"/>
      <c r="N766" s="165"/>
      <c r="O766" s="151" t="s">
        <v>79</v>
      </c>
      <c r="P766" s="151" t="s">
        <v>102</v>
      </c>
      <c r="Q766" s="151">
        <v>40</v>
      </c>
      <c r="R766" s="151"/>
      <c r="S766" s="151"/>
      <c r="T766" s="151"/>
      <c r="U766" s="151"/>
      <c r="V766" s="151"/>
      <c r="W766" s="151" t="s">
        <v>522</v>
      </c>
      <c r="X766" s="151">
        <v>14072001</v>
      </c>
      <c r="Y766" s="151" t="s">
        <v>171</v>
      </c>
      <c r="Z766" s="151">
        <v>40</v>
      </c>
      <c r="AA766" s="151"/>
      <c r="AB766" s="151"/>
      <c r="AC766" s="151"/>
      <c r="AD766" s="151"/>
      <c r="AE766" s="151"/>
      <c r="AF766" s="151"/>
      <c r="AG766" s="151"/>
      <c r="AH766" s="151"/>
      <c r="AI766" s="151"/>
      <c r="AJ766" s="151" t="s">
        <v>90</v>
      </c>
      <c r="AK766" s="151"/>
      <c r="AL766" s="151"/>
      <c r="AM766" s="151"/>
      <c r="AN766" s="151"/>
      <c r="AO766" s="151"/>
      <c r="AP766" s="151"/>
      <c r="AQ766" s="151"/>
      <c r="AR766" s="151"/>
      <c r="AS766" s="151"/>
      <c r="AT766" s="151"/>
      <c r="AU766" s="151"/>
      <c r="AV766" s="151"/>
      <c r="AW766" s="151"/>
      <c r="AX766" s="151">
        <v>1407200101</v>
      </c>
      <c r="AY766" s="151">
        <v>1407200101</v>
      </c>
      <c r="AZ766" s="151"/>
      <c r="BA766" s="151"/>
      <c r="BB766" s="151"/>
      <c r="BC766" s="151"/>
      <c r="BD766" s="151"/>
      <c r="BE766" s="151"/>
      <c r="BF766" s="151"/>
      <c r="BG766" s="151"/>
      <c r="BH766" s="151"/>
      <c r="BI766" s="151"/>
      <c r="BJ766" s="151"/>
      <c r="BK766" s="151"/>
      <c r="BL766" s="151"/>
      <c r="BM766" s="151"/>
      <c r="BN766" s="151"/>
      <c r="BO766" s="151"/>
      <c r="BP766" s="151"/>
      <c r="BQ766" s="151"/>
      <c r="BR766" s="151"/>
      <c r="BS766" s="151"/>
      <c r="BT766" s="151"/>
      <c r="BU766" s="151"/>
      <c r="BV766" s="151"/>
      <c r="BW766" s="151"/>
      <c r="BX766" s="151"/>
      <c r="BY766" s="151"/>
    </row>
    <row r="767" spans="1:77" s="19" customFormat="1" x14ac:dyDescent="0.15">
      <c r="A767" s="151">
        <v>1407003011</v>
      </c>
      <c r="B767" s="157" t="s">
        <v>632</v>
      </c>
      <c r="C767" s="151" t="s">
        <v>77</v>
      </c>
      <c r="D767" s="151"/>
      <c r="E767" s="151" t="s">
        <v>78</v>
      </c>
      <c r="F767" s="151"/>
      <c r="G767" s="151"/>
      <c r="H767" s="151"/>
      <c r="I767" s="151"/>
      <c r="J767" s="165"/>
      <c r="K767" s="165"/>
      <c r="L767" s="165"/>
      <c r="M767" s="165"/>
      <c r="N767" s="165"/>
      <c r="O767" s="151" t="s">
        <v>79</v>
      </c>
      <c r="P767" s="151" t="s">
        <v>80</v>
      </c>
      <c r="Q767" s="151"/>
      <c r="R767" s="151">
        <v>15000</v>
      </c>
      <c r="S767" s="151"/>
      <c r="T767" s="151">
        <v>10000</v>
      </c>
      <c r="U767" s="151"/>
      <c r="V767" s="151"/>
      <c r="W767" s="151"/>
      <c r="X767" s="151"/>
      <c r="Y767" s="151"/>
      <c r="Z767" s="151"/>
      <c r="AA767" s="151"/>
      <c r="AB767" s="151"/>
      <c r="AC767" s="151"/>
      <c r="AD767" s="151"/>
      <c r="AE767" s="151"/>
      <c r="AF767" s="151"/>
      <c r="AG767" s="151"/>
      <c r="AH767" s="151"/>
      <c r="AI767" s="151"/>
      <c r="AJ767" s="151"/>
      <c r="AK767" s="151"/>
      <c r="AL767" s="151"/>
      <c r="AM767" s="151"/>
      <c r="AN767" s="151"/>
      <c r="AO767" s="151"/>
      <c r="AP767" s="151"/>
      <c r="AQ767" s="151"/>
      <c r="AR767" s="151"/>
      <c r="AS767" s="151"/>
      <c r="AT767" s="151"/>
      <c r="AU767" s="151"/>
      <c r="AV767" s="151"/>
      <c r="AW767" s="151"/>
      <c r="AX767" s="151"/>
      <c r="AY767" s="151"/>
      <c r="AZ767" s="151"/>
      <c r="BA767" s="151"/>
      <c r="BB767" s="151"/>
      <c r="BC767" s="151"/>
      <c r="BD767" s="151"/>
      <c r="BE767" s="151"/>
      <c r="BF767" s="151"/>
      <c r="BG767" s="151"/>
      <c r="BH767" s="151"/>
      <c r="BI767" s="151"/>
      <c r="BJ767" s="151"/>
      <c r="BK767" s="151"/>
      <c r="BL767" s="151"/>
      <c r="BM767" s="151"/>
      <c r="BN767" s="151"/>
      <c r="BO767" s="151"/>
      <c r="BP767" s="151"/>
      <c r="BQ767" s="151"/>
      <c r="BR767" s="151"/>
      <c r="BS767" s="151"/>
      <c r="BT767" s="151"/>
      <c r="BU767" s="151"/>
      <c r="BV767" s="151"/>
      <c r="BW767" s="151"/>
      <c r="BX767" s="151"/>
      <c r="BY767" s="151"/>
    </row>
    <row r="768" spans="1:77" s="19" customFormat="1" x14ac:dyDescent="0.15">
      <c r="A768" s="151">
        <v>1407003021</v>
      </c>
      <c r="B768" s="157" t="s">
        <v>632</v>
      </c>
      <c r="C768" s="151" t="s">
        <v>77</v>
      </c>
      <c r="D768" s="151"/>
      <c r="E768" s="151" t="s">
        <v>78</v>
      </c>
      <c r="F768" s="151"/>
      <c r="G768" s="151"/>
      <c r="H768" s="151"/>
      <c r="I768" s="151"/>
      <c r="J768" s="165"/>
      <c r="K768" s="165"/>
      <c r="L768" s="165"/>
      <c r="M768" s="165"/>
      <c r="N768" s="165"/>
      <c r="O768" s="151" t="s">
        <v>79</v>
      </c>
      <c r="P768" s="151" t="s">
        <v>80</v>
      </c>
      <c r="Q768" s="151"/>
      <c r="R768" s="151">
        <v>20000</v>
      </c>
      <c r="S768" s="151"/>
      <c r="T768" s="151">
        <v>10000</v>
      </c>
      <c r="U768" s="151"/>
      <c r="V768" s="151"/>
      <c r="W768" s="151"/>
      <c r="X768" s="151"/>
      <c r="Y768" s="151"/>
      <c r="Z768" s="151"/>
      <c r="AA768" s="151"/>
      <c r="AB768" s="151"/>
      <c r="AC768" s="151"/>
      <c r="AD768" s="151"/>
      <c r="AE768" s="151"/>
      <c r="AF768" s="151"/>
      <c r="AG768" s="151"/>
      <c r="AH768" s="151"/>
      <c r="AI768" s="151"/>
      <c r="AJ768" s="151"/>
      <c r="AK768" s="151"/>
      <c r="AL768" s="151"/>
      <c r="AM768" s="151"/>
      <c r="AN768" s="151"/>
      <c r="AO768" s="151"/>
      <c r="AP768" s="151"/>
      <c r="AQ768" s="151"/>
      <c r="AR768" s="151"/>
      <c r="AS768" s="151"/>
      <c r="AT768" s="151"/>
      <c r="AU768" s="151"/>
      <c r="AV768" s="151"/>
      <c r="AW768" s="151"/>
      <c r="AX768" s="151"/>
      <c r="AY768" s="151"/>
      <c r="AZ768" s="151"/>
      <c r="BA768" s="151"/>
      <c r="BB768" s="151"/>
      <c r="BC768" s="151"/>
      <c r="BD768" s="151"/>
      <c r="BE768" s="151"/>
      <c r="BF768" s="151"/>
      <c r="BG768" s="151"/>
      <c r="BH768" s="151"/>
      <c r="BI768" s="151"/>
      <c r="BJ768" s="151"/>
      <c r="BK768" s="151"/>
      <c r="BL768" s="151"/>
      <c r="BM768" s="151"/>
      <c r="BN768" s="151"/>
      <c r="BO768" s="151"/>
      <c r="BP768" s="151"/>
      <c r="BQ768" s="151"/>
      <c r="BR768" s="151"/>
      <c r="BS768" s="151"/>
      <c r="BT768" s="151"/>
      <c r="BU768" s="151"/>
      <c r="BV768" s="151"/>
      <c r="BW768" s="151"/>
      <c r="BX768" s="151"/>
      <c r="BY768" s="151"/>
    </row>
    <row r="769" spans="1:77" s="19" customFormat="1" x14ac:dyDescent="0.15">
      <c r="A769" s="151">
        <v>1407003031</v>
      </c>
      <c r="B769" s="157" t="s">
        <v>632</v>
      </c>
      <c r="C769" s="151" t="s">
        <v>77</v>
      </c>
      <c r="D769" s="151"/>
      <c r="E769" s="151" t="s">
        <v>78</v>
      </c>
      <c r="F769" s="151"/>
      <c r="G769" s="151"/>
      <c r="H769" s="151"/>
      <c r="I769" s="151"/>
      <c r="J769" s="165"/>
      <c r="K769" s="165"/>
      <c r="L769" s="165"/>
      <c r="M769" s="165"/>
      <c r="N769" s="165"/>
      <c r="O769" s="151" t="s">
        <v>79</v>
      </c>
      <c r="P769" s="151" t="s">
        <v>80</v>
      </c>
      <c r="Q769" s="151"/>
      <c r="R769" s="151">
        <v>25000</v>
      </c>
      <c r="S769" s="151"/>
      <c r="T769" s="151">
        <v>10000</v>
      </c>
      <c r="U769" s="151"/>
      <c r="V769" s="151"/>
      <c r="W769" s="151"/>
      <c r="X769" s="151"/>
      <c r="Y769" s="151"/>
      <c r="Z769" s="151"/>
      <c r="AA769" s="151"/>
      <c r="AB769" s="151"/>
      <c r="AC769" s="151"/>
      <c r="AD769" s="151"/>
      <c r="AE769" s="151"/>
      <c r="AF769" s="151"/>
      <c r="AG769" s="151"/>
      <c r="AH769" s="151"/>
      <c r="AI769" s="151"/>
      <c r="AJ769" s="151"/>
      <c r="AK769" s="151"/>
      <c r="AL769" s="151"/>
      <c r="AM769" s="151"/>
      <c r="AN769" s="151"/>
      <c r="AO769" s="151"/>
      <c r="AP769" s="151"/>
      <c r="AQ769" s="151"/>
      <c r="AR769" s="151"/>
      <c r="AS769" s="151"/>
      <c r="AT769" s="151"/>
      <c r="AU769" s="151"/>
      <c r="AV769" s="151"/>
      <c r="AW769" s="151"/>
      <c r="AX769" s="151"/>
      <c r="AY769" s="151"/>
      <c r="AZ769" s="151"/>
      <c r="BA769" s="151"/>
      <c r="BB769" s="151"/>
      <c r="BC769" s="151"/>
      <c r="BD769" s="151"/>
      <c r="BE769" s="151"/>
      <c r="BF769" s="151"/>
      <c r="BG769" s="151"/>
      <c r="BH769" s="151"/>
      <c r="BI769" s="151"/>
      <c r="BJ769" s="151"/>
      <c r="BK769" s="151"/>
      <c r="BL769" s="151"/>
      <c r="BM769" s="151"/>
      <c r="BN769" s="151"/>
      <c r="BO769" s="151"/>
      <c r="BP769" s="151"/>
      <c r="BQ769" s="151"/>
      <c r="BR769" s="151"/>
      <c r="BS769" s="151"/>
      <c r="BT769" s="151"/>
      <c r="BU769" s="151"/>
      <c r="BV769" s="151"/>
      <c r="BW769" s="151"/>
      <c r="BX769" s="151"/>
      <c r="BY769" s="151"/>
    </row>
    <row r="770" spans="1:77" s="19" customFormat="1" x14ac:dyDescent="0.15">
      <c r="A770" s="151">
        <v>1407003041</v>
      </c>
      <c r="B770" s="157" t="s">
        <v>632</v>
      </c>
      <c r="C770" s="151" t="s">
        <v>77</v>
      </c>
      <c r="D770" s="151"/>
      <c r="E770" s="151" t="s">
        <v>78</v>
      </c>
      <c r="F770" s="151"/>
      <c r="G770" s="151"/>
      <c r="H770" s="151"/>
      <c r="I770" s="151"/>
      <c r="J770" s="165"/>
      <c r="K770" s="165"/>
      <c r="L770" s="165"/>
      <c r="M770" s="165"/>
      <c r="N770" s="165"/>
      <c r="O770" s="151" t="s">
        <v>79</v>
      </c>
      <c r="P770" s="151" t="s">
        <v>80</v>
      </c>
      <c r="Q770" s="151"/>
      <c r="R770" s="151">
        <v>30000</v>
      </c>
      <c r="S770" s="151"/>
      <c r="T770" s="151">
        <v>10000</v>
      </c>
      <c r="U770" s="151"/>
      <c r="V770" s="151"/>
      <c r="W770" s="151"/>
      <c r="X770" s="151"/>
      <c r="Y770" s="151"/>
      <c r="Z770" s="151"/>
      <c r="AA770" s="151"/>
      <c r="AB770" s="151"/>
      <c r="AC770" s="151"/>
      <c r="AD770" s="151"/>
      <c r="AE770" s="151"/>
      <c r="AF770" s="151"/>
      <c r="AG770" s="151"/>
      <c r="AH770" s="151"/>
      <c r="AI770" s="151"/>
      <c r="AJ770" s="151"/>
      <c r="AK770" s="151"/>
      <c r="AL770" s="151"/>
      <c r="AM770" s="151"/>
      <c r="AN770" s="151"/>
      <c r="AO770" s="151"/>
      <c r="AP770" s="151"/>
      <c r="AQ770" s="151"/>
      <c r="AR770" s="151"/>
      <c r="AS770" s="151"/>
      <c r="AT770" s="151"/>
      <c r="AU770" s="151"/>
      <c r="AV770" s="151"/>
      <c r="AW770" s="151"/>
      <c r="AX770" s="151"/>
      <c r="AY770" s="151"/>
      <c r="AZ770" s="151"/>
      <c r="BA770" s="151"/>
      <c r="BB770" s="151"/>
      <c r="BC770" s="151"/>
      <c r="BD770" s="151"/>
      <c r="BE770" s="151"/>
      <c r="BF770" s="151"/>
      <c r="BG770" s="151"/>
      <c r="BH770" s="151"/>
      <c r="BI770" s="151"/>
      <c r="BJ770" s="151"/>
      <c r="BK770" s="151"/>
      <c r="BL770" s="151"/>
      <c r="BM770" s="151"/>
      <c r="BN770" s="151"/>
      <c r="BO770" s="151"/>
      <c r="BP770" s="151"/>
      <c r="BQ770" s="151"/>
      <c r="BR770" s="151"/>
      <c r="BS770" s="151"/>
      <c r="BT770" s="151"/>
      <c r="BU770" s="151"/>
      <c r="BV770" s="151"/>
      <c r="BW770" s="151"/>
      <c r="BX770" s="151"/>
      <c r="BY770" s="151"/>
    </row>
    <row r="771" spans="1:77" s="19" customFormat="1" x14ac:dyDescent="0.15">
      <c r="A771" s="151">
        <v>1407003012</v>
      </c>
      <c r="B771" s="157" t="s">
        <v>633</v>
      </c>
      <c r="C771" s="151" t="s">
        <v>100</v>
      </c>
      <c r="D771" s="151"/>
      <c r="E771" s="151" t="s">
        <v>78</v>
      </c>
      <c r="F771" s="151"/>
      <c r="G771" s="151"/>
      <c r="H771" s="151"/>
      <c r="I771" s="151"/>
      <c r="J771" s="165"/>
      <c r="K771" s="165"/>
      <c r="L771" s="165"/>
      <c r="M771" s="165"/>
      <c r="N771" s="165"/>
      <c r="O771" s="151" t="s">
        <v>90</v>
      </c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  <c r="AB771" s="151"/>
      <c r="AC771" s="151">
        <v>1407003201</v>
      </c>
      <c r="AD771" s="151">
        <v>1407003101</v>
      </c>
      <c r="AE771" s="151"/>
      <c r="AF771" s="151"/>
      <c r="AG771" s="151"/>
      <c r="AH771" s="151"/>
      <c r="AI771" s="151"/>
      <c r="AJ771" s="151"/>
      <c r="AK771" s="151"/>
      <c r="AL771" s="151"/>
      <c r="AM771" s="151"/>
      <c r="AN771" s="151"/>
      <c r="AO771" s="151"/>
      <c r="AP771" s="151"/>
      <c r="AQ771" s="151"/>
      <c r="AR771" s="151"/>
      <c r="AS771" s="151"/>
      <c r="AT771" s="151"/>
      <c r="AU771" s="151"/>
      <c r="AV771" s="151"/>
      <c r="AW771" s="151"/>
      <c r="AX771" s="151"/>
      <c r="AY771" s="151"/>
      <c r="AZ771" s="151"/>
      <c r="BA771" s="151"/>
      <c r="BB771" s="151"/>
      <c r="BC771" s="151"/>
      <c r="BD771" s="151"/>
      <c r="BE771" s="151"/>
      <c r="BF771" s="151"/>
      <c r="BG771" s="151"/>
      <c r="BH771" s="151"/>
      <c r="BI771" s="151"/>
      <c r="BJ771" s="151"/>
      <c r="BK771" s="151"/>
      <c r="BL771" s="151"/>
      <c r="BM771" s="151"/>
      <c r="BN771" s="151"/>
      <c r="BO771" s="151"/>
      <c r="BP771" s="151"/>
      <c r="BQ771" s="151"/>
      <c r="BR771" s="151"/>
      <c r="BS771" s="151"/>
      <c r="BT771" s="151"/>
      <c r="BU771" s="151"/>
      <c r="BV771" s="151"/>
      <c r="BW771" s="151"/>
      <c r="BX771" s="151"/>
      <c r="BY771" s="151"/>
    </row>
    <row r="772" spans="1:77" s="19" customFormat="1" x14ac:dyDescent="0.15">
      <c r="A772" s="151">
        <v>1407003022</v>
      </c>
      <c r="B772" s="157" t="s">
        <v>633</v>
      </c>
      <c r="C772" s="151" t="s">
        <v>100</v>
      </c>
      <c r="D772" s="151"/>
      <c r="E772" s="151" t="s">
        <v>78</v>
      </c>
      <c r="F772" s="151"/>
      <c r="G772" s="151"/>
      <c r="H772" s="151"/>
      <c r="I772" s="151"/>
      <c r="J772" s="165"/>
      <c r="K772" s="165"/>
      <c r="L772" s="165"/>
      <c r="M772" s="165"/>
      <c r="N772" s="165"/>
      <c r="O772" s="151" t="s">
        <v>90</v>
      </c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  <c r="AB772" s="151"/>
      <c r="AC772" s="151">
        <v>1407003202</v>
      </c>
      <c r="AD772" s="151">
        <v>1407003102</v>
      </c>
      <c r="AE772" s="151"/>
      <c r="AF772" s="151"/>
      <c r="AG772" s="151"/>
      <c r="AH772" s="151"/>
      <c r="AI772" s="151"/>
      <c r="AJ772" s="151"/>
      <c r="AK772" s="151"/>
      <c r="AL772" s="151"/>
      <c r="AM772" s="151"/>
      <c r="AN772" s="151"/>
      <c r="AO772" s="151"/>
      <c r="AP772" s="151"/>
      <c r="AQ772" s="151"/>
      <c r="AR772" s="151"/>
      <c r="AS772" s="151"/>
      <c r="AT772" s="151"/>
      <c r="AU772" s="151"/>
      <c r="AV772" s="151"/>
      <c r="AW772" s="151"/>
      <c r="AX772" s="151"/>
      <c r="AY772" s="151"/>
      <c r="AZ772" s="151"/>
      <c r="BA772" s="151"/>
      <c r="BB772" s="151"/>
      <c r="BC772" s="151"/>
      <c r="BD772" s="151"/>
      <c r="BE772" s="151"/>
      <c r="BF772" s="151"/>
      <c r="BG772" s="151"/>
      <c r="BH772" s="151"/>
      <c r="BI772" s="151"/>
      <c r="BJ772" s="151"/>
      <c r="BK772" s="151"/>
      <c r="BL772" s="151"/>
      <c r="BM772" s="151"/>
      <c r="BN772" s="151"/>
      <c r="BO772" s="151"/>
      <c r="BP772" s="151"/>
      <c r="BQ772" s="151"/>
      <c r="BR772" s="151"/>
      <c r="BS772" s="151"/>
      <c r="BT772" s="151"/>
      <c r="BU772" s="151"/>
      <c r="BV772" s="151"/>
      <c r="BW772" s="151"/>
      <c r="BX772" s="151"/>
      <c r="BY772" s="151"/>
    </row>
    <row r="773" spans="1:77" s="19" customFormat="1" x14ac:dyDescent="0.15">
      <c r="A773" s="151">
        <v>1407003032</v>
      </c>
      <c r="B773" s="157" t="s">
        <v>633</v>
      </c>
      <c r="C773" s="151" t="s">
        <v>100</v>
      </c>
      <c r="D773" s="151"/>
      <c r="E773" s="151" t="s">
        <v>78</v>
      </c>
      <c r="F773" s="151"/>
      <c r="G773" s="151"/>
      <c r="H773" s="151"/>
      <c r="I773" s="151"/>
      <c r="J773" s="165"/>
      <c r="K773" s="165"/>
      <c r="L773" s="165"/>
      <c r="M773" s="165"/>
      <c r="N773" s="165"/>
      <c r="O773" s="151" t="s">
        <v>90</v>
      </c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  <c r="AB773" s="151"/>
      <c r="AC773" s="151">
        <v>1407003203</v>
      </c>
      <c r="AD773" s="151">
        <v>1407003103</v>
      </c>
      <c r="AE773" s="151"/>
      <c r="AF773" s="151"/>
      <c r="AG773" s="151"/>
      <c r="AH773" s="151"/>
      <c r="AI773" s="151"/>
      <c r="AJ773" s="151"/>
      <c r="AK773" s="151"/>
      <c r="AL773" s="151"/>
      <c r="AM773" s="151"/>
      <c r="AN773" s="151"/>
      <c r="AO773" s="151"/>
      <c r="AP773" s="151"/>
      <c r="AQ773" s="151"/>
      <c r="AR773" s="151"/>
      <c r="AS773" s="151"/>
      <c r="AT773" s="151"/>
      <c r="AU773" s="151"/>
      <c r="AV773" s="151"/>
      <c r="AW773" s="151"/>
      <c r="AX773" s="151"/>
      <c r="AY773" s="151"/>
      <c r="AZ773" s="151"/>
      <c r="BA773" s="151"/>
      <c r="BB773" s="151"/>
      <c r="BC773" s="151"/>
      <c r="BD773" s="151"/>
      <c r="BE773" s="151"/>
      <c r="BF773" s="151"/>
      <c r="BG773" s="151"/>
      <c r="BH773" s="151"/>
      <c r="BI773" s="151"/>
      <c r="BJ773" s="151"/>
      <c r="BK773" s="151"/>
      <c r="BL773" s="151"/>
      <c r="BM773" s="151"/>
      <c r="BN773" s="151"/>
      <c r="BO773" s="151"/>
      <c r="BP773" s="151"/>
      <c r="BQ773" s="151"/>
      <c r="BR773" s="151"/>
      <c r="BS773" s="151"/>
      <c r="BT773" s="151"/>
      <c r="BU773" s="151"/>
      <c r="BV773" s="151"/>
      <c r="BW773" s="151"/>
      <c r="BX773" s="151"/>
      <c r="BY773" s="151"/>
    </row>
    <row r="774" spans="1:77" s="19" customFormat="1" x14ac:dyDescent="0.15">
      <c r="A774" s="151">
        <v>1407003042</v>
      </c>
      <c r="B774" s="157" t="s">
        <v>633</v>
      </c>
      <c r="C774" s="151" t="s">
        <v>100</v>
      </c>
      <c r="D774" s="151"/>
      <c r="E774" s="151" t="s">
        <v>78</v>
      </c>
      <c r="F774" s="151"/>
      <c r="G774" s="151"/>
      <c r="H774" s="151"/>
      <c r="I774" s="151"/>
      <c r="J774" s="165"/>
      <c r="K774" s="165"/>
      <c r="L774" s="165"/>
      <c r="M774" s="165"/>
      <c r="N774" s="165"/>
      <c r="O774" s="151" t="s">
        <v>90</v>
      </c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  <c r="AB774" s="151"/>
      <c r="AC774" s="151">
        <v>1407003204</v>
      </c>
      <c r="AD774" s="151">
        <v>1407003104</v>
      </c>
      <c r="AE774" s="151"/>
      <c r="AF774" s="151"/>
      <c r="AG774" s="151"/>
      <c r="AH774" s="151"/>
      <c r="AI774" s="151"/>
      <c r="AJ774" s="151"/>
      <c r="AK774" s="151"/>
      <c r="AL774" s="151"/>
      <c r="AM774" s="151"/>
      <c r="AN774" s="151"/>
      <c r="AO774" s="151"/>
      <c r="AP774" s="151"/>
      <c r="AQ774" s="151"/>
      <c r="AR774" s="151"/>
      <c r="AS774" s="151"/>
      <c r="AT774" s="151"/>
      <c r="AU774" s="151"/>
      <c r="AV774" s="151"/>
      <c r="AW774" s="151"/>
      <c r="AX774" s="151"/>
      <c r="AY774" s="151"/>
      <c r="AZ774" s="151"/>
      <c r="BA774" s="151"/>
      <c r="BB774" s="151"/>
      <c r="BC774" s="151"/>
      <c r="BD774" s="151"/>
      <c r="BE774" s="151"/>
      <c r="BF774" s="151"/>
      <c r="BG774" s="151"/>
      <c r="BH774" s="151"/>
      <c r="BI774" s="151"/>
      <c r="BJ774" s="151"/>
      <c r="BK774" s="151"/>
      <c r="BL774" s="151"/>
      <c r="BM774" s="151"/>
      <c r="BN774" s="151"/>
      <c r="BO774" s="151"/>
      <c r="BP774" s="151"/>
      <c r="BQ774" s="151"/>
      <c r="BR774" s="151"/>
      <c r="BS774" s="151"/>
      <c r="BT774" s="151"/>
      <c r="BU774" s="151"/>
      <c r="BV774" s="151"/>
      <c r="BW774" s="151"/>
      <c r="BX774" s="151"/>
      <c r="BY774" s="151"/>
    </row>
    <row r="775" spans="1:77" s="19" customFormat="1" x14ac:dyDescent="0.15">
      <c r="A775" s="151">
        <v>1407010011</v>
      </c>
      <c r="B775" s="157" t="s">
        <v>634</v>
      </c>
      <c r="C775" s="151" t="s">
        <v>100</v>
      </c>
      <c r="D775" s="151"/>
      <c r="E775" s="151" t="s">
        <v>83</v>
      </c>
      <c r="F775" s="151">
        <v>80000</v>
      </c>
      <c r="G775" s="151"/>
      <c r="H775" s="151"/>
      <c r="I775" s="151"/>
      <c r="J775" s="165"/>
      <c r="K775" s="165"/>
      <c r="L775" s="165"/>
      <c r="M775" s="165" t="s">
        <v>101</v>
      </c>
      <c r="N775" s="165" t="s">
        <v>842</v>
      </c>
      <c r="O775" s="151" t="s">
        <v>79</v>
      </c>
      <c r="P775" s="151" t="s">
        <v>80</v>
      </c>
      <c r="Q775" s="151">
        <v>180</v>
      </c>
      <c r="R775" s="151">
        <v>3500</v>
      </c>
      <c r="S775" s="151"/>
      <c r="T775" s="151"/>
      <c r="U775" s="151"/>
      <c r="V775" s="151"/>
      <c r="W775" s="151"/>
      <c r="X775" s="151"/>
      <c r="Y775" s="151"/>
      <c r="Z775" s="151"/>
      <c r="AA775" s="151"/>
      <c r="AB775" s="151"/>
      <c r="AC775" s="151"/>
      <c r="AD775" s="151"/>
      <c r="AE775" s="151"/>
      <c r="AF775" s="151"/>
      <c r="AG775" s="151"/>
      <c r="AH775" s="151"/>
      <c r="AI775" s="151"/>
      <c r="AJ775" s="151"/>
      <c r="AK775" s="151"/>
      <c r="AL775" s="151"/>
      <c r="AM775" s="151"/>
      <c r="AN775" s="151"/>
      <c r="AO775" s="151"/>
      <c r="AP775" s="151"/>
      <c r="AQ775" s="151"/>
      <c r="AR775" s="151"/>
      <c r="AS775" s="151"/>
      <c r="AT775" s="151"/>
      <c r="AU775" s="151"/>
      <c r="AV775" s="151"/>
      <c r="AW775" s="151"/>
      <c r="AX775" s="151"/>
      <c r="AY775" s="151"/>
      <c r="AZ775" s="151"/>
      <c r="BA775" s="151"/>
      <c r="BB775" s="151"/>
      <c r="BC775" s="151"/>
      <c r="BD775" s="151"/>
      <c r="BE775" s="151"/>
      <c r="BF775" s="151"/>
      <c r="BG775" s="151"/>
      <c r="BH775" s="151"/>
      <c r="BI775" s="151"/>
      <c r="BJ775" s="151"/>
      <c r="BK775" s="151"/>
      <c r="BL775" s="151"/>
      <c r="BM775" s="151"/>
      <c r="BN775" s="151"/>
      <c r="BO775" s="151"/>
      <c r="BP775" s="151"/>
      <c r="BQ775" s="151"/>
      <c r="BR775" s="151"/>
      <c r="BS775" s="151"/>
      <c r="BT775" s="151"/>
      <c r="BU775" s="151"/>
      <c r="BV775" s="151"/>
      <c r="BW775" s="151"/>
      <c r="BX775" s="151"/>
      <c r="BY775" s="151"/>
    </row>
    <row r="776" spans="1:77" s="19" customFormat="1" x14ac:dyDescent="0.15">
      <c r="A776" s="151">
        <v>1407010021</v>
      </c>
      <c r="B776" s="157" t="s">
        <v>634</v>
      </c>
      <c r="C776" s="151" t="s">
        <v>100</v>
      </c>
      <c r="D776" s="151"/>
      <c r="E776" s="151" t="s">
        <v>83</v>
      </c>
      <c r="F776" s="151">
        <v>80000</v>
      </c>
      <c r="G776" s="151"/>
      <c r="H776" s="151"/>
      <c r="I776" s="151"/>
      <c r="J776" s="165"/>
      <c r="K776" s="165"/>
      <c r="L776" s="165"/>
      <c r="M776" s="165" t="s">
        <v>101</v>
      </c>
      <c r="N776" s="165" t="s">
        <v>842</v>
      </c>
      <c r="O776" s="151" t="s">
        <v>79</v>
      </c>
      <c r="P776" s="151" t="s">
        <v>80</v>
      </c>
      <c r="Q776" s="151">
        <v>260</v>
      </c>
      <c r="R776" s="151">
        <v>3500</v>
      </c>
      <c r="S776" s="151"/>
      <c r="T776" s="151"/>
      <c r="U776" s="151"/>
      <c r="V776" s="151"/>
      <c r="W776" s="151"/>
      <c r="X776" s="151"/>
      <c r="Y776" s="151"/>
      <c r="Z776" s="151"/>
      <c r="AA776" s="151"/>
      <c r="AB776" s="151"/>
      <c r="AC776" s="151"/>
      <c r="AD776" s="151"/>
      <c r="AE776" s="151"/>
      <c r="AF776" s="151"/>
      <c r="AG776" s="151"/>
      <c r="AH776" s="151"/>
      <c r="AI776" s="151"/>
      <c r="AJ776" s="151"/>
      <c r="AK776" s="151"/>
      <c r="AL776" s="151"/>
      <c r="AM776" s="151"/>
      <c r="AN776" s="151"/>
      <c r="AO776" s="151"/>
      <c r="AP776" s="151"/>
      <c r="AQ776" s="151"/>
      <c r="AR776" s="151"/>
      <c r="AS776" s="151"/>
      <c r="AT776" s="151"/>
      <c r="AU776" s="151"/>
      <c r="AV776" s="151"/>
      <c r="AW776" s="151"/>
      <c r="AX776" s="151"/>
      <c r="AY776" s="151"/>
      <c r="AZ776" s="151"/>
      <c r="BA776" s="151"/>
      <c r="BB776" s="151"/>
      <c r="BC776" s="151"/>
      <c r="BD776" s="151"/>
      <c r="BE776" s="151"/>
      <c r="BF776" s="151"/>
      <c r="BG776" s="151"/>
      <c r="BH776" s="151"/>
      <c r="BI776" s="151"/>
      <c r="BJ776" s="151"/>
      <c r="BK776" s="151"/>
      <c r="BL776" s="151"/>
      <c r="BM776" s="151"/>
      <c r="BN776" s="151"/>
      <c r="BO776" s="151"/>
      <c r="BP776" s="151"/>
      <c r="BQ776" s="151"/>
      <c r="BR776" s="151"/>
      <c r="BS776" s="151"/>
      <c r="BT776" s="151"/>
      <c r="BU776" s="151"/>
      <c r="BV776" s="151"/>
      <c r="BW776" s="151"/>
      <c r="BX776" s="151"/>
      <c r="BY776" s="151"/>
    </row>
    <row r="777" spans="1:77" s="19" customFormat="1" x14ac:dyDescent="0.15">
      <c r="A777" s="151">
        <v>1407010031</v>
      </c>
      <c r="B777" s="157" t="s">
        <v>634</v>
      </c>
      <c r="C777" s="151" t="s">
        <v>100</v>
      </c>
      <c r="D777" s="151"/>
      <c r="E777" s="151" t="s">
        <v>83</v>
      </c>
      <c r="F777" s="151">
        <v>80000</v>
      </c>
      <c r="G777" s="151"/>
      <c r="H777" s="151"/>
      <c r="I777" s="151"/>
      <c r="J777" s="165"/>
      <c r="K777" s="165"/>
      <c r="L777" s="165"/>
      <c r="M777" s="165" t="s">
        <v>101</v>
      </c>
      <c r="N777" s="165" t="s">
        <v>842</v>
      </c>
      <c r="O777" s="151" t="s">
        <v>79</v>
      </c>
      <c r="P777" s="151" t="s">
        <v>80</v>
      </c>
      <c r="Q777" s="151">
        <v>340</v>
      </c>
      <c r="R777" s="151">
        <v>3500</v>
      </c>
      <c r="S777" s="151"/>
      <c r="T777" s="151"/>
      <c r="U777" s="151"/>
      <c r="V777" s="151"/>
      <c r="W777" s="151"/>
      <c r="X777" s="151"/>
      <c r="Y777" s="151"/>
      <c r="Z777" s="151"/>
      <c r="AA777" s="151"/>
      <c r="AB777" s="151"/>
      <c r="AC777" s="151"/>
      <c r="AD777" s="151"/>
      <c r="AE777" s="151"/>
      <c r="AF777" s="151"/>
      <c r="AG777" s="151"/>
      <c r="AH777" s="151"/>
      <c r="AI777" s="151"/>
      <c r="AJ777" s="151"/>
      <c r="AK777" s="151"/>
      <c r="AL777" s="151"/>
      <c r="AM777" s="151"/>
      <c r="AN777" s="151"/>
      <c r="AO777" s="151"/>
      <c r="AP777" s="151"/>
      <c r="AQ777" s="151"/>
      <c r="AR777" s="151"/>
      <c r="AS777" s="151"/>
      <c r="AT777" s="151"/>
      <c r="AU777" s="151"/>
      <c r="AV777" s="151"/>
      <c r="AW777" s="151"/>
      <c r="AX777" s="151"/>
      <c r="AY777" s="151"/>
      <c r="AZ777" s="151"/>
      <c r="BA777" s="151"/>
      <c r="BB777" s="151"/>
      <c r="BC777" s="151"/>
      <c r="BD777" s="151"/>
      <c r="BE777" s="151"/>
      <c r="BF777" s="151"/>
      <c r="BG777" s="151"/>
      <c r="BH777" s="151"/>
      <c r="BI777" s="151"/>
      <c r="BJ777" s="151"/>
      <c r="BK777" s="151"/>
      <c r="BL777" s="151"/>
      <c r="BM777" s="151"/>
      <c r="BN777" s="151"/>
      <c r="BO777" s="151"/>
      <c r="BP777" s="151"/>
      <c r="BQ777" s="151"/>
      <c r="BR777" s="151"/>
      <c r="BS777" s="151"/>
      <c r="BT777" s="151"/>
      <c r="BU777" s="151"/>
      <c r="BV777" s="151"/>
      <c r="BW777" s="151"/>
      <c r="BX777" s="151"/>
      <c r="BY777" s="151"/>
    </row>
    <row r="778" spans="1:77" s="19" customFormat="1" x14ac:dyDescent="0.15">
      <c r="A778" s="151">
        <v>1407010041</v>
      </c>
      <c r="B778" s="157" t="s">
        <v>634</v>
      </c>
      <c r="C778" s="151" t="s">
        <v>100</v>
      </c>
      <c r="D778" s="151"/>
      <c r="E778" s="151" t="s">
        <v>83</v>
      </c>
      <c r="F778" s="151">
        <v>80000</v>
      </c>
      <c r="G778" s="151"/>
      <c r="H778" s="151"/>
      <c r="I778" s="151"/>
      <c r="J778" s="165"/>
      <c r="K778" s="165"/>
      <c r="L778" s="165"/>
      <c r="M778" s="165" t="s">
        <v>101</v>
      </c>
      <c r="N778" s="165" t="s">
        <v>842</v>
      </c>
      <c r="O778" s="151" t="s">
        <v>79</v>
      </c>
      <c r="P778" s="151" t="s">
        <v>80</v>
      </c>
      <c r="Q778" s="151">
        <v>420</v>
      </c>
      <c r="R778" s="151">
        <v>3500</v>
      </c>
      <c r="S778" s="151"/>
      <c r="T778" s="151"/>
      <c r="U778" s="151"/>
      <c r="V778" s="151"/>
      <c r="W778" s="151"/>
      <c r="X778" s="151"/>
      <c r="Y778" s="151"/>
      <c r="Z778" s="151"/>
      <c r="AA778" s="151"/>
      <c r="AB778" s="151"/>
      <c r="AC778" s="151"/>
      <c r="AD778" s="151"/>
      <c r="AE778" s="151"/>
      <c r="AF778" s="151"/>
      <c r="AG778" s="151"/>
      <c r="AH778" s="151"/>
      <c r="AI778" s="151"/>
      <c r="AJ778" s="151"/>
      <c r="AK778" s="151"/>
      <c r="AL778" s="151"/>
      <c r="AM778" s="151"/>
      <c r="AN778" s="151"/>
      <c r="AO778" s="151"/>
      <c r="AP778" s="151"/>
      <c r="AQ778" s="151"/>
      <c r="AR778" s="151"/>
      <c r="AS778" s="151"/>
      <c r="AT778" s="151"/>
      <c r="AU778" s="151"/>
      <c r="AV778" s="151"/>
      <c r="AW778" s="151"/>
      <c r="AX778" s="151"/>
      <c r="AY778" s="151"/>
      <c r="AZ778" s="151"/>
      <c r="BA778" s="151"/>
      <c r="BB778" s="151"/>
      <c r="BC778" s="151"/>
      <c r="BD778" s="151"/>
      <c r="BE778" s="151"/>
      <c r="BF778" s="151"/>
      <c r="BG778" s="151"/>
      <c r="BH778" s="151"/>
      <c r="BI778" s="151"/>
      <c r="BJ778" s="151"/>
      <c r="BK778" s="151"/>
      <c r="BL778" s="151"/>
      <c r="BM778" s="151"/>
      <c r="BN778" s="151"/>
      <c r="BO778" s="151"/>
      <c r="BP778" s="151"/>
      <c r="BQ778" s="151"/>
      <c r="BR778" s="151"/>
      <c r="BS778" s="151"/>
      <c r="BT778" s="151"/>
      <c r="BU778" s="151"/>
      <c r="BV778" s="151"/>
      <c r="BW778" s="151"/>
      <c r="BX778" s="151"/>
      <c r="BY778" s="151"/>
    </row>
    <row r="779" spans="1:77" s="19" customFormat="1" x14ac:dyDescent="0.15">
      <c r="A779" s="151">
        <v>1407020011</v>
      </c>
      <c r="B779" s="157" t="s">
        <v>635</v>
      </c>
      <c r="C779" s="151" t="s">
        <v>89</v>
      </c>
      <c r="D779" s="151"/>
      <c r="E779" s="151" t="s">
        <v>78</v>
      </c>
      <c r="F779" s="151"/>
      <c r="G779" s="151"/>
      <c r="H779" s="151"/>
      <c r="I779" s="151"/>
      <c r="J779" s="165"/>
      <c r="K779" s="165"/>
      <c r="L779" s="165"/>
      <c r="M779" s="165"/>
      <c r="N779" s="165"/>
      <c r="O779" s="151" t="s">
        <v>90</v>
      </c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  <c r="AB779" s="151"/>
      <c r="AC779" s="151"/>
      <c r="AD779" s="151">
        <v>1407020101</v>
      </c>
      <c r="AE779" s="151"/>
      <c r="AF779" s="151"/>
      <c r="AG779" s="151"/>
      <c r="AH779" s="151"/>
      <c r="AI779" s="151"/>
      <c r="AJ779" s="151" t="s">
        <v>90</v>
      </c>
      <c r="AK779" s="151"/>
      <c r="AL779" s="151"/>
      <c r="AM779" s="151"/>
      <c r="AN779" s="151"/>
      <c r="AO779" s="151"/>
      <c r="AP779" s="151"/>
      <c r="AQ779" s="151"/>
      <c r="AR779" s="151"/>
      <c r="AS779" s="151"/>
      <c r="AT779" s="151"/>
      <c r="AU779" s="151"/>
      <c r="AV779" s="151"/>
      <c r="AW779" s="151"/>
      <c r="AX779" s="151"/>
      <c r="AY779" s="151">
        <v>1407020201</v>
      </c>
      <c r="AZ779" s="151"/>
      <c r="BA779" s="151"/>
      <c r="BB779" s="151"/>
      <c r="BC779" s="151"/>
      <c r="BD779" s="151"/>
      <c r="BE779" s="151"/>
      <c r="BF779" s="151"/>
      <c r="BG779" s="151"/>
      <c r="BH779" s="151"/>
      <c r="BI779" s="151"/>
      <c r="BJ779" s="151"/>
      <c r="BK779" s="151"/>
      <c r="BL779" s="151"/>
      <c r="BM779" s="151"/>
      <c r="BN779" s="151"/>
      <c r="BO779" s="151"/>
      <c r="BP779" s="151"/>
      <c r="BQ779" s="151"/>
      <c r="BR779" s="151"/>
      <c r="BS779" s="151"/>
      <c r="BT779" s="151"/>
      <c r="BU779" s="151"/>
      <c r="BV779" s="151"/>
      <c r="BW779" s="151"/>
      <c r="BX779" s="151"/>
      <c r="BY779" s="151"/>
    </row>
    <row r="780" spans="1:77" s="19" customFormat="1" x14ac:dyDescent="0.15">
      <c r="A780" s="151">
        <v>1407020021</v>
      </c>
      <c r="B780" s="157" t="s">
        <v>635</v>
      </c>
      <c r="C780" s="151" t="s">
        <v>89</v>
      </c>
      <c r="D780" s="151"/>
      <c r="E780" s="151" t="s">
        <v>78</v>
      </c>
      <c r="F780" s="151"/>
      <c r="G780" s="151"/>
      <c r="H780" s="151"/>
      <c r="I780" s="151"/>
      <c r="J780" s="165"/>
      <c r="K780" s="165"/>
      <c r="L780" s="165"/>
      <c r="M780" s="165"/>
      <c r="N780" s="165"/>
      <c r="O780" s="151" t="s">
        <v>90</v>
      </c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  <c r="AB780" s="151"/>
      <c r="AC780" s="151"/>
      <c r="AD780" s="151">
        <v>1407020102</v>
      </c>
      <c r="AE780" s="151"/>
      <c r="AF780" s="151"/>
      <c r="AG780" s="151"/>
      <c r="AH780" s="151"/>
      <c r="AI780" s="151"/>
      <c r="AJ780" s="151" t="s">
        <v>90</v>
      </c>
      <c r="AK780" s="151"/>
      <c r="AL780" s="151"/>
      <c r="AM780" s="151"/>
      <c r="AN780" s="151"/>
      <c r="AO780" s="151"/>
      <c r="AP780" s="151"/>
      <c r="AQ780" s="151"/>
      <c r="AR780" s="151"/>
      <c r="AS780" s="151"/>
      <c r="AT780" s="151"/>
      <c r="AU780" s="151"/>
      <c r="AV780" s="151"/>
      <c r="AW780" s="151"/>
      <c r="AX780" s="151"/>
      <c r="AY780" s="151">
        <v>1407020201</v>
      </c>
      <c r="AZ780" s="151"/>
      <c r="BA780" s="151"/>
      <c r="BB780" s="151"/>
      <c r="BC780" s="151"/>
      <c r="BD780" s="151"/>
      <c r="BE780" s="151"/>
      <c r="BF780" s="151"/>
      <c r="BG780" s="151"/>
      <c r="BH780" s="151"/>
      <c r="BI780" s="151"/>
      <c r="BJ780" s="151"/>
      <c r="BK780" s="151"/>
      <c r="BL780" s="151"/>
      <c r="BM780" s="151"/>
      <c r="BN780" s="151"/>
      <c r="BO780" s="151"/>
      <c r="BP780" s="151"/>
      <c r="BQ780" s="151"/>
      <c r="BR780" s="151"/>
      <c r="BS780" s="151"/>
      <c r="BT780" s="151"/>
      <c r="BU780" s="151"/>
      <c r="BV780" s="151"/>
      <c r="BW780" s="151"/>
      <c r="BX780" s="151"/>
      <c r="BY780" s="151"/>
    </row>
    <row r="781" spans="1:77" s="19" customFormat="1" x14ac:dyDescent="0.15">
      <c r="A781" s="151">
        <v>1407020031</v>
      </c>
      <c r="B781" s="157" t="s">
        <v>635</v>
      </c>
      <c r="C781" s="151" t="s">
        <v>89</v>
      </c>
      <c r="D781" s="151"/>
      <c r="E781" s="151" t="s">
        <v>78</v>
      </c>
      <c r="F781" s="151"/>
      <c r="G781" s="151"/>
      <c r="H781" s="151"/>
      <c r="I781" s="151"/>
      <c r="J781" s="165"/>
      <c r="K781" s="165"/>
      <c r="L781" s="165"/>
      <c r="M781" s="165"/>
      <c r="N781" s="165"/>
      <c r="O781" s="151" t="s">
        <v>90</v>
      </c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  <c r="AB781" s="151"/>
      <c r="AC781" s="151"/>
      <c r="AD781" s="151">
        <v>1407020103</v>
      </c>
      <c r="AE781" s="151"/>
      <c r="AF781" s="151"/>
      <c r="AG781" s="151"/>
      <c r="AH781" s="151"/>
      <c r="AI781" s="151"/>
      <c r="AJ781" s="151" t="s">
        <v>90</v>
      </c>
      <c r="AK781" s="151"/>
      <c r="AL781" s="151"/>
      <c r="AM781" s="151"/>
      <c r="AN781" s="151"/>
      <c r="AO781" s="151"/>
      <c r="AP781" s="151"/>
      <c r="AQ781" s="151"/>
      <c r="AR781" s="151"/>
      <c r="AS781" s="151"/>
      <c r="AT781" s="151"/>
      <c r="AU781" s="151"/>
      <c r="AV781" s="151"/>
      <c r="AW781" s="151"/>
      <c r="AX781" s="151"/>
      <c r="AY781" s="151">
        <v>1407020201</v>
      </c>
      <c r="AZ781" s="151"/>
      <c r="BA781" s="151"/>
      <c r="BB781" s="151"/>
      <c r="BC781" s="151"/>
      <c r="BD781" s="151"/>
      <c r="BE781" s="151"/>
      <c r="BF781" s="151"/>
      <c r="BG781" s="151"/>
      <c r="BH781" s="151"/>
      <c r="BI781" s="151"/>
      <c r="BJ781" s="151"/>
      <c r="BK781" s="151"/>
      <c r="BL781" s="151"/>
      <c r="BM781" s="151"/>
      <c r="BN781" s="151"/>
      <c r="BO781" s="151"/>
      <c r="BP781" s="151"/>
      <c r="BQ781" s="151"/>
      <c r="BR781" s="151"/>
      <c r="BS781" s="151"/>
      <c r="BT781" s="151"/>
      <c r="BU781" s="151"/>
      <c r="BV781" s="151"/>
      <c r="BW781" s="151"/>
      <c r="BX781" s="151"/>
      <c r="BY781" s="151"/>
    </row>
    <row r="782" spans="1:77" s="19" customFormat="1" x14ac:dyDescent="0.15">
      <c r="A782" s="151">
        <v>1407020041</v>
      </c>
      <c r="B782" s="157" t="s">
        <v>635</v>
      </c>
      <c r="C782" s="151" t="s">
        <v>89</v>
      </c>
      <c r="D782" s="151"/>
      <c r="E782" s="151" t="s">
        <v>78</v>
      </c>
      <c r="F782" s="151"/>
      <c r="G782" s="151"/>
      <c r="H782" s="151"/>
      <c r="I782" s="151"/>
      <c r="J782" s="165"/>
      <c r="K782" s="165"/>
      <c r="L782" s="165"/>
      <c r="M782" s="165"/>
      <c r="N782" s="165"/>
      <c r="O782" s="151" t="s">
        <v>90</v>
      </c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  <c r="AB782" s="151"/>
      <c r="AC782" s="151"/>
      <c r="AD782" s="151">
        <v>1407020104</v>
      </c>
      <c r="AE782" s="151"/>
      <c r="AF782" s="151"/>
      <c r="AG782" s="151"/>
      <c r="AH782" s="151"/>
      <c r="AI782" s="151"/>
      <c r="AJ782" s="151" t="s">
        <v>90</v>
      </c>
      <c r="AK782" s="151"/>
      <c r="AL782" s="151"/>
      <c r="AM782" s="151"/>
      <c r="AN782" s="151"/>
      <c r="AO782" s="151"/>
      <c r="AP782" s="151"/>
      <c r="AQ782" s="151"/>
      <c r="AR782" s="151"/>
      <c r="AS782" s="151"/>
      <c r="AT782" s="151"/>
      <c r="AU782" s="151"/>
      <c r="AV782" s="151"/>
      <c r="AW782" s="151"/>
      <c r="AX782" s="151"/>
      <c r="AY782" s="151">
        <v>1407020201</v>
      </c>
      <c r="AZ782" s="151"/>
      <c r="BA782" s="151"/>
      <c r="BB782" s="151"/>
      <c r="BC782" s="151"/>
      <c r="BD782" s="151"/>
      <c r="BE782" s="151"/>
      <c r="BF782" s="151"/>
      <c r="BG782" s="151"/>
      <c r="BH782" s="151"/>
      <c r="BI782" s="151"/>
      <c r="BJ782" s="151"/>
      <c r="BK782" s="151"/>
      <c r="BL782" s="151"/>
      <c r="BM782" s="151"/>
      <c r="BN782" s="151"/>
      <c r="BO782" s="151"/>
      <c r="BP782" s="151"/>
      <c r="BQ782" s="151"/>
      <c r="BR782" s="151"/>
      <c r="BS782" s="151"/>
      <c r="BT782" s="151"/>
      <c r="BU782" s="151"/>
      <c r="BV782" s="151"/>
      <c r="BW782" s="151"/>
      <c r="BX782" s="151"/>
      <c r="BY782" s="151"/>
    </row>
    <row r="783" spans="1:77" s="19" customFormat="1" x14ac:dyDescent="0.15">
      <c r="A783" s="151">
        <v>1407020012</v>
      </c>
      <c r="B783" s="157" t="s">
        <v>636</v>
      </c>
      <c r="C783" s="151" t="s">
        <v>89</v>
      </c>
      <c r="D783" s="151"/>
      <c r="E783" s="151" t="s">
        <v>78</v>
      </c>
      <c r="F783" s="151"/>
      <c r="G783" s="151"/>
      <c r="H783" s="151"/>
      <c r="I783" s="151"/>
      <c r="J783" s="165"/>
      <c r="K783" s="165"/>
      <c r="L783" s="165"/>
      <c r="M783" s="165"/>
      <c r="N783" s="165"/>
      <c r="O783" s="151" t="s">
        <v>637</v>
      </c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  <c r="AB783" s="151"/>
      <c r="AC783" s="151"/>
      <c r="AD783" s="151"/>
      <c r="AE783" s="151"/>
      <c r="AF783" s="151"/>
      <c r="AG783" s="151"/>
      <c r="AH783" s="151"/>
      <c r="AI783" s="151"/>
      <c r="AJ783" s="151" t="s">
        <v>95</v>
      </c>
      <c r="AK783" s="151"/>
      <c r="AL783" s="151"/>
      <c r="AM783" s="151"/>
      <c r="AN783" s="151"/>
      <c r="AO783" s="151"/>
      <c r="AP783" s="151"/>
      <c r="AQ783" s="151"/>
      <c r="AR783" s="151"/>
      <c r="AS783" s="151"/>
      <c r="AT783" s="151"/>
      <c r="AU783" s="151"/>
      <c r="AV783" s="151"/>
      <c r="AW783" s="151"/>
      <c r="AX783" s="151"/>
      <c r="AY783" s="151"/>
      <c r="AZ783" s="151">
        <v>20000839</v>
      </c>
      <c r="BA783" s="151" t="s">
        <v>96</v>
      </c>
      <c r="BB783" s="151"/>
      <c r="BC783" s="151">
        <v>1</v>
      </c>
      <c r="BD783" s="151"/>
      <c r="BE783" s="151"/>
      <c r="BF783" s="151"/>
      <c r="BG783" s="151"/>
      <c r="BH783" s="151"/>
      <c r="BI783" s="151"/>
      <c r="BJ783" s="151"/>
      <c r="BK783" s="151"/>
      <c r="BL783" s="151"/>
      <c r="BM783" s="151"/>
      <c r="BN783" s="151"/>
      <c r="BO783" s="151"/>
      <c r="BP783" s="151"/>
      <c r="BQ783" s="151"/>
      <c r="BR783" s="151"/>
      <c r="BS783" s="151"/>
      <c r="BT783" s="151"/>
      <c r="BU783" s="151"/>
      <c r="BV783" s="151"/>
      <c r="BW783" s="151"/>
      <c r="BX783" s="151"/>
      <c r="BY783" s="151"/>
    </row>
    <row r="784" spans="1:77" s="19" customFormat="1" x14ac:dyDescent="0.15">
      <c r="A784" s="151">
        <v>1407021011</v>
      </c>
      <c r="B784" s="157" t="s">
        <v>638</v>
      </c>
      <c r="C784" s="151" t="s">
        <v>89</v>
      </c>
      <c r="D784" s="151"/>
      <c r="E784" s="151" t="s">
        <v>78</v>
      </c>
      <c r="F784" s="151"/>
      <c r="G784" s="151"/>
      <c r="H784" s="151"/>
      <c r="I784" s="151"/>
      <c r="J784" s="165"/>
      <c r="K784" s="165"/>
      <c r="L784" s="165"/>
      <c r="M784" s="165"/>
      <c r="N784" s="165"/>
      <c r="O784" s="151" t="s">
        <v>639</v>
      </c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  <c r="AB784" s="151"/>
      <c r="AC784" s="151"/>
      <c r="AD784" s="151"/>
      <c r="AE784" s="151"/>
      <c r="AF784" s="151"/>
      <c r="AG784" s="151"/>
      <c r="AH784" s="151"/>
      <c r="AI784" s="151"/>
      <c r="AJ784" s="151" t="s">
        <v>531</v>
      </c>
      <c r="AK784" s="151"/>
      <c r="AL784" s="151"/>
      <c r="AM784" s="151"/>
      <c r="AN784" s="151"/>
      <c r="AO784" s="151"/>
      <c r="AP784" s="151"/>
      <c r="AQ784" s="151"/>
      <c r="AR784" s="151"/>
      <c r="AS784" s="151"/>
      <c r="AT784" s="151"/>
      <c r="AU784" s="151"/>
      <c r="AV784" s="151"/>
      <c r="AW784" s="151"/>
      <c r="AX784" s="151"/>
      <c r="AY784" s="151"/>
      <c r="AZ784" s="151">
        <v>1407020</v>
      </c>
      <c r="BA784" s="151"/>
      <c r="BB784" s="151"/>
      <c r="BC784" s="151"/>
      <c r="BD784" s="151"/>
      <c r="BE784" s="151"/>
      <c r="BF784" s="151"/>
      <c r="BG784" s="151"/>
      <c r="BH784" s="151"/>
      <c r="BI784" s="151"/>
      <c r="BJ784" s="151"/>
      <c r="BK784" s="151"/>
      <c r="BL784" s="151"/>
      <c r="BM784" s="151"/>
      <c r="BN784" s="151"/>
      <c r="BO784" s="151"/>
      <c r="BP784" s="151"/>
      <c r="BQ784" s="151"/>
      <c r="BR784" s="151"/>
      <c r="BS784" s="151"/>
      <c r="BT784" s="151"/>
      <c r="BU784" s="151"/>
      <c r="BV784" s="151"/>
      <c r="BW784" s="151"/>
      <c r="BX784" s="151"/>
      <c r="BY784" s="174"/>
    </row>
    <row r="785" spans="1:77" s="19" customFormat="1" x14ac:dyDescent="0.15">
      <c r="A785" s="151">
        <v>1407021012</v>
      </c>
      <c r="B785" s="157" t="s">
        <v>640</v>
      </c>
      <c r="C785" s="151" t="s">
        <v>89</v>
      </c>
      <c r="D785" s="151"/>
      <c r="E785" s="151" t="s">
        <v>78</v>
      </c>
      <c r="F785" s="151"/>
      <c r="G785" s="151"/>
      <c r="H785" s="151"/>
      <c r="I785" s="151"/>
      <c r="J785" s="165"/>
      <c r="K785" s="165"/>
      <c r="L785" s="165"/>
      <c r="M785" s="165"/>
      <c r="N785" s="165"/>
      <c r="O785" s="151" t="s">
        <v>186</v>
      </c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  <c r="AB785" s="151"/>
      <c r="AC785" s="151"/>
      <c r="AD785" s="151"/>
      <c r="AE785" s="151">
        <v>0</v>
      </c>
      <c r="AF785" s="151">
        <v>20000839</v>
      </c>
      <c r="AG785" s="151"/>
      <c r="AH785" s="151"/>
      <c r="AI785" s="151"/>
      <c r="AJ785" s="151"/>
      <c r="AK785" s="151"/>
      <c r="AL785" s="151"/>
      <c r="AM785" s="151"/>
      <c r="AN785" s="151"/>
      <c r="AO785" s="151"/>
      <c r="AP785" s="151"/>
      <c r="AQ785" s="151"/>
      <c r="AR785" s="151"/>
      <c r="AS785" s="151"/>
      <c r="AT785" s="151"/>
      <c r="AU785" s="151"/>
      <c r="AV785" s="151"/>
      <c r="AW785" s="151"/>
      <c r="AX785" s="151"/>
      <c r="AY785" s="151"/>
      <c r="AZ785" s="151"/>
      <c r="BA785" s="151"/>
      <c r="BB785" s="151"/>
      <c r="BC785" s="151"/>
      <c r="BD785" s="151"/>
      <c r="BE785" s="151"/>
      <c r="BF785" s="151"/>
      <c r="BG785" s="151"/>
      <c r="BH785" s="151"/>
      <c r="BI785" s="151"/>
      <c r="BJ785" s="151"/>
      <c r="BK785" s="151"/>
      <c r="BL785" s="151"/>
      <c r="BM785" s="151"/>
      <c r="BN785" s="151"/>
      <c r="BO785" s="151"/>
      <c r="BP785" s="151"/>
      <c r="BQ785" s="151"/>
      <c r="BR785" s="151"/>
      <c r="BS785" s="151"/>
      <c r="BT785" s="151"/>
      <c r="BU785" s="151"/>
      <c r="BV785" s="151"/>
      <c r="BW785" s="151"/>
      <c r="BX785" s="151"/>
      <c r="BY785" s="174"/>
    </row>
    <row r="786" spans="1:77" s="19" customFormat="1" x14ac:dyDescent="0.15">
      <c r="A786" s="151">
        <v>1407040011</v>
      </c>
      <c r="B786" s="157" t="s">
        <v>641</v>
      </c>
      <c r="C786" s="151" t="s">
        <v>89</v>
      </c>
      <c r="D786" s="151"/>
      <c r="E786" s="151" t="s">
        <v>78</v>
      </c>
      <c r="F786" s="151"/>
      <c r="G786" s="151"/>
      <c r="H786" s="151"/>
      <c r="I786" s="151"/>
      <c r="J786" s="165"/>
      <c r="K786" s="165"/>
      <c r="L786" s="165"/>
      <c r="M786" s="165"/>
      <c r="N786" s="165"/>
      <c r="O786" s="151" t="s">
        <v>95</v>
      </c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  <c r="AB786" s="151"/>
      <c r="AC786" s="151"/>
      <c r="AD786" s="151"/>
      <c r="AE786" s="151">
        <v>20000829</v>
      </c>
      <c r="AF786" s="151" t="s">
        <v>142</v>
      </c>
      <c r="AG786" s="151">
        <v>-50000</v>
      </c>
      <c r="AH786" s="151">
        <v>1</v>
      </c>
      <c r="AI786" s="151">
        <v>1</v>
      </c>
      <c r="AJ786" s="151"/>
      <c r="AK786" s="151"/>
      <c r="AL786" s="151"/>
      <c r="AM786" s="151"/>
      <c r="AN786" s="151"/>
      <c r="AO786" s="151"/>
      <c r="AP786" s="151"/>
      <c r="AQ786" s="151"/>
      <c r="AR786" s="151"/>
      <c r="AS786" s="151"/>
      <c r="AT786" s="151"/>
      <c r="AU786" s="151"/>
      <c r="AV786" s="151"/>
      <c r="AW786" s="151"/>
      <c r="AX786" s="151"/>
      <c r="AY786" s="151"/>
      <c r="AZ786" s="151"/>
      <c r="BA786" s="151"/>
      <c r="BB786" s="151"/>
      <c r="BC786" s="151"/>
      <c r="BD786" s="151"/>
      <c r="BE786" s="151"/>
      <c r="BF786" s="151"/>
      <c r="BG786" s="151"/>
      <c r="BH786" s="151"/>
      <c r="BI786" s="151"/>
      <c r="BJ786" s="151"/>
      <c r="BK786" s="151"/>
      <c r="BL786" s="151"/>
      <c r="BM786" s="151"/>
      <c r="BN786" s="151"/>
      <c r="BO786" s="151"/>
      <c r="BP786" s="151"/>
      <c r="BQ786" s="151"/>
      <c r="BR786" s="151"/>
      <c r="BS786" s="151"/>
      <c r="BT786" s="151"/>
      <c r="BU786" s="151"/>
      <c r="BV786" s="151"/>
      <c r="BW786" s="151"/>
      <c r="BX786" s="151"/>
      <c r="BY786" s="174"/>
    </row>
    <row r="787" spans="1:77" s="19" customFormat="1" x14ac:dyDescent="0.15">
      <c r="A787" s="151">
        <v>1407040021</v>
      </c>
      <c r="B787" s="157" t="s">
        <v>641</v>
      </c>
      <c r="C787" s="151" t="s">
        <v>89</v>
      </c>
      <c r="D787" s="151"/>
      <c r="E787" s="151" t="s">
        <v>78</v>
      </c>
      <c r="F787" s="151"/>
      <c r="G787" s="151"/>
      <c r="H787" s="151"/>
      <c r="I787" s="151"/>
      <c r="J787" s="165"/>
      <c r="K787" s="165"/>
      <c r="L787" s="165"/>
      <c r="M787" s="165"/>
      <c r="N787" s="165"/>
      <c r="O787" s="151" t="s">
        <v>95</v>
      </c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  <c r="AB787" s="151"/>
      <c r="AC787" s="151"/>
      <c r="AD787" s="151"/>
      <c r="AE787" s="151">
        <v>20000830</v>
      </c>
      <c r="AF787" s="151" t="s">
        <v>142</v>
      </c>
      <c r="AG787" s="151">
        <v>-50000</v>
      </c>
      <c r="AH787" s="151">
        <v>1</v>
      </c>
      <c r="AI787" s="151">
        <v>1</v>
      </c>
      <c r="AJ787" s="151"/>
      <c r="AK787" s="151"/>
      <c r="AL787" s="151"/>
      <c r="AM787" s="151"/>
      <c r="AN787" s="151"/>
      <c r="AO787" s="151"/>
      <c r="AP787" s="151"/>
      <c r="AQ787" s="151"/>
      <c r="AR787" s="151"/>
      <c r="AS787" s="151"/>
      <c r="AT787" s="151"/>
      <c r="AU787" s="151"/>
      <c r="AV787" s="151"/>
      <c r="AW787" s="151"/>
      <c r="AX787" s="151"/>
      <c r="AY787" s="151"/>
      <c r="AZ787" s="151"/>
      <c r="BA787" s="151"/>
      <c r="BB787" s="151"/>
      <c r="BC787" s="151"/>
      <c r="BD787" s="151"/>
      <c r="BE787" s="151"/>
      <c r="BF787" s="151"/>
      <c r="BG787" s="151"/>
      <c r="BH787" s="151"/>
      <c r="BI787" s="151"/>
      <c r="BJ787" s="151"/>
      <c r="BK787" s="151"/>
      <c r="BL787" s="151"/>
      <c r="BM787" s="151"/>
      <c r="BN787" s="151"/>
      <c r="BO787" s="151"/>
      <c r="BP787" s="151"/>
      <c r="BQ787" s="151"/>
      <c r="BR787" s="151"/>
      <c r="BS787" s="151"/>
      <c r="BT787" s="151"/>
      <c r="BU787" s="151"/>
      <c r="BV787" s="151"/>
      <c r="BW787" s="151"/>
      <c r="BX787" s="151"/>
      <c r="BY787" s="174"/>
    </row>
    <row r="788" spans="1:77" x14ac:dyDescent="0.15">
      <c r="A788" s="148">
        <v>1404001011</v>
      </c>
      <c r="B788" s="149" t="s">
        <v>642</v>
      </c>
      <c r="C788" s="148" t="s">
        <v>77</v>
      </c>
      <c r="D788" s="148"/>
      <c r="E788" s="148" t="s">
        <v>78</v>
      </c>
      <c r="F788" s="148"/>
      <c r="G788" s="148"/>
      <c r="H788" s="148"/>
      <c r="I788" s="148"/>
      <c r="J788" s="161"/>
      <c r="K788" s="161"/>
      <c r="L788" s="161"/>
      <c r="M788" s="161"/>
      <c r="N788" s="161"/>
      <c r="O788" s="148" t="s">
        <v>79</v>
      </c>
      <c r="P788" s="148" t="s">
        <v>80</v>
      </c>
      <c r="Q788" s="148"/>
      <c r="R788" s="148">
        <v>10000</v>
      </c>
      <c r="S788" s="148"/>
      <c r="T788" s="148">
        <v>10000</v>
      </c>
      <c r="U788" s="148"/>
      <c r="V788" s="148" t="s">
        <v>101</v>
      </c>
      <c r="W788" s="148"/>
      <c r="X788" s="148"/>
      <c r="Y788" s="148"/>
      <c r="Z788" s="148"/>
      <c r="AA788" s="148"/>
      <c r="AB788" s="148"/>
      <c r="AC788" s="148"/>
      <c r="AD788" s="148"/>
      <c r="AE788" s="148"/>
      <c r="AF788" s="148"/>
      <c r="AG788" s="148"/>
      <c r="AH788" s="148"/>
      <c r="AI788" s="148"/>
      <c r="AJ788" s="148"/>
      <c r="AK788" s="148"/>
      <c r="AL788" s="148"/>
      <c r="AM788" s="148"/>
      <c r="AN788" s="148"/>
      <c r="AO788" s="148"/>
      <c r="AP788" s="148"/>
      <c r="AQ788" s="148"/>
      <c r="AR788" s="148"/>
      <c r="AS788" s="148"/>
      <c r="AT788" s="148"/>
      <c r="AU788" s="148"/>
      <c r="AV788" s="148"/>
      <c r="AW788" s="148"/>
      <c r="AX788" s="148"/>
      <c r="AY788" s="148"/>
      <c r="AZ788" s="148"/>
      <c r="BA788" s="148"/>
      <c r="BB788" s="148"/>
      <c r="BC788" s="148"/>
      <c r="BD788" s="148"/>
      <c r="BE788" s="148"/>
      <c r="BF788" s="148"/>
      <c r="BG788" s="148"/>
      <c r="BH788" s="148"/>
      <c r="BI788" s="148"/>
      <c r="BJ788" s="148"/>
      <c r="BK788" s="148"/>
      <c r="BL788" s="148"/>
      <c r="BM788" s="148"/>
      <c r="BN788" s="148"/>
      <c r="BO788" s="148"/>
      <c r="BP788" s="148"/>
      <c r="BQ788" s="148"/>
      <c r="BR788" s="148"/>
      <c r="BS788" s="148"/>
      <c r="BT788" s="148"/>
      <c r="BU788" s="148"/>
      <c r="BV788" s="148"/>
      <c r="BW788" s="148"/>
      <c r="BX788" s="148"/>
      <c r="BY788" s="170"/>
    </row>
    <row r="789" spans="1:77" x14ac:dyDescent="0.15">
      <c r="A789" s="148">
        <v>1404200011</v>
      </c>
      <c r="B789" s="149" t="s">
        <v>643</v>
      </c>
      <c r="C789" s="148" t="s">
        <v>77</v>
      </c>
      <c r="D789" s="148"/>
      <c r="E789" s="148" t="s">
        <v>78</v>
      </c>
      <c r="F789" s="148"/>
      <c r="G789" s="148"/>
      <c r="H789" s="148"/>
      <c r="I789" s="148"/>
      <c r="J789" s="161"/>
      <c r="K789" s="161"/>
      <c r="L789" s="161"/>
      <c r="M789" s="161"/>
      <c r="N789" s="161"/>
      <c r="O789" s="148" t="s">
        <v>90</v>
      </c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  <c r="AC789" s="148">
        <v>1404200201</v>
      </c>
      <c r="AD789" s="148">
        <v>1404200101</v>
      </c>
      <c r="AE789" s="148"/>
      <c r="AF789" s="148"/>
      <c r="AG789" s="148"/>
      <c r="AH789" s="148"/>
      <c r="AI789" s="148"/>
      <c r="AJ789" s="148"/>
      <c r="AK789" s="148"/>
      <c r="AL789" s="148"/>
      <c r="AM789" s="148"/>
      <c r="AN789" s="148"/>
      <c r="AO789" s="148"/>
      <c r="AP789" s="148"/>
      <c r="AQ789" s="148"/>
      <c r="AR789" s="148"/>
      <c r="AS789" s="148"/>
      <c r="AT789" s="148"/>
      <c r="AU789" s="148"/>
      <c r="AV789" s="148"/>
      <c r="AW789" s="148"/>
      <c r="AX789" s="148"/>
      <c r="AY789" s="148"/>
      <c r="AZ789" s="148"/>
      <c r="BA789" s="148"/>
      <c r="BB789" s="148"/>
      <c r="BC789" s="148"/>
      <c r="BD789" s="148"/>
      <c r="BE789" s="148"/>
      <c r="BF789" s="148"/>
      <c r="BG789" s="148"/>
      <c r="BH789" s="148"/>
      <c r="BI789" s="148"/>
      <c r="BJ789" s="148"/>
      <c r="BK789" s="148"/>
      <c r="BL789" s="148"/>
      <c r="BM789" s="148"/>
      <c r="BN789" s="148"/>
      <c r="BO789" s="148"/>
      <c r="BP789" s="148"/>
      <c r="BQ789" s="148"/>
      <c r="BR789" s="148"/>
      <c r="BS789" s="148"/>
      <c r="BT789" s="148"/>
      <c r="BU789" s="148"/>
      <c r="BV789" s="148"/>
      <c r="BW789" s="148"/>
      <c r="BX789" s="148"/>
      <c r="BY789" s="170"/>
    </row>
    <row r="790" spans="1:77" x14ac:dyDescent="0.15">
      <c r="A790" s="148">
        <v>1404200021</v>
      </c>
      <c r="B790" s="149" t="s">
        <v>643</v>
      </c>
      <c r="C790" s="148" t="s">
        <v>77</v>
      </c>
      <c r="D790" s="148"/>
      <c r="E790" s="148" t="s">
        <v>78</v>
      </c>
      <c r="F790" s="148"/>
      <c r="G790" s="148"/>
      <c r="H790" s="148"/>
      <c r="I790" s="148"/>
      <c r="J790" s="161"/>
      <c r="K790" s="161"/>
      <c r="L790" s="161"/>
      <c r="M790" s="161"/>
      <c r="N790" s="161"/>
      <c r="O790" s="148" t="s">
        <v>90</v>
      </c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  <c r="AC790" s="148">
        <v>1404200202</v>
      </c>
      <c r="AD790" s="148">
        <v>1404200102</v>
      </c>
      <c r="AE790" s="148"/>
      <c r="AF790" s="148"/>
      <c r="AG790" s="148"/>
      <c r="AH790" s="148"/>
      <c r="AI790" s="148"/>
      <c r="AJ790" s="148"/>
      <c r="AK790" s="148"/>
      <c r="AL790" s="148"/>
      <c r="AM790" s="148"/>
      <c r="AN790" s="148"/>
      <c r="AO790" s="148"/>
      <c r="AP790" s="148"/>
      <c r="AQ790" s="148"/>
      <c r="AR790" s="148"/>
      <c r="AS790" s="148"/>
      <c r="AT790" s="148"/>
      <c r="AU790" s="148"/>
      <c r="AV790" s="148"/>
      <c r="AW790" s="148"/>
      <c r="AX790" s="148"/>
      <c r="AY790" s="148"/>
      <c r="AZ790" s="148"/>
      <c r="BA790" s="148"/>
      <c r="BB790" s="148"/>
      <c r="BC790" s="148"/>
      <c r="BD790" s="148"/>
      <c r="BE790" s="148"/>
      <c r="BF790" s="148"/>
      <c r="BG790" s="148"/>
      <c r="BH790" s="148"/>
      <c r="BI790" s="148"/>
      <c r="BJ790" s="148"/>
      <c r="BK790" s="148"/>
      <c r="BL790" s="148"/>
      <c r="BM790" s="148"/>
      <c r="BN790" s="148"/>
      <c r="BO790" s="148"/>
      <c r="BP790" s="148"/>
      <c r="BQ790" s="148"/>
      <c r="BR790" s="148"/>
      <c r="BS790" s="148"/>
      <c r="BT790" s="148"/>
      <c r="BU790" s="148"/>
      <c r="BV790" s="148"/>
      <c r="BW790" s="148"/>
      <c r="BX790" s="148"/>
      <c r="BY790" s="170"/>
    </row>
    <row r="791" spans="1:77" x14ac:dyDescent="0.15">
      <c r="A791" s="148">
        <v>1404200031</v>
      </c>
      <c r="B791" s="149" t="s">
        <v>643</v>
      </c>
      <c r="C791" s="148" t="s">
        <v>77</v>
      </c>
      <c r="D791" s="148"/>
      <c r="E791" s="148" t="s">
        <v>78</v>
      </c>
      <c r="F791" s="148"/>
      <c r="G791" s="148"/>
      <c r="H791" s="148"/>
      <c r="I791" s="148"/>
      <c r="J791" s="161"/>
      <c r="K791" s="161"/>
      <c r="L791" s="161"/>
      <c r="M791" s="161"/>
      <c r="N791" s="161"/>
      <c r="O791" s="148" t="s">
        <v>90</v>
      </c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  <c r="AC791" s="148">
        <v>1404200203</v>
      </c>
      <c r="AD791" s="148">
        <v>1404200103</v>
      </c>
      <c r="AE791" s="148"/>
      <c r="AF791" s="148"/>
      <c r="AG791" s="148"/>
      <c r="AH791" s="148"/>
      <c r="AI791" s="148"/>
      <c r="AJ791" s="148"/>
      <c r="AK791" s="148"/>
      <c r="AL791" s="148"/>
      <c r="AM791" s="148"/>
      <c r="AN791" s="148"/>
      <c r="AO791" s="148"/>
      <c r="AP791" s="148"/>
      <c r="AQ791" s="148"/>
      <c r="AR791" s="148"/>
      <c r="AS791" s="148"/>
      <c r="AT791" s="148"/>
      <c r="AU791" s="148"/>
      <c r="AV791" s="148"/>
      <c r="AW791" s="148"/>
      <c r="AX791" s="148"/>
      <c r="AY791" s="148"/>
      <c r="AZ791" s="148"/>
      <c r="BA791" s="148"/>
      <c r="BB791" s="148"/>
      <c r="BC791" s="148"/>
      <c r="BD791" s="148"/>
      <c r="BE791" s="148"/>
      <c r="BF791" s="148"/>
      <c r="BG791" s="148"/>
      <c r="BH791" s="148"/>
      <c r="BI791" s="148"/>
      <c r="BJ791" s="148"/>
      <c r="BK791" s="148"/>
      <c r="BL791" s="148"/>
      <c r="BM791" s="148"/>
      <c r="BN791" s="148"/>
      <c r="BO791" s="148"/>
      <c r="BP791" s="148"/>
      <c r="BQ791" s="148"/>
      <c r="BR791" s="148"/>
      <c r="BS791" s="148"/>
      <c r="BT791" s="148"/>
      <c r="BU791" s="148"/>
      <c r="BV791" s="148"/>
      <c r="BW791" s="148"/>
      <c r="BX791" s="148"/>
      <c r="BY791" s="170"/>
    </row>
    <row r="792" spans="1:77" x14ac:dyDescent="0.15">
      <c r="A792" s="148">
        <v>1404010011</v>
      </c>
      <c r="B792" s="149" t="s">
        <v>644</v>
      </c>
      <c r="C792" s="148" t="s">
        <v>100</v>
      </c>
      <c r="D792" s="148"/>
      <c r="E792" s="148" t="s">
        <v>83</v>
      </c>
      <c r="F792" s="148">
        <v>50000</v>
      </c>
      <c r="G792" s="148"/>
      <c r="H792" s="148"/>
      <c r="I792" s="148"/>
      <c r="J792" s="161"/>
      <c r="K792" s="161"/>
      <c r="L792" s="161"/>
      <c r="M792" s="161" t="s">
        <v>101</v>
      </c>
      <c r="N792" s="161" t="s">
        <v>849</v>
      </c>
      <c r="O792" s="148" t="s">
        <v>79</v>
      </c>
      <c r="P792" s="148" t="s">
        <v>80</v>
      </c>
      <c r="Q792" s="148">
        <v>150</v>
      </c>
      <c r="R792" s="148">
        <v>3500</v>
      </c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  <c r="AC792" s="148"/>
      <c r="AD792" s="148"/>
      <c r="AE792" s="148"/>
      <c r="AF792" s="148"/>
      <c r="AG792" s="148"/>
      <c r="AH792" s="148"/>
      <c r="AI792" s="148"/>
      <c r="AJ792" s="148"/>
      <c r="AK792" s="148"/>
      <c r="AL792" s="148"/>
      <c r="AM792" s="148"/>
      <c r="AN792" s="148"/>
      <c r="AO792" s="148"/>
      <c r="AP792" s="148"/>
      <c r="AQ792" s="148"/>
      <c r="AR792" s="148"/>
      <c r="AS792" s="148"/>
      <c r="AT792" s="148"/>
      <c r="AU792" s="148"/>
      <c r="AV792" s="148"/>
      <c r="AW792" s="148"/>
      <c r="AX792" s="148"/>
      <c r="AY792" s="148"/>
      <c r="AZ792" s="148"/>
      <c r="BA792" s="148"/>
      <c r="BB792" s="148"/>
      <c r="BC792" s="148"/>
      <c r="BD792" s="148"/>
      <c r="BE792" s="148"/>
      <c r="BF792" s="148"/>
      <c r="BG792" s="148"/>
      <c r="BH792" s="148"/>
      <c r="BI792" s="148"/>
      <c r="BJ792" s="148"/>
      <c r="BK792" s="148"/>
      <c r="BL792" s="148"/>
      <c r="BM792" s="148"/>
      <c r="BN792" s="148"/>
      <c r="BO792" s="148"/>
      <c r="BP792" s="148"/>
      <c r="BQ792" s="148"/>
      <c r="BR792" s="148"/>
      <c r="BS792" s="148"/>
      <c r="BT792" s="148"/>
      <c r="BU792" s="148"/>
      <c r="BV792" s="148"/>
      <c r="BW792" s="148"/>
      <c r="BX792" s="148"/>
      <c r="BY792" s="170"/>
    </row>
    <row r="793" spans="1:77" x14ac:dyDescent="0.15">
      <c r="A793" s="148">
        <v>1404010021</v>
      </c>
      <c r="B793" s="149" t="s">
        <v>644</v>
      </c>
      <c r="C793" s="148" t="s">
        <v>100</v>
      </c>
      <c r="D793" s="148"/>
      <c r="E793" s="148" t="s">
        <v>83</v>
      </c>
      <c r="F793" s="148">
        <v>50000</v>
      </c>
      <c r="G793" s="148"/>
      <c r="H793" s="148"/>
      <c r="I793" s="148"/>
      <c r="J793" s="161"/>
      <c r="K793" s="161"/>
      <c r="L793" s="161"/>
      <c r="M793" s="161" t="s">
        <v>101</v>
      </c>
      <c r="N793" s="161" t="s">
        <v>849</v>
      </c>
      <c r="O793" s="148" t="s">
        <v>79</v>
      </c>
      <c r="P793" s="148" t="s">
        <v>80</v>
      </c>
      <c r="Q793" s="148">
        <v>240</v>
      </c>
      <c r="R793" s="148">
        <v>3500</v>
      </c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  <c r="AC793" s="148"/>
      <c r="AD793" s="148"/>
      <c r="AE793" s="148"/>
      <c r="AF793" s="148"/>
      <c r="AG793" s="148"/>
      <c r="AH793" s="148"/>
      <c r="AI793" s="148"/>
      <c r="AJ793" s="148"/>
      <c r="AK793" s="148"/>
      <c r="AL793" s="148"/>
      <c r="AM793" s="148"/>
      <c r="AN793" s="148"/>
      <c r="AO793" s="148"/>
      <c r="AP793" s="148"/>
      <c r="AQ793" s="148"/>
      <c r="AR793" s="148"/>
      <c r="AS793" s="148"/>
      <c r="AT793" s="148"/>
      <c r="AU793" s="148"/>
      <c r="AV793" s="148"/>
      <c r="AW793" s="148"/>
      <c r="AX793" s="148"/>
      <c r="AY793" s="148"/>
      <c r="AZ793" s="148"/>
      <c r="BA793" s="148"/>
      <c r="BB793" s="148"/>
      <c r="BC793" s="148"/>
      <c r="BD793" s="148"/>
      <c r="BE793" s="148"/>
      <c r="BF793" s="148"/>
      <c r="BG793" s="148"/>
      <c r="BH793" s="148"/>
      <c r="BI793" s="148"/>
      <c r="BJ793" s="148"/>
      <c r="BK793" s="148"/>
      <c r="BL793" s="148"/>
      <c r="BM793" s="148"/>
      <c r="BN793" s="148"/>
      <c r="BO793" s="148"/>
      <c r="BP793" s="148"/>
      <c r="BQ793" s="148"/>
      <c r="BR793" s="148"/>
      <c r="BS793" s="148"/>
      <c r="BT793" s="148"/>
      <c r="BU793" s="148"/>
      <c r="BV793" s="148"/>
      <c r="BW793" s="148"/>
      <c r="BX793" s="148"/>
      <c r="BY793" s="170"/>
    </row>
    <row r="794" spans="1:77" x14ac:dyDescent="0.15">
      <c r="A794" s="148">
        <v>1404010031</v>
      </c>
      <c r="B794" s="149" t="s">
        <v>644</v>
      </c>
      <c r="C794" s="148" t="s">
        <v>100</v>
      </c>
      <c r="D794" s="148"/>
      <c r="E794" s="148" t="s">
        <v>83</v>
      </c>
      <c r="F794" s="148">
        <v>50000</v>
      </c>
      <c r="G794" s="148"/>
      <c r="H794" s="148"/>
      <c r="I794" s="148"/>
      <c r="J794" s="161"/>
      <c r="K794" s="161"/>
      <c r="L794" s="161"/>
      <c r="M794" s="161" t="s">
        <v>101</v>
      </c>
      <c r="N794" s="161" t="s">
        <v>849</v>
      </c>
      <c r="O794" s="148" t="s">
        <v>79</v>
      </c>
      <c r="P794" s="148" t="s">
        <v>80</v>
      </c>
      <c r="Q794" s="148">
        <v>330</v>
      </c>
      <c r="R794" s="148">
        <v>3500</v>
      </c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  <c r="AC794" s="148"/>
      <c r="AD794" s="148"/>
      <c r="AE794" s="148"/>
      <c r="AF794" s="148"/>
      <c r="AG794" s="148"/>
      <c r="AH794" s="148"/>
      <c r="AI794" s="148"/>
      <c r="AJ794" s="148"/>
      <c r="AK794" s="148"/>
      <c r="AL794" s="148"/>
      <c r="AM794" s="148"/>
      <c r="AN794" s="148"/>
      <c r="AO794" s="148"/>
      <c r="AP794" s="148"/>
      <c r="AQ794" s="148"/>
      <c r="AR794" s="148"/>
      <c r="AS794" s="148"/>
      <c r="AT794" s="148"/>
      <c r="AU794" s="148"/>
      <c r="AV794" s="148"/>
      <c r="AW794" s="148"/>
      <c r="AX794" s="148"/>
      <c r="AY794" s="148"/>
      <c r="AZ794" s="148"/>
      <c r="BA794" s="148"/>
      <c r="BB794" s="148"/>
      <c r="BC794" s="148"/>
      <c r="BD794" s="148"/>
      <c r="BE794" s="148"/>
      <c r="BF794" s="148"/>
      <c r="BG794" s="148"/>
      <c r="BH794" s="148"/>
      <c r="BI794" s="148"/>
      <c r="BJ794" s="148"/>
      <c r="BK794" s="148"/>
      <c r="BL794" s="148"/>
      <c r="BM794" s="148"/>
      <c r="BN794" s="148"/>
      <c r="BO794" s="148"/>
      <c r="BP794" s="148"/>
      <c r="BQ794" s="148"/>
      <c r="BR794" s="148"/>
      <c r="BS794" s="148"/>
      <c r="BT794" s="148"/>
      <c r="BU794" s="148"/>
      <c r="BV794" s="148"/>
      <c r="BW794" s="148"/>
      <c r="BX794" s="148"/>
      <c r="BY794" s="170"/>
    </row>
    <row r="795" spans="1:77" x14ac:dyDescent="0.15">
      <c r="A795" s="148">
        <v>1404010041</v>
      </c>
      <c r="B795" s="149" t="s">
        <v>644</v>
      </c>
      <c r="C795" s="148" t="s">
        <v>100</v>
      </c>
      <c r="D795" s="148"/>
      <c r="E795" s="148" t="s">
        <v>83</v>
      </c>
      <c r="F795" s="148">
        <v>50000</v>
      </c>
      <c r="G795" s="148"/>
      <c r="H795" s="148"/>
      <c r="I795" s="148"/>
      <c r="J795" s="161"/>
      <c r="K795" s="161"/>
      <c r="L795" s="161"/>
      <c r="M795" s="161" t="s">
        <v>101</v>
      </c>
      <c r="N795" s="161" t="s">
        <v>849</v>
      </c>
      <c r="O795" s="148" t="s">
        <v>79</v>
      </c>
      <c r="P795" s="148" t="s">
        <v>80</v>
      </c>
      <c r="Q795" s="148">
        <v>420</v>
      </c>
      <c r="R795" s="148">
        <v>3500</v>
      </c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  <c r="AC795" s="148"/>
      <c r="AD795" s="148"/>
      <c r="AE795" s="148"/>
      <c r="AF795" s="148"/>
      <c r="AG795" s="148"/>
      <c r="AH795" s="148"/>
      <c r="AI795" s="148"/>
      <c r="AJ795" s="148"/>
      <c r="AK795" s="148"/>
      <c r="AL795" s="148"/>
      <c r="AM795" s="148"/>
      <c r="AN795" s="148"/>
      <c r="AO795" s="148"/>
      <c r="AP795" s="148"/>
      <c r="AQ795" s="148"/>
      <c r="AR795" s="148"/>
      <c r="AS795" s="148"/>
      <c r="AT795" s="148"/>
      <c r="AU795" s="148"/>
      <c r="AV795" s="148"/>
      <c r="AW795" s="148"/>
      <c r="AX795" s="148"/>
      <c r="AY795" s="148"/>
      <c r="AZ795" s="148"/>
      <c r="BA795" s="148"/>
      <c r="BB795" s="148"/>
      <c r="BC795" s="148"/>
      <c r="BD795" s="148"/>
      <c r="BE795" s="148"/>
      <c r="BF795" s="148"/>
      <c r="BG795" s="148"/>
      <c r="BH795" s="148"/>
      <c r="BI795" s="148"/>
      <c r="BJ795" s="148"/>
      <c r="BK795" s="148"/>
      <c r="BL795" s="148"/>
      <c r="BM795" s="148"/>
      <c r="BN795" s="148"/>
      <c r="BO795" s="148"/>
      <c r="BP795" s="148"/>
      <c r="BQ795" s="148"/>
      <c r="BR795" s="148"/>
      <c r="BS795" s="148"/>
      <c r="BT795" s="148"/>
      <c r="BU795" s="148"/>
      <c r="BV795" s="148"/>
      <c r="BW795" s="148"/>
      <c r="BX795" s="148"/>
      <c r="BY795" s="170"/>
    </row>
    <row r="796" spans="1:77" x14ac:dyDescent="0.15">
      <c r="A796" s="148">
        <v>1404010012</v>
      </c>
      <c r="B796" s="149" t="s">
        <v>645</v>
      </c>
      <c r="C796" s="148" t="s">
        <v>77</v>
      </c>
      <c r="D796" s="148"/>
      <c r="E796" s="148" t="s">
        <v>78</v>
      </c>
      <c r="F796" s="148"/>
      <c r="G796" s="148"/>
      <c r="H796" s="148"/>
      <c r="I796" s="148"/>
      <c r="J796" s="161"/>
      <c r="K796" s="161"/>
      <c r="L796" s="161"/>
      <c r="M796" s="161"/>
      <c r="N796" s="161"/>
      <c r="O796" s="148" t="s">
        <v>95</v>
      </c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  <c r="AC796" s="148"/>
      <c r="AD796" s="148"/>
      <c r="AE796" s="148">
        <v>20000825</v>
      </c>
      <c r="AF796" s="148" t="s">
        <v>96</v>
      </c>
      <c r="AG796" s="148"/>
      <c r="AH796" s="148">
        <v>1</v>
      </c>
      <c r="AI796" s="148">
        <v>1</v>
      </c>
      <c r="AJ796" s="148"/>
      <c r="AK796" s="148"/>
      <c r="AL796" s="148"/>
      <c r="AM796" s="148"/>
      <c r="AN796" s="148"/>
      <c r="AO796" s="148"/>
      <c r="AP796" s="148"/>
      <c r="AQ796" s="148"/>
      <c r="AR796" s="148"/>
      <c r="AS796" s="148"/>
      <c r="AT796" s="148"/>
      <c r="AU796" s="148"/>
      <c r="AV796" s="148"/>
      <c r="AW796" s="148"/>
      <c r="AX796" s="148"/>
      <c r="AY796" s="148"/>
      <c r="AZ796" s="148"/>
      <c r="BA796" s="148"/>
      <c r="BB796" s="148"/>
      <c r="BC796" s="148"/>
      <c r="BD796" s="148"/>
      <c r="BE796" s="148"/>
      <c r="BF796" s="148"/>
      <c r="BG796" s="148"/>
      <c r="BH796" s="148"/>
      <c r="BI796" s="148"/>
      <c r="BJ796" s="148"/>
      <c r="BK796" s="148"/>
      <c r="BL796" s="148"/>
      <c r="BM796" s="148"/>
      <c r="BN796" s="148"/>
      <c r="BO796" s="148"/>
      <c r="BP796" s="148"/>
      <c r="BQ796" s="148"/>
      <c r="BR796" s="148"/>
      <c r="BS796" s="148"/>
      <c r="BT796" s="148"/>
      <c r="BU796" s="148"/>
      <c r="BV796" s="148"/>
      <c r="BW796" s="148"/>
      <c r="BX796" s="148"/>
      <c r="BY796" s="170"/>
    </row>
    <row r="797" spans="1:77" x14ac:dyDescent="0.15">
      <c r="A797" s="148">
        <v>1404010022</v>
      </c>
      <c r="B797" s="149" t="s">
        <v>645</v>
      </c>
      <c r="C797" s="148" t="s">
        <v>77</v>
      </c>
      <c r="D797" s="148"/>
      <c r="E797" s="148" t="s">
        <v>78</v>
      </c>
      <c r="F797" s="148"/>
      <c r="G797" s="148"/>
      <c r="H797" s="148"/>
      <c r="I797" s="148"/>
      <c r="J797" s="161"/>
      <c r="K797" s="161"/>
      <c r="L797" s="161"/>
      <c r="M797" s="161"/>
      <c r="N797" s="161"/>
      <c r="O797" s="148" t="s">
        <v>95</v>
      </c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  <c r="AC797" s="148"/>
      <c r="AD797" s="148"/>
      <c r="AE797" s="148">
        <v>20000826</v>
      </c>
      <c r="AF797" s="148" t="s">
        <v>96</v>
      </c>
      <c r="AG797" s="148"/>
      <c r="AH797" s="148">
        <v>1</v>
      </c>
      <c r="AI797" s="148">
        <v>1</v>
      </c>
      <c r="AJ797" s="148"/>
      <c r="AK797" s="148"/>
      <c r="AL797" s="148"/>
      <c r="AM797" s="148"/>
      <c r="AN797" s="148"/>
      <c r="AO797" s="148"/>
      <c r="AP797" s="148"/>
      <c r="AQ797" s="148"/>
      <c r="AR797" s="148"/>
      <c r="AS797" s="148"/>
      <c r="AT797" s="148"/>
      <c r="AU797" s="148"/>
      <c r="AV797" s="148"/>
      <c r="AW797" s="148"/>
      <c r="AX797" s="148"/>
      <c r="AY797" s="148"/>
      <c r="AZ797" s="148"/>
      <c r="BA797" s="148"/>
      <c r="BB797" s="148"/>
      <c r="BC797" s="148"/>
      <c r="BD797" s="148"/>
      <c r="BE797" s="148"/>
      <c r="BF797" s="148"/>
      <c r="BG797" s="148"/>
      <c r="BH797" s="148"/>
      <c r="BI797" s="148"/>
      <c r="BJ797" s="148"/>
      <c r="BK797" s="148"/>
      <c r="BL797" s="148"/>
      <c r="BM797" s="148"/>
      <c r="BN797" s="148"/>
      <c r="BO797" s="148"/>
      <c r="BP797" s="148"/>
      <c r="BQ797" s="148"/>
      <c r="BR797" s="148"/>
      <c r="BS797" s="148"/>
      <c r="BT797" s="148"/>
      <c r="BU797" s="148"/>
      <c r="BV797" s="148"/>
      <c r="BW797" s="148"/>
      <c r="BX797" s="148"/>
      <c r="BY797" s="170"/>
    </row>
    <row r="798" spans="1:77" x14ac:dyDescent="0.15">
      <c r="A798" s="148">
        <v>1404010032</v>
      </c>
      <c r="B798" s="149" t="s">
        <v>645</v>
      </c>
      <c r="C798" s="148" t="s">
        <v>77</v>
      </c>
      <c r="D798" s="148"/>
      <c r="E798" s="148" t="s">
        <v>78</v>
      </c>
      <c r="F798" s="148"/>
      <c r="G798" s="148"/>
      <c r="H798" s="148"/>
      <c r="I798" s="148"/>
      <c r="J798" s="161"/>
      <c r="K798" s="161"/>
      <c r="L798" s="161"/>
      <c r="M798" s="161"/>
      <c r="N798" s="161"/>
      <c r="O798" s="148" t="s">
        <v>95</v>
      </c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  <c r="AC798" s="148"/>
      <c r="AD798" s="148"/>
      <c r="AE798" s="148">
        <v>20000827</v>
      </c>
      <c r="AF798" s="148" t="s">
        <v>96</v>
      </c>
      <c r="AG798" s="148"/>
      <c r="AH798" s="148">
        <v>1</v>
      </c>
      <c r="AI798" s="148">
        <v>1</v>
      </c>
      <c r="AJ798" s="148"/>
      <c r="AK798" s="148"/>
      <c r="AL798" s="148"/>
      <c r="AM798" s="148"/>
      <c r="AN798" s="148"/>
      <c r="AO798" s="148"/>
      <c r="AP798" s="148"/>
      <c r="AQ798" s="148"/>
      <c r="AR798" s="148"/>
      <c r="AS798" s="148"/>
      <c r="AT798" s="148"/>
      <c r="AU798" s="148"/>
      <c r="AV798" s="148"/>
      <c r="AW798" s="148"/>
      <c r="AX798" s="148"/>
      <c r="AY798" s="148"/>
      <c r="AZ798" s="148"/>
      <c r="BA798" s="148"/>
      <c r="BB798" s="148"/>
      <c r="BC798" s="148"/>
      <c r="BD798" s="148"/>
      <c r="BE798" s="148"/>
      <c r="BF798" s="148"/>
      <c r="BG798" s="148"/>
      <c r="BH798" s="148"/>
      <c r="BI798" s="148"/>
      <c r="BJ798" s="148"/>
      <c r="BK798" s="148"/>
      <c r="BL798" s="148"/>
      <c r="BM798" s="148"/>
      <c r="BN798" s="148"/>
      <c r="BO798" s="148"/>
      <c r="BP798" s="148"/>
      <c r="BQ798" s="148"/>
      <c r="BR798" s="148"/>
      <c r="BS798" s="148"/>
      <c r="BT798" s="148"/>
      <c r="BU798" s="148"/>
      <c r="BV798" s="148"/>
      <c r="BW798" s="148"/>
      <c r="BX798" s="148"/>
      <c r="BY798" s="170"/>
    </row>
    <row r="799" spans="1:77" x14ac:dyDescent="0.15">
      <c r="A799" s="148">
        <v>1404010042</v>
      </c>
      <c r="B799" s="149" t="s">
        <v>645</v>
      </c>
      <c r="C799" s="148" t="s">
        <v>77</v>
      </c>
      <c r="D799" s="148"/>
      <c r="E799" s="148" t="s">
        <v>78</v>
      </c>
      <c r="F799" s="148"/>
      <c r="G799" s="148"/>
      <c r="H799" s="148"/>
      <c r="I799" s="148"/>
      <c r="J799" s="161"/>
      <c r="K799" s="161"/>
      <c r="L799" s="161"/>
      <c r="M799" s="161"/>
      <c r="N799" s="161"/>
      <c r="O799" s="148" t="s">
        <v>95</v>
      </c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  <c r="AC799" s="148"/>
      <c r="AD799" s="148"/>
      <c r="AE799" s="148">
        <v>20000828</v>
      </c>
      <c r="AF799" s="148" t="s">
        <v>96</v>
      </c>
      <c r="AG799" s="148"/>
      <c r="AH799" s="148">
        <v>1</v>
      </c>
      <c r="AI799" s="148">
        <v>1</v>
      </c>
      <c r="AJ799" s="148"/>
      <c r="AK799" s="148"/>
      <c r="AL799" s="148"/>
      <c r="AM799" s="148"/>
      <c r="AN799" s="148"/>
      <c r="AO799" s="148"/>
      <c r="AP799" s="148"/>
      <c r="AQ799" s="148"/>
      <c r="AR799" s="148"/>
      <c r="AS799" s="148"/>
      <c r="AT799" s="148"/>
      <c r="AU799" s="148"/>
      <c r="AV799" s="148"/>
      <c r="AW799" s="148"/>
      <c r="AX799" s="148"/>
      <c r="AY799" s="148"/>
      <c r="AZ799" s="148"/>
      <c r="BA799" s="148"/>
      <c r="BB799" s="148"/>
      <c r="BC799" s="148"/>
      <c r="BD799" s="148"/>
      <c r="BE799" s="148"/>
      <c r="BF799" s="148"/>
      <c r="BG799" s="148"/>
      <c r="BH799" s="148"/>
      <c r="BI799" s="148"/>
      <c r="BJ799" s="148"/>
      <c r="BK799" s="148"/>
      <c r="BL799" s="148"/>
      <c r="BM799" s="148"/>
      <c r="BN799" s="148"/>
      <c r="BO799" s="148"/>
      <c r="BP799" s="148"/>
      <c r="BQ799" s="148"/>
      <c r="BR799" s="148"/>
      <c r="BS799" s="148"/>
      <c r="BT799" s="148"/>
      <c r="BU799" s="148"/>
      <c r="BV799" s="148"/>
      <c r="BW799" s="148"/>
      <c r="BX799" s="148"/>
      <c r="BY799" s="170"/>
    </row>
    <row r="800" spans="1:77" x14ac:dyDescent="0.15">
      <c r="A800" s="148">
        <v>1404020011</v>
      </c>
      <c r="B800" s="149" t="s">
        <v>646</v>
      </c>
      <c r="C800" s="148" t="s">
        <v>100</v>
      </c>
      <c r="D800" s="148"/>
      <c r="E800" s="148" t="s">
        <v>425</v>
      </c>
      <c r="F800" s="148">
        <v>150000</v>
      </c>
      <c r="G800" s="148">
        <v>900</v>
      </c>
      <c r="H800" s="148"/>
      <c r="I800" s="148"/>
      <c r="J800" s="161"/>
      <c r="K800" s="161"/>
      <c r="L800" s="161"/>
      <c r="M800" s="161" t="s">
        <v>101</v>
      </c>
      <c r="N800" s="161" t="s">
        <v>849</v>
      </c>
      <c r="O800" s="148" t="s">
        <v>79</v>
      </c>
      <c r="P800" s="148" t="s">
        <v>80</v>
      </c>
      <c r="Q800" s="167">
        <v>100</v>
      </c>
      <c r="R800" s="167">
        <v>2000</v>
      </c>
      <c r="S800" s="167"/>
      <c r="T800" s="148"/>
      <c r="U800" s="148"/>
      <c r="V800" s="148"/>
      <c r="W800" s="148"/>
      <c r="X800" s="148"/>
      <c r="Y800" s="148"/>
      <c r="Z800" s="148"/>
      <c r="AA800" s="148"/>
      <c r="AB800" s="148"/>
      <c r="AC800" s="148"/>
      <c r="AD800" s="148"/>
      <c r="AE800" s="148"/>
      <c r="AF800" s="148"/>
      <c r="AG800" s="148"/>
      <c r="AH800" s="148"/>
      <c r="AI800" s="148"/>
      <c r="AJ800" s="148" t="s">
        <v>90</v>
      </c>
      <c r="AK800" s="148"/>
      <c r="AL800" s="148"/>
      <c r="AM800" s="148"/>
      <c r="AN800" s="148"/>
      <c r="AO800" s="148"/>
      <c r="AP800" s="148"/>
      <c r="AQ800" s="148"/>
      <c r="AR800" s="148"/>
      <c r="AS800" s="148"/>
      <c r="AT800" s="148"/>
      <c r="AU800" s="148"/>
      <c r="AV800" s="148"/>
      <c r="AW800" s="148"/>
      <c r="AX800" s="148">
        <v>1404020101</v>
      </c>
      <c r="AY800" s="148">
        <v>1404020101</v>
      </c>
      <c r="AZ800" s="148"/>
      <c r="BA800" s="148"/>
      <c r="BB800" s="148"/>
      <c r="BC800" s="148"/>
      <c r="BD800" s="148"/>
      <c r="BE800" s="148" t="s">
        <v>90</v>
      </c>
      <c r="BF800" s="148"/>
      <c r="BG800" s="148"/>
      <c r="BH800" s="148"/>
      <c r="BI800" s="148"/>
      <c r="BJ800" s="148"/>
      <c r="BK800" s="148"/>
      <c r="BL800" s="148"/>
      <c r="BM800" s="148"/>
      <c r="BN800" s="148"/>
      <c r="BO800" s="148"/>
      <c r="BP800" s="148"/>
      <c r="BQ800" s="148"/>
      <c r="BR800" s="148"/>
      <c r="BS800" s="148">
        <v>1404020201</v>
      </c>
      <c r="BT800" s="148">
        <v>1404020201</v>
      </c>
      <c r="BU800" s="148"/>
      <c r="BV800" s="148"/>
      <c r="BW800" s="148"/>
      <c r="BX800" s="148"/>
      <c r="BY800" s="170"/>
    </row>
    <row r="801" spans="1:77" x14ac:dyDescent="0.15">
      <c r="A801" s="148">
        <v>1404020021</v>
      </c>
      <c r="B801" s="149" t="s">
        <v>646</v>
      </c>
      <c r="C801" s="148" t="s">
        <v>100</v>
      </c>
      <c r="D801" s="148"/>
      <c r="E801" s="148" t="s">
        <v>425</v>
      </c>
      <c r="F801" s="148">
        <v>150000</v>
      </c>
      <c r="G801" s="148">
        <v>900</v>
      </c>
      <c r="H801" s="148"/>
      <c r="I801" s="148"/>
      <c r="J801" s="161"/>
      <c r="K801" s="161"/>
      <c r="L801" s="161"/>
      <c r="M801" s="161" t="s">
        <v>101</v>
      </c>
      <c r="N801" s="161" t="s">
        <v>849</v>
      </c>
      <c r="O801" s="148" t="s">
        <v>79</v>
      </c>
      <c r="P801" s="148" t="s">
        <v>80</v>
      </c>
      <c r="Q801" s="167">
        <v>150</v>
      </c>
      <c r="R801" s="167">
        <v>2000</v>
      </c>
      <c r="S801" s="167"/>
      <c r="T801" s="148"/>
      <c r="U801" s="148"/>
      <c r="V801" s="148"/>
      <c r="W801" s="148"/>
      <c r="X801" s="148"/>
      <c r="Y801" s="148"/>
      <c r="Z801" s="148"/>
      <c r="AA801" s="148"/>
      <c r="AB801" s="148"/>
      <c r="AC801" s="148"/>
      <c r="AD801" s="148"/>
      <c r="AE801" s="148"/>
      <c r="AF801" s="148"/>
      <c r="AG801" s="148"/>
      <c r="AH801" s="148"/>
      <c r="AI801" s="148"/>
      <c r="AJ801" s="148" t="s">
        <v>90</v>
      </c>
      <c r="AK801" s="148"/>
      <c r="AL801" s="148"/>
      <c r="AM801" s="148"/>
      <c r="AN801" s="148"/>
      <c r="AO801" s="148"/>
      <c r="AP801" s="148"/>
      <c r="AQ801" s="148"/>
      <c r="AR801" s="148"/>
      <c r="AS801" s="148"/>
      <c r="AT801" s="148"/>
      <c r="AU801" s="148"/>
      <c r="AV801" s="148"/>
      <c r="AW801" s="148"/>
      <c r="AX801" s="148">
        <v>1404020101</v>
      </c>
      <c r="AY801" s="148">
        <v>1404020101</v>
      </c>
      <c r="AZ801" s="148"/>
      <c r="BA801" s="148"/>
      <c r="BB801" s="148"/>
      <c r="BC801" s="148"/>
      <c r="BD801" s="148"/>
      <c r="BE801" s="148" t="s">
        <v>90</v>
      </c>
      <c r="BF801" s="148"/>
      <c r="BG801" s="148"/>
      <c r="BH801" s="148"/>
      <c r="BI801" s="148"/>
      <c r="BJ801" s="148"/>
      <c r="BK801" s="148"/>
      <c r="BL801" s="148"/>
      <c r="BM801" s="148"/>
      <c r="BN801" s="148"/>
      <c r="BO801" s="148"/>
      <c r="BP801" s="148"/>
      <c r="BQ801" s="148"/>
      <c r="BR801" s="148"/>
      <c r="BS801" s="148">
        <v>1404020202</v>
      </c>
      <c r="BT801" s="148">
        <v>1404020202</v>
      </c>
      <c r="BU801" s="148"/>
      <c r="BV801" s="148"/>
      <c r="BW801" s="148"/>
      <c r="BX801" s="148"/>
      <c r="BY801" s="170"/>
    </row>
    <row r="802" spans="1:77" x14ac:dyDescent="0.15">
      <c r="A802" s="148">
        <v>1404020031</v>
      </c>
      <c r="B802" s="149" t="s">
        <v>646</v>
      </c>
      <c r="C802" s="148" t="s">
        <v>100</v>
      </c>
      <c r="D802" s="148"/>
      <c r="E802" s="148" t="s">
        <v>425</v>
      </c>
      <c r="F802" s="148">
        <v>150000</v>
      </c>
      <c r="G802" s="148">
        <v>900</v>
      </c>
      <c r="H802" s="148"/>
      <c r="I802" s="148"/>
      <c r="J802" s="161"/>
      <c r="K802" s="161"/>
      <c r="L802" s="161"/>
      <c r="M802" s="161" t="s">
        <v>101</v>
      </c>
      <c r="N802" s="161" t="s">
        <v>849</v>
      </c>
      <c r="O802" s="148" t="s">
        <v>79</v>
      </c>
      <c r="P802" s="148" t="s">
        <v>80</v>
      </c>
      <c r="Q802" s="167">
        <v>200</v>
      </c>
      <c r="R802" s="167">
        <v>2000</v>
      </c>
      <c r="S802" s="167"/>
      <c r="T802" s="148"/>
      <c r="U802" s="148"/>
      <c r="V802" s="148"/>
      <c r="W802" s="148"/>
      <c r="X802" s="148"/>
      <c r="Y802" s="148"/>
      <c r="Z802" s="148"/>
      <c r="AA802" s="148"/>
      <c r="AB802" s="148"/>
      <c r="AC802" s="148"/>
      <c r="AD802" s="148"/>
      <c r="AE802" s="148"/>
      <c r="AF802" s="148"/>
      <c r="AG802" s="148"/>
      <c r="AH802" s="148"/>
      <c r="AI802" s="148"/>
      <c r="AJ802" s="148" t="s">
        <v>90</v>
      </c>
      <c r="AK802" s="148"/>
      <c r="AL802" s="148"/>
      <c r="AM802" s="148"/>
      <c r="AN802" s="148"/>
      <c r="AO802" s="148"/>
      <c r="AP802" s="148"/>
      <c r="AQ802" s="148"/>
      <c r="AR802" s="148"/>
      <c r="AS802" s="148"/>
      <c r="AT802" s="148"/>
      <c r="AU802" s="148"/>
      <c r="AV802" s="148"/>
      <c r="AW802" s="148"/>
      <c r="AX802" s="148">
        <v>1404020101</v>
      </c>
      <c r="AY802" s="148">
        <v>1404020101</v>
      </c>
      <c r="AZ802" s="148"/>
      <c r="BA802" s="148"/>
      <c r="BB802" s="148"/>
      <c r="BC802" s="148"/>
      <c r="BD802" s="148"/>
      <c r="BE802" s="148" t="s">
        <v>90</v>
      </c>
      <c r="BF802" s="148"/>
      <c r="BG802" s="148"/>
      <c r="BH802" s="148"/>
      <c r="BI802" s="148"/>
      <c r="BJ802" s="148"/>
      <c r="BK802" s="148"/>
      <c r="BL802" s="148"/>
      <c r="BM802" s="148"/>
      <c r="BN802" s="148"/>
      <c r="BO802" s="148"/>
      <c r="BP802" s="148"/>
      <c r="BQ802" s="148"/>
      <c r="BR802" s="148"/>
      <c r="BS802" s="148">
        <v>1404020203</v>
      </c>
      <c r="BT802" s="148">
        <v>1404020203</v>
      </c>
      <c r="BU802" s="148"/>
      <c r="BV802" s="148"/>
      <c r="BW802" s="148"/>
      <c r="BX802" s="148"/>
      <c r="BY802" s="170"/>
    </row>
    <row r="803" spans="1:77" x14ac:dyDescent="0.15">
      <c r="A803" s="148">
        <v>1404020041</v>
      </c>
      <c r="B803" s="149" t="s">
        <v>646</v>
      </c>
      <c r="C803" s="148" t="s">
        <v>100</v>
      </c>
      <c r="D803" s="148"/>
      <c r="E803" s="148" t="s">
        <v>425</v>
      </c>
      <c r="F803" s="148">
        <v>150000</v>
      </c>
      <c r="G803" s="148">
        <v>900</v>
      </c>
      <c r="H803" s="148"/>
      <c r="I803" s="148"/>
      <c r="J803" s="161"/>
      <c r="K803" s="161"/>
      <c r="L803" s="161"/>
      <c r="M803" s="161" t="s">
        <v>101</v>
      </c>
      <c r="N803" s="161" t="s">
        <v>849</v>
      </c>
      <c r="O803" s="148" t="s">
        <v>79</v>
      </c>
      <c r="P803" s="148" t="s">
        <v>80</v>
      </c>
      <c r="Q803" s="167">
        <v>250</v>
      </c>
      <c r="R803" s="167">
        <v>2000</v>
      </c>
      <c r="S803" s="167"/>
      <c r="T803" s="148"/>
      <c r="U803" s="148"/>
      <c r="V803" s="148"/>
      <c r="W803" s="148"/>
      <c r="X803" s="148"/>
      <c r="Y803" s="148"/>
      <c r="Z803" s="148"/>
      <c r="AA803" s="148"/>
      <c r="AB803" s="148"/>
      <c r="AC803" s="148"/>
      <c r="AD803" s="148"/>
      <c r="AE803" s="148"/>
      <c r="AF803" s="148"/>
      <c r="AG803" s="148"/>
      <c r="AH803" s="148"/>
      <c r="AI803" s="148"/>
      <c r="AJ803" s="148" t="s">
        <v>90</v>
      </c>
      <c r="AK803" s="148"/>
      <c r="AL803" s="148"/>
      <c r="AM803" s="148"/>
      <c r="AN803" s="148"/>
      <c r="AO803" s="148"/>
      <c r="AP803" s="148"/>
      <c r="AQ803" s="148"/>
      <c r="AR803" s="148"/>
      <c r="AS803" s="148"/>
      <c r="AT803" s="148"/>
      <c r="AU803" s="148"/>
      <c r="AV803" s="148"/>
      <c r="AW803" s="148"/>
      <c r="AX803" s="148">
        <v>1404020101</v>
      </c>
      <c r="AY803" s="148">
        <v>1404020101</v>
      </c>
      <c r="AZ803" s="148"/>
      <c r="BA803" s="148"/>
      <c r="BB803" s="148"/>
      <c r="BC803" s="148"/>
      <c r="BD803" s="148"/>
      <c r="BE803" s="148" t="s">
        <v>90</v>
      </c>
      <c r="BF803" s="148"/>
      <c r="BG803" s="148"/>
      <c r="BH803" s="148"/>
      <c r="BI803" s="148"/>
      <c r="BJ803" s="148"/>
      <c r="BK803" s="148"/>
      <c r="BL803" s="148"/>
      <c r="BM803" s="148"/>
      <c r="BN803" s="148"/>
      <c r="BO803" s="148"/>
      <c r="BP803" s="148"/>
      <c r="BQ803" s="148"/>
      <c r="BR803" s="148"/>
      <c r="BS803" s="148">
        <v>1404020204</v>
      </c>
      <c r="BT803" s="148">
        <v>1404020204</v>
      </c>
      <c r="BU803" s="148"/>
      <c r="BV803" s="148"/>
      <c r="BW803" s="148"/>
      <c r="BX803" s="148"/>
      <c r="BY803" s="170"/>
    </row>
    <row r="804" spans="1:77" x14ac:dyDescent="0.15">
      <c r="A804" s="148">
        <v>1404040011</v>
      </c>
      <c r="B804" s="149" t="s">
        <v>647</v>
      </c>
      <c r="C804" s="148" t="s">
        <v>304</v>
      </c>
      <c r="D804" s="148"/>
      <c r="E804" s="148" t="s">
        <v>83</v>
      </c>
      <c r="F804" s="148">
        <v>70000</v>
      </c>
      <c r="G804" s="148"/>
      <c r="H804" s="148"/>
      <c r="I804" s="148"/>
      <c r="J804" s="161"/>
      <c r="K804" s="161"/>
      <c r="L804" s="161"/>
      <c r="M804" s="161"/>
      <c r="N804" s="161"/>
      <c r="O804" s="148" t="s">
        <v>648</v>
      </c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  <c r="AC804" s="148"/>
      <c r="AD804" s="148"/>
      <c r="AE804" s="148">
        <v>3000</v>
      </c>
      <c r="AF804" s="148">
        <v>30000</v>
      </c>
      <c r="AG804" s="148">
        <v>1404040101</v>
      </c>
      <c r="AH804" s="148"/>
      <c r="AI804" s="148"/>
      <c r="AJ804" s="148"/>
      <c r="AK804" s="148"/>
      <c r="AL804" s="148"/>
      <c r="AM804" s="148"/>
      <c r="AN804" s="148"/>
      <c r="AO804" s="148"/>
      <c r="AP804" s="148"/>
      <c r="AQ804" s="148"/>
      <c r="AR804" s="148"/>
      <c r="AS804" s="148"/>
      <c r="AT804" s="148"/>
      <c r="AU804" s="148"/>
      <c r="AV804" s="148"/>
      <c r="AW804" s="148"/>
      <c r="AX804" s="148"/>
      <c r="AY804" s="148"/>
      <c r="AZ804" s="148"/>
      <c r="BA804" s="148"/>
      <c r="BB804" s="148"/>
      <c r="BC804" s="148"/>
      <c r="BD804" s="148"/>
      <c r="BE804" s="148"/>
      <c r="BF804" s="148"/>
      <c r="BG804" s="148"/>
      <c r="BH804" s="148"/>
      <c r="BI804" s="148"/>
      <c r="BJ804" s="148"/>
      <c r="BK804" s="148"/>
      <c r="BL804" s="148"/>
      <c r="BM804" s="148"/>
      <c r="BN804" s="148"/>
      <c r="BO804" s="148"/>
      <c r="BP804" s="148"/>
      <c r="BQ804" s="148"/>
      <c r="BR804" s="148"/>
      <c r="BS804" s="148"/>
      <c r="BT804" s="148"/>
      <c r="BU804" s="148"/>
      <c r="BV804" s="148"/>
      <c r="BW804" s="148"/>
      <c r="BX804" s="148"/>
      <c r="BY804" s="170"/>
    </row>
    <row r="805" spans="1:77" x14ac:dyDescent="0.15">
      <c r="A805" s="148">
        <v>1404040021</v>
      </c>
      <c r="B805" s="149" t="s">
        <v>647</v>
      </c>
      <c r="C805" s="148" t="s">
        <v>304</v>
      </c>
      <c r="D805" s="148"/>
      <c r="E805" s="148" t="s">
        <v>83</v>
      </c>
      <c r="F805" s="148">
        <v>70000</v>
      </c>
      <c r="G805" s="148"/>
      <c r="H805" s="148"/>
      <c r="I805" s="148"/>
      <c r="J805" s="161"/>
      <c r="K805" s="161"/>
      <c r="L805" s="161"/>
      <c r="M805" s="161"/>
      <c r="N805" s="161"/>
      <c r="O805" s="148" t="s">
        <v>648</v>
      </c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  <c r="AC805" s="148"/>
      <c r="AD805" s="148"/>
      <c r="AE805" s="148">
        <v>3000</v>
      </c>
      <c r="AF805" s="148">
        <v>30000</v>
      </c>
      <c r="AG805" s="148">
        <v>1404040201</v>
      </c>
      <c r="AH805" s="148"/>
      <c r="AI805" s="148"/>
      <c r="AJ805" s="148"/>
      <c r="AK805" s="148"/>
      <c r="AL805" s="148"/>
      <c r="AM805" s="148"/>
      <c r="AN805" s="148"/>
      <c r="AO805" s="148"/>
      <c r="AP805" s="148"/>
      <c r="AQ805" s="148"/>
      <c r="AR805" s="148"/>
      <c r="AS805" s="148"/>
      <c r="AT805" s="148"/>
      <c r="AU805" s="148"/>
      <c r="AV805" s="148"/>
      <c r="AW805" s="148"/>
      <c r="AX805" s="148"/>
      <c r="AY805" s="148"/>
      <c r="AZ805" s="148"/>
      <c r="BA805" s="148"/>
      <c r="BB805" s="148"/>
      <c r="BC805" s="148"/>
      <c r="BD805" s="148"/>
      <c r="BE805" s="148"/>
      <c r="BF805" s="148"/>
      <c r="BG805" s="148"/>
      <c r="BH805" s="148"/>
      <c r="BI805" s="148"/>
      <c r="BJ805" s="148"/>
      <c r="BK805" s="148"/>
      <c r="BL805" s="148"/>
      <c r="BM805" s="148"/>
      <c r="BN805" s="148"/>
      <c r="BO805" s="148"/>
      <c r="BP805" s="148"/>
      <c r="BQ805" s="148"/>
      <c r="BR805" s="148"/>
      <c r="BS805" s="148"/>
      <c r="BT805" s="148"/>
      <c r="BU805" s="148"/>
      <c r="BV805" s="148"/>
      <c r="BW805" s="148"/>
      <c r="BX805" s="148"/>
      <c r="BY805" s="170"/>
    </row>
    <row r="806" spans="1:77" s="14" customFormat="1" x14ac:dyDescent="0.15">
      <c r="A806" s="151">
        <v>1412001011</v>
      </c>
      <c r="B806" s="152" t="s">
        <v>649</v>
      </c>
      <c r="C806" s="153" t="s">
        <v>77</v>
      </c>
      <c r="D806" s="153"/>
      <c r="E806" s="153" t="s">
        <v>78</v>
      </c>
      <c r="F806" s="153"/>
      <c r="G806" s="153"/>
      <c r="H806" s="153"/>
      <c r="I806" s="153"/>
      <c r="J806" s="162"/>
      <c r="K806" s="162"/>
      <c r="L806" s="162"/>
      <c r="M806" s="162"/>
      <c r="N806" s="162"/>
      <c r="O806" s="153" t="s">
        <v>79</v>
      </c>
      <c r="P806" s="163" t="s">
        <v>80</v>
      </c>
      <c r="Q806" s="163"/>
      <c r="R806" s="163">
        <v>10000</v>
      </c>
      <c r="S806" s="163"/>
      <c r="T806" s="163">
        <v>10000</v>
      </c>
      <c r="U806" s="163"/>
      <c r="V806" s="163" t="s">
        <v>101</v>
      </c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  <c r="AG806" s="163"/>
      <c r="AH806" s="163"/>
      <c r="AI806" s="163"/>
      <c r="AJ806" s="163"/>
      <c r="AK806" s="163"/>
      <c r="AL806" s="163"/>
      <c r="AM806" s="163"/>
      <c r="AN806" s="163"/>
      <c r="AO806" s="163"/>
      <c r="AP806" s="163"/>
      <c r="AQ806" s="163"/>
      <c r="AR806" s="163"/>
      <c r="AS806" s="163"/>
      <c r="AT806" s="163"/>
      <c r="AU806" s="163"/>
      <c r="AV806" s="163"/>
      <c r="AW806" s="163"/>
      <c r="AX806" s="163"/>
      <c r="AY806" s="163"/>
      <c r="AZ806" s="163"/>
      <c r="BA806" s="163"/>
      <c r="BB806" s="163"/>
      <c r="BC806" s="163"/>
      <c r="BD806" s="163"/>
      <c r="BE806" s="163"/>
      <c r="BF806" s="163"/>
      <c r="BG806" s="163"/>
      <c r="BH806" s="163"/>
      <c r="BI806" s="163"/>
      <c r="BJ806" s="163"/>
      <c r="BK806" s="163"/>
      <c r="BL806" s="163"/>
      <c r="BM806" s="163"/>
      <c r="BN806" s="163"/>
      <c r="BO806" s="163"/>
      <c r="BP806" s="163"/>
      <c r="BQ806" s="163"/>
      <c r="BR806" s="163"/>
      <c r="BS806" s="163"/>
      <c r="BT806" s="163"/>
      <c r="BU806" s="163"/>
      <c r="BV806" s="163"/>
      <c r="BW806" s="163"/>
      <c r="BX806" s="163"/>
      <c r="BY806" s="171"/>
    </row>
    <row r="807" spans="1:77" s="14" customFormat="1" x14ac:dyDescent="0.15">
      <c r="A807" s="151">
        <v>1412002011</v>
      </c>
      <c r="B807" s="152" t="s">
        <v>650</v>
      </c>
      <c r="C807" s="153" t="s">
        <v>77</v>
      </c>
      <c r="D807" s="153"/>
      <c r="E807" s="153" t="s">
        <v>85</v>
      </c>
      <c r="F807" s="153">
        <v>30000</v>
      </c>
      <c r="G807" s="153">
        <v>200000</v>
      </c>
      <c r="H807" s="153"/>
      <c r="I807" s="153"/>
      <c r="J807" s="162"/>
      <c r="K807" s="162"/>
      <c r="L807" s="162"/>
      <c r="M807" s="162" t="s">
        <v>101</v>
      </c>
      <c r="N807" s="162" t="s">
        <v>849</v>
      </c>
      <c r="O807" s="153" t="s">
        <v>79</v>
      </c>
      <c r="P807" s="163" t="s">
        <v>102</v>
      </c>
      <c r="Q807" s="163">
        <v>150</v>
      </c>
      <c r="R807" s="163"/>
      <c r="S807" s="163">
        <v>3000</v>
      </c>
      <c r="T807" s="163"/>
      <c r="U807" s="163">
        <v>5000</v>
      </c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  <c r="AG807" s="163"/>
      <c r="AH807" s="163"/>
      <c r="AI807" s="163"/>
      <c r="AJ807" s="163"/>
      <c r="AK807" s="163"/>
      <c r="AL807" s="163"/>
      <c r="AM807" s="163"/>
      <c r="AN807" s="163"/>
      <c r="AO807" s="163"/>
      <c r="AP807" s="163"/>
      <c r="AQ807" s="163"/>
      <c r="AR807" s="163"/>
      <c r="AS807" s="163"/>
      <c r="AT807" s="163"/>
      <c r="AU807" s="163"/>
      <c r="AV807" s="163"/>
      <c r="AW807" s="163"/>
      <c r="AX807" s="163"/>
      <c r="AY807" s="163"/>
      <c r="AZ807" s="163"/>
      <c r="BA807" s="163"/>
      <c r="BB807" s="163"/>
      <c r="BC807" s="163"/>
      <c r="BD807" s="163"/>
      <c r="BE807" s="163"/>
      <c r="BF807" s="163"/>
      <c r="BG807" s="163"/>
      <c r="BH807" s="163"/>
      <c r="BI807" s="163"/>
      <c r="BJ807" s="163"/>
      <c r="BK807" s="163"/>
      <c r="BL807" s="163"/>
      <c r="BM807" s="163"/>
      <c r="BN807" s="163"/>
      <c r="BO807" s="163"/>
      <c r="BP807" s="163"/>
      <c r="BQ807" s="163"/>
      <c r="BR807" s="163"/>
      <c r="BS807" s="163"/>
      <c r="BT807" s="163"/>
      <c r="BU807" s="163"/>
      <c r="BV807" s="163"/>
      <c r="BW807" s="163"/>
      <c r="BX807" s="163"/>
      <c r="BY807" s="171"/>
    </row>
    <row r="808" spans="1:77" s="14" customFormat="1" x14ac:dyDescent="0.15">
      <c r="A808" s="151">
        <v>1412002021</v>
      </c>
      <c r="B808" s="152" t="s">
        <v>650</v>
      </c>
      <c r="C808" s="153" t="s">
        <v>77</v>
      </c>
      <c r="D808" s="153"/>
      <c r="E808" s="153" t="s">
        <v>85</v>
      </c>
      <c r="F808" s="153">
        <v>30000</v>
      </c>
      <c r="G808" s="153">
        <v>200000</v>
      </c>
      <c r="H808" s="153"/>
      <c r="I808" s="153"/>
      <c r="J808" s="162"/>
      <c r="K808" s="162"/>
      <c r="L808" s="162"/>
      <c r="M808" s="162" t="s">
        <v>101</v>
      </c>
      <c r="N808" s="162" t="s">
        <v>849</v>
      </c>
      <c r="O808" s="153" t="s">
        <v>79</v>
      </c>
      <c r="P808" s="163" t="s">
        <v>102</v>
      </c>
      <c r="Q808" s="163">
        <v>200</v>
      </c>
      <c r="R808" s="163"/>
      <c r="S808" s="163">
        <v>3000</v>
      </c>
      <c r="T808" s="163"/>
      <c r="U808" s="163">
        <v>5000</v>
      </c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  <c r="AG808" s="163"/>
      <c r="AH808" s="163"/>
      <c r="AI808" s="163"/>
      <c r="AJ808" s="163"/>
      <c r="AK808" s="163"/>
      <c r="AL808" s="163"/>
      <c r="AM808" s="163"/>
      <c r="AN808" s="163"/>
      <c r="AO808" s="163"/>
      <c r="AP808" s="163"/>
      <c r="AQ808" s="163"/>
      <c r="AR808" s="163"/>
      <c r="AS808" s="163"/>
      <c r="AT808" s="163"/>
      <c r="AU808" s="163"/>
      <c r="AV808" s="163"/>
      <c r="AW808" s="163"/>
      <c r="AX808" s="163"/>
      <c r="AY808" s="163"/>
      <c r="AZ808" s="163"/>
      <c r="BA808" s="163"/>
      <c r="BB808" s="163"/>
      <c r="BC808" s="163"/>
      <c r="BD808" s="163"/>
      <c r="BE808" s="163"/>
      <c r="BF808" s="163"/>
      <c r="BG808" s="163"/>
      <c r="BH808" s="163"/>
      <c r="BI808" s="163"/>
      <c r="BJ808" s="163"/>
      <c r="BK808" s="163"/>
      <c r="BL808" s="163"/>
      <c r="BM808" s="163"/>
      <c r="BN808" s="163"/>
      <c r="BO808" s="163"/>
      <c r="BP808" s="163"/>
      <c r="BQ808" s="163"/>
      <c r="BR808" s="163"/>
      <c r="BS808" s="163"/>
      <c r="BT808" s="163"/>
      <c r="BU808" s="163"/>
      <c r="BV808" s="163"/>
      <c r="BW808" s="163"/>
      <c r="BX808" s="163"/>
      <c r="BY808" s="171"/>
    </row>
    <row r="809" spans="1:77" s="14" customFormat="1" x14ac:dyDescent="0.15">
      <c r="A809" s="151">
        <v>1412002031</v>
      </c>
      <c r="B809" s="152" t="s">
        <v>650</v>
      </c>
      <c r="C809" s="153" t="s">
        <v>77</v>
      </c>
      <c r="D809" s="153"/>
      <c r="E809" s="153" t="s">
        <v>85</v>
      </c>
      <c r="F809" s="153">
        <v>30000</v>
      </c>
      <c r="G809" s="153">
        <v>200000</v>
      </c>
      <c r="H809" s="153"/>
      <c r="I809" s="153"/>
      <c r="J809" s="162"/>
      <c r="K809" s="162"/>
      <c r="L809" s="162"/>
      <c r="M809" s="162" t="s">
        <v>101</v>
      </c>
      <c r="N809" s="162" t="s">
        <v>849</v>
      </c>
      <c r="O809" s="153" t="s">
        <v>79</v>
      </c>
      <c r="P809" s="163" t="s">
        <v>102</v>
      </c>
      <c r="Q809" s="163">
        <v>250</v>
      </c>
      <c r="R809" s="163"/>
      <c r="S809" s="163">
        <v>3000</v>
      </c>
      <c r="T809" s="163"/>
      <c r="U809" s="163">
        <v>5000</v>
      </c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  <c r="AG809" s="163"/>
      <c r="AH809" s="163"/>
      <c r="AI809" s="163"/>
      <c r="AJ809" s="163"/>
      <c r="AK809" s="163"/>
      <c r="AL809" s="163"/>
      <c r="AM809" s="163"/>
      <c r="AN809" s="163"/>
      <c r="AO809" s="163"/>
      <c r="AP809" s="163"/>
      <c r="AQ809" s="163"/>
      <c r="AR809" s="163"/>
      <c r="AS809" s="163"/>
      <c r="AT809" s="163"/>
      <c r="AU809" s="163"/>
      <c r="AV809" s="163"/>
      <c r="AW809" s="163"/>
      <c r="AX809" s="163"/>
      <c r="AY809" s="163"/>
      <c r="AZ809" s="163"/>
      <c r="BA809" s="163"/>
      <c r="BB809" s="163"/>
      <c r="BC809" s="163"/>
      <c r="BD809" s="163"/>
      <c r="BE809" s="163"/>
      <c r="BF809" s="163"/>
      <c r="BG809" s="163"/>
      <c r="BH809" s="163"/>
      <c r="BI809" s="163"/>
      <c r="BJ809" s="163"/>
      <c r="BK809" s="163"/>
      <c r="BL809" s="163"/>
      <c r="BM809" s="163"/>
      <c r="BN809" s="163"/>
      <c r="BO809" s="163"/>
      <c r="BP809" s="163"/>
      <c r="BQ809" s="163"/>
      <c r="BR809" s="163"/>
      <c r="BS809" s="163"/>
      <c r="BT809" s="163"/>
      <c r="BU809" s="163"/>
      <c r="BV809" s="163"/>
      <c r="BW809" s="163"/>
      <c r="BX809" s="163"/>
      <c r="BY809" s="171"/>
    </row>
    <row r="810" spans="1:77" s="14" customFormat="1" x14ac:dyDescent="0.15">
      <c r="A810" s="151">
        <v>1412002012</v>
      </c>
      <c r="B810" s="152" t="s">
        <v>651</v>
      </c>
      <c r="C810" s="153" t="s">
        <v>89</v>
      </c>
      <c r="D810" s="153"/>
      <c r="E810" s="153" t="s">
        <v>78</v>
      </c>
      <c r="F810" s="153"/>
      <c r="G810" s="153"/>
      <c r="H810" s="153"/>
      <c r="I810" s="153"/>
      <c r="J810" s="162"/>
      <c r="K810" s="162"/>
      <c r="L810" s="162"/>
      <c r="M810" s="162"/>
      <c r="N810" s="162"/>
      <c r="O810" s="153" t="s">
        <v>277</v>
      </c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>
        <v>14122001</v>
      </c>
      <c r="AF810" s="163"/>
      <c r="AG810" s="163"/>
      <c r="AH810" s="163"/>
      <c r="AI810" s="163"/>
      <c r="AJ810" s="163" t="s">
        <v>491</v>
      </c>
      <c r="AK810" s="163"/>
      <c r="AL810" s="163"/>
      <c r="AM810" s="163"/>
      <c r="AN810" s="163"/>
      <c r="AO810" s="163"/>
      <c r="AP810" s="163"/>
      <c r="AQ810" s="163"/>
      <c r="AR810" s="163"/>
      <c r="AS810" s="163"/>
      <c r="AT810" s="163"/>
      <c r="AU810" s="163"/>
      <c r="AV810" s="163"/>
      <c r="AW810" s="163"/>
      <c r="AX810" s="163"/>
      <c r="AY810" s="163"/>
      <c r="AZ810" s="163" t="s">
        <v>308</v>
      </c>
      <c r="BA810" s="163">
        <v>-10000</v>
      </c>
      <c r="BB810" s="163"/>
      <c r="BC810" s="163"/>
      <c r="BD810" s="163"/>
      <c r="BE810" s="163"/>
      <c r="BF810" s="163"/>
      <c r="BG810" s="163"/>
      <c r="BH810" s="163"/>
      <c r="BI810" s="163"/>
      <c r="BJ810" s="163"/>
      <c r="BK810" s="163"/>
      <c r="BL810" s="163"/>
      <c r="BM810" s="163"/>
      <c r="BN810" s="163"/>
      <c r="BO810" s="163"/>
      <c r="BP810" s="163"/>
      <c r="BQ810" s="163"/>
      <c r="BR810" s="163"/>
      <c r="BS810" s="163"/>
      <c r="BT810" s="163"/>
      <c r="BU810" s="163"/>
      <c r="BV810" s="163"/>
      <c r="BW810" s="163"/>
      <c r="BX810" s="163"/>
      <c r="BY810" s="171"/>
    </row>
    <row r="811" spans="1:77" s="14" customFormat="1" x14ac:dyDescent="0.15">
      <c r="A811" s="151">
        <v>1412200011</v>
      </c>
      <c r="B811" s="152" t="s">
        <v>652</v>
      </c>
      <c r="C811" s="153" t="s">
        <v>89</v>
      </c>
      <c r="D811" s="153"/>
      <c r="E811" s="153" t="s">
        <v>78</v>
      </c>
      <c r="F811" s="153"/>
      <c r="G811" s="153"/>
      <c r="H811" s="153"/>
      <c r="I811" s="153"/>
      <c r="J811" s="162"/>
      <c r="K811" s="162"/>
      <c r="L811" s="162"/>
      <c r="M811" s="162"/>
      <c r="N811" s="162"/>
      <c r="O811" s="153" t="s">
        <v>491</v>
      </c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 t="s">
        <v>171</v>
      </c>
      <c r="AF811" s="163">
        <v>1</v>
      </c>
      <c r="AG811" s="163"/>
      <c r="AH811" s="163"/>
      <c r="AI811" s="163"/>
      <c r="AJ811" s="163" t="s">
        <v>90</v>
      </c>
      <c r="AK811" s="163"/>
      <c r="AL811" s="163"/>
      <c r="AM811" s="163"/>
      <c r="AN811" s="163"/>
      <c r="AO811" s="163"/>
      <c r="AP811" s="163"/>
      <c r="AQ811" s="163"/>
      <c r="AR811" s="163"/>
      <c r="AS811" s="163"/>
      <c r="AT811" s="163"/>
      <c r="AU811" s="163"/>
      <c r="AV811" s="163"/>
      <c r="AW811" s="163"/>
      <c r="AX811" s="163"/>
      <c r="AY811" s="163">
        <v>1412200301</v>
      </c>
      <c r="AZ811" s="163"/>
      <c r="BA811" s="163"/>
      <c r="BB811" s="163"/>
      <c r="BC811" s="163"/>
      <c r="BD811" s="163"/>
      <c r="BE811" s="163"/>
      <c r="BF811" s="163"/>
      <c r="BG811" s="163"/>
      <c r="BH811" s="163"/>
      <c r="BI811" s="163"/>
      <c r="BJ811" s="163"/>
      <c r="BK811" s="163"/>
      <c r="BL811" s="163"/>
      <c r="BM811" s="163"/>
      <c r="BN811" s="163"/>
      <c r="BO811" s="163"/>
      <c r="BP811" s="163"/>
      <c r="BQ811" s="163"/>
      <c r="BR811" s="163"/>
      <c r="BS811" s="163"/>
      <c r="BT811" s="163"/>
      <c r="BU811" s="163"/>
      <c r="BV811" s="163"/>
      <c r="BW811" s="163"/>
      <c r="BX811" s="163"/>
      <c r="BY811" s="171"/>
    </row>
    <row r="812" spans="1:77" s="14" customFormat="1" x14ac:dyDescent="0.15">
      <c r="A812" s="151">
        <v>1412200012</v>
      </c>
      <c r="B812" s="152" t="s">
        <v>653</v>
      </c>
      <c r="C812" s="153" t="s">
        <v>89</v>
      </c>
      <c r="D812" s="153"/>
      <c r="E812" s="153" t="s">
        <v>78</v>
      </c>
      <c r="F812" s="153"/>
      <c r="G812" s="153"/>
      <c r="H812" s="153"/>
      <c r="I812" s="153"/>
      <c r="J812" s="162"/>
      <c r="K812" s="162"/>
      <c r="L812" s="162"/>
      <c r="M812" s="162"/>
      <c r="N812" s="162"/>
      <c r="O812" s="153" t="s">
        <v>90</v>
      </c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>
        <v>1412200101</v>
      </c>
      <c r="AE812" s="163"/>
      <c r="AF812" s="163"/>
      <c r="AG812" s="163"/>
      <c r="AH812" s="163"/>
      <c r="AI812" s="163"/>
      <c r="AJ812" s="163"/>
      <c r="AK812" s="163"/>
      <c r="AL812" s="163"/>
      <c r="AM812" s="163"/>
      <c r="AN812" s="163"/>
      <c r="AO812" s="163"/>
      <c r="AP812" s="163"/>
      <c r="AQ812" s="163"/>
      <c r="AR812" s="163"/>
      <c r="AS812" s="163"/>
      <c r="AT812" s="163"/>
      <c r="AU812" s="163"/>
      <c r="AV812" s="163"/>
      <c r="AW812" s="163"/>
      <c r="AX812" s="163"/>
      <c r="AY812" s="163"/>
      <c r="AZ812" s="163"/>
      <c r="BA812" s="163"/>
      <c r="BB812" s="163"/>
      <c r="BC812" s="163"/>
      <c r="BD812" s="163"/>
      <c r="BE812" s="163"/>
      <c r="BF812" s="163"/>
      <c r="BG812" s="163"/>
      <c r="BH812" s="163"/>
      <c r="BI812" s="163"/>
      <c r="BJ812" s="163"/>
      <c r="BK812" s="163"/>
      <c r="BL812" s="163"/>
      <c r="BM812" s="163"/>
      <c r="BN812" s="163"/>
      <c r="BO812" s="163"/>
      <c r="BP812" s="163"/>
      <c r="BQ812" s="163"/>
      <c r="BR812" s="163"/>
      <c r="BS812" s="163"/>
      <c r="BT812" s="163"/>
      <c r="BU812" s="163"/>
      <c r="BV812" s="163"/>
      <c r="BW812" s="163"/>
      <c r="BX812" s="163"/>
      <c r="BY812" s="171"/>
    </row>
    <row r="813" spans="1:77" s="14" customFormat="1" x14ac:dyDescent="0.15">
      <c r="A813" s="151">
        <v>1412200022</v>
      </c>
      <c r="B813" s="152" t="s">
        <v>653</v>
      </c>
      <c r="C813" s="153" t="s">
        <v>89</v>
      </c>
      <c r="D813" s="153"/>
      <c r="E813" s="153" t="s">
        <v>78</v>
      </c>
      <c r="F813" s="153"/>
      <c r="G813" s="153"/>
      <c r="H813" s="153"/>
      <c r="I813" s="153"/>
      <c r="J813" s="162"/>
      <c r="K813" s="162"/>
      <c r="L813" s="162"/>
      <c r="M813" s="162"/>
      <c r="N813" s="162"/>
      <c r="O813" s="153" t="s">
        <v>90</v>
      </c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>
        <v>1412200102</v>
      </c>
      <c r="AE813" s="163"/>
      <c r="AF813" s="163"/>
      <c r="AG813" s="163"/>
      <c r="AH813" s="163"/>
      <c r="AI813" s="163"/>
      <c r="AJ813" s="163"/>
      <c r="AK813" s="163"/>
      <c r="AL813" s="163"/>
      <c r="AM813" s="163"/>
      <c r="AN813" s="163"/>
      <c r="AO813" s="163"/>
      <c r="AP813" s="163"/>
      <c r="AQ813" s="163"/>
      <c r="AR813" s="163"/>
      <c r="AS813" s="163"/>
      <c r="AT813" s="163"/>
      <c r="AU813" s="163"/>
      <c r="AV813" s="163"/>
      <c r="AW813" s="163"/>
      <c r="AX813" s="163"/>
      <c r="AY813" s="163"/>
      <c r="AZ813" s="163"/>
      <c r="BA813" s="163"/>
      <c r="BB813" s="163"/>
      <c r="BC813" s="163"/>
      <c r="BD813" s="163"/>
      <c r="BE813" s="163"/>
      <c r="BF813" s="163"/>
      <c r="BG813" s="163"/>
      <c r="BH813" s="163"/>
      <c r="BI813" s="163"/>
      <c r="BJ813" s="163"/>
      <c r="BK813" s="163"/>
      <c r="BL813" s="163"/>
      <c r="BM813" s="163"/>
      <c r="BN813" s="163"/>
      <c r="BO813" s="163"/>
      <c r="BP813" s="163"/>
      <c r="BQ813" s="163"/>
      <c r="BR813" s="163"/>
      <c r="BS813" s="163"/>
      <c r="BT813" s="163"/>
      <c r="BU813" s="163"/>
      <c r="BV813" s="163"/>
      <c r="BW813" s="163"/>
      <c r="BX813" s="163"/>
      <c r="BY813" s="171"/>
    </row>
    <row r="814" spans="1:77" s="14" customFormat="1" x14ac:dyDescent="0.15">
      <c r="A814" s="151">
        <v>1412200032</v>
      </c>
      <c r="B814" s="152" t="s">
        <v>653</v>
      </c>
      <c r="C814" s="153" t="s">
        <v>89</v>
      </c>
      <c r="D814" s="153"/>
      <c r="E814" s="153" t="s">
        <v>78</v>
      </c>
      <c r="F814" s="153"/>
      <c r="G814" s="153"/>
      <c r="H814" s="153"/>
      <c r="I814" s="153"/>
      <c r="J814" s="162"/>
      <c r="K814" s="162"/>
      <c r="L814" s="162"/>
      <c r="M814" s="162"/>
      <c r="N814" s="162"/>
      <c r="O814" s="153" t="s">
        <v>90</v>
      </c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>
        <v>1412200103</v>
      </c>
      <c r="AE814" s="163"/>
      <c r="AF814" s="163"/>
      <c r="AG814" s="163"/>
      <c r="AH814" s="163"/>
      <c r="AI814" s="163"/>
      <c r="AJ814" s="163"/>
      <c r="AK814" s="163"/>
      <c r="AL814" s="163"/>
      <c r="AM814" s="163"/>
      <c r="AN814" s="163"/>
      <c r="AO814" s="163"/>
      <c r="AP814" s="163"/>
      <c r="AQ814" s="163"/>
      <c r="AR814" s="163"/>
      <c r="AS814" s="163"/>
      <c r="AT814" s="163"/>
      <c r="AU814" s="163"/>
      <c r="AV814" s="163"/>
      <c r="AW814" s="163"/>
      <c r="AX814" s="163"/>
      <c r="AY814" s="163"/>
      <c r="AZ814" s="163"/>
      <c r="BA814" s="163"/>
      <c r="BB814" s="163"/>
      <c r="BC814" s="163"/>
      <c r="BD814" s="163"/>
      <c r="BE814" s="163"/>
      <c r="BF814" s="163"/>
      <c r="BG814" s="163"/>
      <c r="BH814" s="163"/>
      <c r="BI814" s="163"/>
      <c r="BJ814" s="163"/>
      <c r="BK814" s="163"/>
      <c r="BL814" s="163"/>
      <c r="BM814" s="163"/>
      <c r="BN814" s="163"/>
      <c r="BO814" s="163"/>
      <c r="BP814" s="163"/>
      <c r="BQ814" s="163"/>
      <c r="BR814" s="163"/>
      <c r="BS814" s="163"/>
      <c r="BT814" s="163"/>
      <c r="BU814" s="163"/>
      <c r="BV814" s="163"/>
      <c r="BW814" s="163"/>
      <c r="BX814" s="163"/>
      <c r="BY814" s="171"/>
    </row>
    <row r="815" spans="1:77" s="14" customFormat="1" x14ac:dyDescent="0.15">
      <c r="A815" s="151">
        <v>1412200013</v>
      </c>
      <c r="B815" s="152" t="s">
        <v>654</v>
      </c>
      <c r="C815" s="153" t="s">
        <v>89</v>
      </c>
      <c r="D815" s="153"/>
      <c r="E815" s="153" t="s">
        <v>78</v>
      </c>
      <c r="F815" s="153"/>
      <c r="G815" s="153"/>
      <c r="H815" s="153"/>
      <c r="I815" s="153"/>
      <c r="J815" s="162"/>
      <c r="K815" s="162"/>
      <c r="L815" s="162"/>
      <c r="M815" s="162"/>
      <c r="N815" s="162"/>
      <c r="O815" s="153" t="s">
        <v>277</v>
      </c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 t="s">
        <v>655</v>
      </c>
      <c r="AE815" s="163">
        <v>14122003</v>
      </c>
      <c r="AF815" s="163"/>
      <c r="AG815" s="163"/>
      <c r="AH815" s="163"/>
      <c r="AI815" s="163"/>
      <c r="AJ815" s="163"/>
      <c r="AK815" s="163"/>
      <c r="AL815" s="163"/>
      <c r="AM815" s="163"/>
      <c r="AN815" s="163"/>
      <c r="AO815" s="163"/>
      <c r="AP815" s="163"/>
      <c r="AQ815" s="163"/>
      <c r="AR815" s="163"/>
      <c r="AS815" s="163"/>
      <c r="AT815" s="163"/>
      <c r="AU815" s="163"/>
      <c r="AV815" s="163"/>
      <c r="AW815" s="163"/>
      <c r="AX815" s="163"/>
      <c r="AY815" s="163"/>
      <c r="AZ815" s="163"/>
      <c r="BA815" s="163"/>
      <c r="BB815" s="163"/>
      <c r="BC815" s="163"/>
      <c r="BD815" s="163"/>
      <c r="BE815" s="163"/>
      <c r="BF815" s="163"/>
      <c r="BG815" s="163"/>
      <c r="BH815" s="163"/>
      <c r="BI815" s="163"/>
      <c r="BJ815" s="163"/>
      <c r="BK815" s="163"/>
      <c r="BL815" s="163"/>
      <c r="BM815" s="163"/>
      <c r="BN815" s="163"/>
      <c r="BO815" s="163"/>
      <c r="BP815" s="163"/>
      <c r="BQ815" s="163"/>
      <c r="BR815" s="163"/>
      <c r="BS815" s="163"/>
      <c r="BT815" s="163"/>
      <c r="BU815" s="163"/>
      <c r="BV815" s="163"/>
      <c r="BW815" s="163"/>
      <c r="BX815" s="163"/>
      <c r="BY815" s="171"/>
    </row>
    <row r="816" spans="1:77" s="14" customFormat="1" x14ac:dyDescent="0.15">
      <c r="A816" s="151">
        <v>1412010011</v>
      </c>
      <c r="B816" s="152" t="s">
        <v>656</v>
      </c>
      <c r="C816" s="153" t="s">
        <v>100</v>
      </c>
      <c r="D816" s="153"/>
      <c r="E816" s="153" t="s">
        <v>85</v>
      </c>
      <c r="F816" s="153">
        <v>50000</v>
      </c>
      <c r="G816" s="153">
        <v>180000</v>
      </c>
      <c r="H816" s="153"/>
      <c r="I816" s="153"/>
      <c r="J816" s="162"/>
      <c r="K816" s="162"/>
      <c r="L816" s="162"/>
      <c r="M816" s="162" t="s">
        <v>101</v>
      </c>
      <c r="N816" s="162"/>
      <c r="O816" s="15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  <c r="AG816" s="163"/>
      <c r="AH816" s="163"/>
      <c r="AI816" s="163"/>
      <c r="AJ816" s="163"/>
      <c r="AK816" s="163"/>
      <c r="AL816" s="163"/>
      <c r="AM816" s="163"/>
      <c r="AN816" s="163"/>
      <c r="AO816" s="163"/>
      <c r="AP816" s="163"/>
      <c r="AQ816" s="163"/>
      <c r="AR816" s="163"/>
      <c r="AS816" s="163"/>
      <c r="AT816" s="163"/>
      <c r="AU816" s="163"/>
      <c r="AV816" s="163"/>
      <c r="AW816" s="163"/>
      <c r="AX816" s="163"/>
      <c r="AY816" s="163"/>
      <c r="AZ816" s="163"/>
      <c r="BA816" s="163"/>
      <c r="BB816" s="163"/>
      <c r="BC816" s="163"/>
      <c r="BD816" s="163"/>
      <c r="BE816" s="163"/>
      <c r="BF816" s="163"/>
      <c r="BG816" s="163"/>
      <c r="BH816" s="163"/>
      <c r="BI816" s="163"/>
      <c r="BJ816" s="163"/>
      <c r="BK816" s="163"/>
      <c r="BL816" s="163"/>
      <c r="BM816" s="163"/>
      <c r="BN816" s="163"/>
      <c r="BO816" s="163"/>
      <c r="BP816" s="163"/>
      <c r="BQ816" s="163"/>
      <c r="BR816" s="163"/>
      <c r="BS816" s="163"/>
      <c r="BT816" s="163"/>
      <c r="BU816" s="163"/>
      <c r="BV816" s="163"/>
      <c r="BW816" s="163"/>
      <c r="BX816" s="163"/>
      <c r="BY816" s="171"/>
    </row>
    <row r="817" spans="1:77" s="14" customFormat="1" x14ac:dyDescent="0.15">
      <c r="A817" s="151">
        <v>1412010012</v>
      </c>
      <c r="B817" s="152" t="s">
        <v>657</v>
      </c>
      <c r="C817" s="153" t="s">
        <v>100</v>
      </c>
      <c r="D817" s="153"/>
      <c r="E817" s="153" t="s">
        <v>83</v>
      </c>
      <c r="F817" s="153">
        <v>50000</v>
      </c>
      <c r="G817" s="153"/>
      <c r="H817" s="153"/>
      <c r="I817" s="153"/>
      <c r="J817" s="162"/>
      <c r="K817" s="162"/>
      <c r="L817" s="162"/>
      <c r="M817" s="162" t="s">
        <v>101</v>
      </c>
      <c r="N817" s="162" t="s">
        <v>842</v>
      </c>
      <c r="O817" s="153" t="s">
        <v>79</v>
      </c>
      <c r="P817" s="163" t="s">
        <v>102</v>
      </c>
      <c r="Q817" s="163">
        <v>180</v>
      </c>
      <c r="R817" s="163"/>
      <c r="S817" s="163">
        <v>4000</v>
      </c>
      <c r="T817" s="163"/>
      <c r="U817" s="163">
        <v>5000</v>
      </c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  <c r="AG817" s="163"/>
      <c r="AH817" s="163"/>
      <c r="AI817" s="163"/>
      <c r="AJ817" s="163" t="s">
        <v>90</v>
      </c>
      <c r="AK817" s="163"/>
      <c r="AL817" s="163"/>
      <c r="AM817" s="163"/>
      <c r="AN817" s="163"/>
      <c r="AO817" s="163"/>
      <c r="AP817" s="163"/>
      <c r="AQ817" s="163"/>
      <c r="AR817" s="163"/>
      <c r="AS817" s="163"/>
      <c r="AT817" s="163"/>
      <c r="AU817" s="163"/>
      <c r="AV817" s="163"/>
      <c r="AW817" s="163"/>
      <c r="AX817" s="163">
        <v>1412010101</v>
      </c>
      <c r="AY817" s="163">
        <v>1412010101</v>
      </c>
      <c r="AZ817" s="163"/>
      <c r="BA817" s="163"/>
      <c r="BB817" s="163"/>
      <c r="BC817" s="163"/>
      <c r="BD817" s="163"/>
      <c r="BE817" s="163"/>
      <c r="BF817" s="163"/>
      <c r="BG817" s="163"/>
      <c r="BH817" s="163"/>
      <c r="BI817" s="163"/>
      <c r="BJ817" s="163"/>
      <c r="BK817" s="163"/>
      <c r="BL817" s="163"/>
      <c r="BM817" s="163"/>
      <c r="BN817" s="163"/>
      <c r="BO817" s="163"/>
      <c r="BP817" s="163"/>
      <c r="BQ817" s="163"/>
      <c r="BR817" s="163"/>
      <c r="BS817" s="163"/>
      <c r="BT817" s="163"/>
      <c r="BU817" s="163"/>
      <c r="BV817" s="163"/>
      <c r="BW817" s="163"/>
      <c r="BX817" s="163"/>
      <c r="BY817" s="171"/>
    </row>
    <row r="818" spans="1:77" s="14" customFormat="1" x14ac:dyDescent="0.15">
      <c r="A818" s="151">
        <v>1412010022</v>
      </c>
      <c r="B818" s="152" t="s">
        <v>657</v>
      </c>
      <c r="C818" s="153" t="s">
        <v>100</v>
      </c>
      <c r="D818" s="153"/>
      <c r="E818" s="153" t="s">
        <v>83</v>
      </c>
      <c r="F818" s="153">
        <v>50000</v>
      </c>
      <c r="G818" s="153"/>
      <c r="H818" s="153"/>
      <c r="I818" s="153"/>
      <c r="J818" s="162"/>
      <c r="K818" s="162"/>
      <c r="L818" s="162"/>
      <c r="M818" s="162" t="s">
        <v>101</v>
      </c>
      <c r="N818" s="162" t="s">
        <v>842</v>
      </c>
      <c r="O818" s="153" t="s">
        <v>79</v>
      </c>
      <c r="P818" s="163" t="s">
        <v>102</v>
      </c>
      <c r="Q818" s="163">
        <v>260</v>
      </c>
      <c r="R818" s="163"/>
      <c r="S818" s="163">
        <v>4000</v>
      </c>
      <c r="T818" s="163"/>
      <c r="U818" s="163">
        <v>5000</v>
      </c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  <c r="AG818" s="163"/>
      <c r="AH818" s="163"/>
      <c r="AI818" s="163"/>
      <c r="AJ818" s="163" t="s">
        <v>90</v>
      </c>
      <c r="AK818" s="163"/>
      <c r="AL818" s="163"/>
      <c r="AM818" s="163"/>
      <c r="AN818" s="163"/>
      <c r="AO818" s="163"/>
      <c r="AP818" s="163"/>
      <c r="AQ818" s="163"/>
      <c r="AR818" s="163"/>
      <c r="AS818" s="163"/>
      <c r="AT818" s="163"/>
      <c r="AU818" s="163"/>
      <c r="AV818" s="163"/>
      <c r="AW818" s="163"/>
      <c r="AX818" s="163">
        <v>1412010101</v>
      </c>
      <c r="AY818" s="163">
        <v>1412010101</v>
      </c>
      <c r="AZ818" s="163"/>
      <c r="BA818" s="163"/>
      <c r="BB818" s="163"/>
      <c r="BC818" s="163"/>
      <c r="BD818" s="163"/>
      <c r="BE818" s="163"/>
      <c r="BF818" s="163"/>
      <c r="BG818" s="163"/>
      <c r="BH818" s="163"/>
      <c r="BI818" s="163"/>
      <c r="BJ818" s="163"/>
      <c r="BK818" s="163"/>
      <c r="BL818" s="163"/>
      <c r="BM818" s="163"/>
      <c r="BN818" s="163"/>
      <c r="BO818" s="163"/>
      <c r="BP818" s="163"/>
      <c r="BQ818" s="163"/>
      <c r="BR818" s="163"/>
      <c r="BS818" s="163"/>
      <c r="BT818" s="163"/>
      <c r="BU818" s="163"/>
      <c r="BV818" s="163"/>
      <c r="BW818" s="163"/>
      <c r="BX818" s="163"/>
      <c r="BY818" s="171"/>
    </row>
    <row r="819" spans="1:77" s="14" customFormat="1" x14ac:dyDescent="0.15">
      <c r="A819" s="151">
        <v>1412010032</v>
      </c>
      <c r="B819" s="152" t="s">
        <v>657</v>
      </c>
      <c r="C819" s="153" t="s">
        <v>100</v>
      </c>
      <c r="D819" s="153"/>
      <c r="E819" s="153" t="s">
        <v>83</v>
      </c>
      <c r="F819" s="153">
        <v>50000</v>
      </c>
      <c r="G819" s="153"/>
      <c r="H819" s="153"/>
      <c r="I819" s="153"/>
      <c r="J819" s="162"/>
      <c r="K819" s="162"/>
      <c r="L819" s="162"/>
      <c r="M819" s="162" t="s">
        <v>101</v>
      </c>
      <c r="N819" s="162" t="s">
        <v>842</v>
      </c>
      <c r="O819" s="153" t="s">
        <v>79</v>
      </c>
      <c r="P819" s="163" t="s">
        <v>102</v>
      </c>
      <c r="Q819" s="163">
        <v>340</v>
      </c>
      <c r="R819" s="163"/>
      <c r="S819" s="163">
        <v>4000</v>
      </c>
      <c r="T819" s="163"/>
      <c r="U819" s="163">
        <v>5000</v>
      </c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  <c r="AG819" s="163"/>
      <c r="AH819" s="163"/>
      <c r="AI819" s="163"/>
      <c r="AJ819" s="163" t="s">
        <v>90</v>
      </c>
      <c r="AK819" s="163"/>
      <c r="AL819" s="163"/>
      <c r="AM819" s="163"/>
      <c r="AN819" s="163"/>
      <c r="AO819" s="163"/>
      <c r="AP819" s="163"/>
      <c r="AQ819" s="163"/>
      <c r="AR819" s="163"/>
      <c r="AS819" s="163"/>
      <c r="AT819" s="163"/>
      <c r="AU819" s="163"/>
      <c r="AV819" s="163"/>
      <c r="AW819" s="163"/>
      <c r="AX819" s="163">
        <v>1412010101</v>
      </c>
      <c r="AY819" s="163">
        <v>1412010101</v>
      </c>
      <c r="AZ819" s="163"/>
      <c r="BA819" s="163"/>
      <c r="BB819" s="163"/>
      <c r="BC819" s="163"/>
      <c r="BD819" s="163"/>
      <c r="BE819" s="163"/>
      <c r="BF819" s="163"/>
      <c r="BG819" s="163"/>
      <c r="BH819" s="163"/>
      <c r="BI819" s="163"/>
      <c r="BJ819" s="163"/>
      <c r="BK819" s="163"/>
      <c r="BL819" s="163"/>
      <c r="BM819" s="163"/>
      <c r="BN819" s="163"/>
      <c r="BO819" s="163"/>
      <c r="BP819" s="163"/>
      <c r="BQ819" s="163"/>
      <c r="BR819" s="163"/>
      <c r="BS819" s="163"/>
      <c r="BT819" s="163"/>
      <c r="BU819" s="163"/>
      <c r="BV819" s="163"/>
      <c r="BW819" s="163"/>
      <c r="BX819" s="163"/>
      <c r="BY819" s="171"/>
    </row>
    <row r="820" spans="1:77" s="14" customFormat="1" x14ac:dyDescent="0.15">
      <c r="A820" s="151">
        <v>1412010042</v>
      </c>
      <c r="B820" s="152" t="s">
        <v>657</v>
      </c>
      <c r="C820" s="153" t="s">
        <v>100</v>
      </c>
      <c r="D820" s="153"/>
      <c r="E820" s="153" t="s">
        <v>83</v>
      </c>
      <c r="F820" s="153">
        <v>50000</v>
      </c>
      <c r="G820" s="153"/>
      <c r="H820" s="153"/>
      <c r="I820" s="153"/>
      <c r="J820" s="162"/>
      <c r="K820" s="162"/>
      <c r="L820" s="162"/>
      <c r="M820" s="162" t="s">
        <v>101</v>
      </c>
      <c r="N820" s="162" t="s">
        <v>842</v>
      </c>
      <c r="O820" s="153" t="s">
        <v>79</v>
      </c>
      <c r="P820" s="163" t="s">
        <v>102</v>
      </c>
      <c r="Q820" s="163">
        <v>420</v>
      </c>
      <c r="R820" s="163"/>
      <c r="S820" s="163">
        <v>4000</v>
      </c>
      <c r="T820" s="163"/>
      <c r="U820" s="163">
        <v>5000</v>
      </c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  <c r="AG820" s="163"/>
      <c r="AH820" s="163"/>
      <c r="AI820" s="163"/>
      <c r="AJ820" s="163" t="s">
        <v>90</v>
      </c>
      <c r="AK820" s="163"/>
      <c r="AL820" s="163"/>
      <c r="AM820" s="163"/>
      <c r="AN820" s="163"/>
      <c r="AO820" s="163"/>
      <c r="AP820" s="163"/>
      <c r="AQ820" s="163"/>
      <c r="AR820" s="163"/>
      <c r="AS820" s="163"/>
      <c r="AT820" s="163"/>
      <c r="AU820" s="163"/>
      <c r="AV820" s="163"/>
      <c r="AW820" s="163"/>
      <c r="AX820" s="163">
        <v>1412010101</v>
      </c>
      <c r="AY820" s="163">
        <v>1412010101</v>
      </c>
      <c r="AZ820" s="163"/>
      <c r="BA820" s="163"/>
      <c r="BB820" s="163"/>
      <c r="BC820" s="163"/>
      <c r="BD820" s="163"/>
      <c r="BE820" s="163"/>
      <c r="BF820" s="163"/>
      <c r="BG820" s="163"/>
      <c r="BH820" s="163"/>
      <c r="BI820" s="163"/>
      <c r="BJ820" s="163"/>
      <c r="BK820" s="163"/>
      <c r="BL820" s="163"/>
      <c r="BM820" s="163"/>
      <c r="BN820" s="163"/>
      <c r="BO820" s="163"/>
      <c r="BP820" s="163"/>
      <c r="BQ820" s="163"/>
      <c r="BR820" s="163"/>
      <c r="BS820" s="163"/>
      <c r="BT820" s="163"/>
      <c r="BU820" s="163"/>
      <c r="BV820" s="163"/>
      <c r="BW820" s="163"/>
      <c r="BX820" s="163"/>
      <c r="BY820" s="171"/>
    </row>
    <row r="821" spans="1:77" s="14" customFormat="1" x14ac:dyDescent="0.15">
      <c r="A821" s="151">
        <v>1412010013</v>
      </c>
      <c r="B821" s="152" t="s">
        <v>658</v>
      </c>
      <c r="C821" s="153" t="s">
        <v>100</v>
      </c>
      <c r="D821" s="153"/>
      <c r="E821" s="153" t="s">
        <v>78</v>
      </c>
      <c r="F821" s="153"/>
      <c r="G821" s="153"/>
      <c r="H821" s="153"/>
      <c r="I821" s="153"/>
      <c r="J821" s="162"/>
      <c r="K821" s="162"/>
      <c r="L821" s="162"/>
      <c r="M821" s="162" t="s">
        <v>101</v>
      </c>
      <c r="N821" s="162" t="s">
        <v>842</v>
      </c>
      <c r="O821" s="153" t="s">
        <v>90</v>
      </c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>
        <v>1412010301</v>
      </c>
      <c r="AD821" s="163">
        <v>1412010201</v>
      </c>
      <c r="AE821" s="163"/>
      <c r="AF821" s="163"/>
      <c r="AG821" s="163"/>
      <c r="AH821" s="163"/>
      <c r="AI821" s="163"/>
      <c r="AJ821" s="163" t="s">
        <v>277</v>
      </c>
      <c r="AK821" s="163"/>
      <c r="AL821" s="163"/>
      <c r="AM821" s="163"/>
      <c r="AN821" s="163"/>
      <c r="AO821" s="163"/>
      <c r="AP821" s="163"/>
      <c r="AQ821" s="163"/>
      <c r="AR821" s="163"/>
      <c r="AS821" s="163"/>
      <c r="AT821" s="163"/>
      <c r="AU821" s="163"/>
      <c r="AV821" s="163"/>
      <c r="AW821" s="163"/>
      <c r="AX821" s="163"/>
      <c r="AY821" s="163"/>
      <c r="AZ821" s="163">
        <v>14120101</v>
      </c>
      <c r="BA821" s="163"/>
      <c r="BB821" s="163"/>
      <c r="BC821" s="163"/>
      <c r="BD821" s="163"/>
      <c r="BE821" s="163" t="s">
        <v>277</v>
      </c>
      <c r="BF821" s="163"/>
      <c r="BG821" s="163"/>
      <c r="BH821" s="163"/>
      <c r="BI821" s="163"/>
      <c r="BJ821" s="163"/>
      <c r="BK821" s="163"/>
      <c r="BL821" s="163"/>
      <c r="BM821" s="163"/>
      <c r="BN821" s="163"/>
      <c r="BO821" s="163"/>
      <c r="BP821" s="163"/>
      <c r="BQ821" s="163"/>
      <c r="BR821" s="163"/>
      <c r="BS821" s="163"/>
      <c r="BT821" s="163"/>
      <c r="BU821" s="163">
        <v>14120201</v>
      </c>
      <c r="BV821" s="163"/>
      <c r="BW821" s="163"/>
      <c r="BX821" s="163"/>
      <c r="BY821" s="171"/>
    </row>
    <row r="822" spans="1:77" s="14" customFormat="1" x14ac:dyDescent="0.15">
      <c r="A822" s="151">
        <v>1412020011</v>
      </c>
      <c r="B822" s="152" t="s">
        <v>659</v>
      </c>
      <c r="C822" s="153" t="s">
        <v>100</v>
      </c>
      <c r="D822" s="153"/>
      <c r="E822" s="153" t="s">
        <v>85</v>
      </c>
      <c r="F822" s="153">
        <v>140000</v>
      </c>
      <c r="G822" s="153">
        <v>65000</v>
      </c>
      <c r="H822" s="153"/>
      <c r="I822" s="153"/>
      <c r="J822" s="162"/>
      <c r="K822" s="162"/>
      <c r="L822" s="162"/>
      <c r="M822" s="162" t="s">
        <v>101</v>
      </c>
      <c r="N822" s="162"/>
      <c r="O822" s="15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  <c r="AG822" s="163"/>
      <c r="AH822" s="163"/>
      <c r="AI822" s="163"/>
      <c r="AJ822" s="163"/>
      <c r="AK822" s="163"/>
      <c r="AL822" s="163"/>
      <c r="AM822" s="163"/>
      <c r="AN822" s="163"/>
      <c r="AO822" s="163"/>
      <c r="AP822" s="163"/>
      <c r="AQ822" s="163"/>
      <c r="AR822" s="163"/>
      <c r="AS822" s="163"/>
      <c r="AT822" s="163"/>
      <c r="AU822" s="163"/>
      <c r="AV822" s="163"/>
      <c r="AW822" s="163"/>
      <c r="AX822" s="163"/>
      <c r="AY822" s="163"/>
      <c r="AZ822" s="163"/>
      <c r="BA822" s="163"/>
      <c r="BB822" s="163"/>
      <c r="BC822" s="163"/>
      <c r="BD822" s="163"/>
      <c r="BE822" s="163"/>
      <c r="BF822" s="163"/>
      <c r="BG822" s="163"/>
      <c r="BH822" s="163"/>
      <c r="BI822" s="163"/>
      <c r="BJ822" s="163"/>
      <c r="BK822" s="163"/>
      <c r="BL822" s="163"/>
      <c r="BM822" s="163"/>
      <c r="BN822" s="163"/>
      <c r="BO822" s="163"/>
      <c r="BP822" s="163"/>
      <c r="BQ822" s="163"/>
      <c r="BR822" s="163"/>
      <c r="BS822" s="163"/>
      <c r="BT822" s="163"/>
      <c r="BU822" s="163"/>
      <c r="BV822" s="163"/>
      <c r="BW822" s="163"/>
      <c r="BX822" s="163"/>
      <c r="BY822" s="171"/>
    </row>
    <row r="823" spans="1:77" s="14" customFormat="1" x14ac:dyDescent="0.15">
      <c r="A823" s="151">
        <v>1412020012</v>
      </c>
      <c r="B823" s="152" t="s">
        <v>660</v>
      </c>
      <c r="C823" s="153" t="s">
        <v>100</v>
      </c>
      <c r="D823" s="153"/>
      <c r="E823" s="153" t="s">
        <v>78</v>
      </c>
      <c r="F823" s="153"/>
      <c r="G823" s="153"/>
      <c r="H823" s="153"/>
      <c r="I823" s="153"/>
      <c r="J823" s="162"/>
      <c r="K823" s="162"/>
      <c r="L823" s="162"/>
      <c r="M823" s="162" t="s">
        <v>101</v>
      </c>
      <c r="N823" s="162"/>
      <c r="O823" s="153" t="s">
        <v>79</v>
      </c>
      <c r="P823" s="163" t="s">
        <v>102</v>
      </c>
      <c r="Q823" s="163">
        <v>40</v>
      </c>
      <c r="R823" s="163"/>
      <c r="S823" s="163">
        <v>800</v>
      </c>
      <c r="T823" s="163"/>
      <c r="U823" s="163">
        <v>3500</v>
      </c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  <c r="AG823" s="163"/>
      <c r="AH823" s="163"/>
      <c r="AI823" s="163"/>
      <c r="AJ823" s="163" t="s">
        <v>90</v>
      </c>
      <c r="AK823" s="163"/>
      <c r="AL823" s="163"/>
      <c r="AM823" s="163"/>
      <c r="AN823" s="163"/>
      <c r="AO823" s="163"/>
      <c r="AP823" s="163"/>
      <c r="AQ823" s="163"/>
      <c r="AR823" s="163"/>
      <c r="AS823" s="163"/>
      <c r="AT823" s="163"/>
      <c r="AU823" s="163"/>
      <c r="AV823" s="163"/>
      <c r="AW823" s="163"/>
      <c r="AX823" s="163">
        <v>1412020301</v>
      </c>
      <c r="AY823" s="163">
        <v>1412020201</v>
      </c>
      <c r="AZ823" s="163"/>
      <c r="BA823" s="163"/>
      <c r="BB823" s="163"/>
      <c r="BC823" s="163"/>
      <c r="BD823" s="163"/>
      <c r="BE823" s="163"/>
      <c r="BF823" s="163"/>
      <c r="BG823" s="163"/>
      <c r="BH823" s="163"/>
      <c r="BI823" s="163"/>
      <c r="BJ823" s="163"/>
      <c r="BK823" s="163"/>
      <c r="BL823" s="163"/>
      <c r="BM823" s="163"/>
      <c r="BN823" s="163"/>
      <c r="BO823" s="163"/>
      <c r="BP823" s="163"/>
      <c r="BQ823" s="163"/>
      <c r="BR823" s="163"/>
      <c r="BS823" s="163"/>
      <c r="BT823" s="163"/>
      <c r="BU823" s="163"/>
      <c r="BV823" s="163"/>
      <c r="BW823" s="163"/>
      <c r="BX823" s="163"/>
      <c r="BY823" s="171"/>
    </row>
    <row r="824" spans="1:77" s="14" customFormat="1" x14ac:dyDescent="0.15">
      <c r="A824" s="151">
        <v>1412020022</v>
      </c>
      <c r="B824" s="152" t="s">
        <v>660</v>
      </c>
      <c r="C824" s="153" t="s">
        <v>100</v>
      </c>
      <c r="D824" s="153"/>
      <c r="E824" s="153" t="s">
        <v>78</v>
      </c>
      <c r="F824" s="153"/>
      <c r="G824" s="153"/>
      <c r="H824" s="153"/>
      <c r="I824" s="153"/>
      <c r="J824" s="162"/>
      <c r="K824" s="162"/>
      <c r="L824" s="162"/>
      <c r="M824" s="162" t="s">
        <v>101</v>
      </c>
      <c r="N824" s="162"/>
      <c r="O824" s="153" t="s">
        <v>79</v>
      </c>
      <c r="P824" s="163" t="s">
        <v>102</v>
      </c>
      <c r="Q824" s="163">
        <v>60</v>
      </c>
      <c r="R824" s="163"/>
      <c r="S824" s="163">
        <v>800</v>
      </c>
      <c r="T824" s="163"/>
      <c r="U824" s="163">
        <v>3500</v>
      </c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  <c r="AG824" s="163"/>
      <c r="AH824" s="163"/>
      <c r="AI824" s="163"/>
      <c r="AJ824" s="163" t="s">
        <v>90</v>
      </c>
      <c r="AK824" s="163"/>
      <c r="AL824" s="163"/>
      <c r="AM824" s="163"/>
      <c r="AN824" s="163"/>
      <c r="AO824" s="163"/>
      <c r="AP824" s="163"/>
      <c r="AQ824" s="163"/>
      <c r="AR824" s="163"/>
      <c r="AS824" s="163"/>
      <c r="AT824" s="163"/>
      <c r="AU824" s="163"/>
      <c r="AV824" s="163"/>
      <c r="AW824" s="163"/>
      <c r="AX824" s="163">
        <v>1412020302</v>
      </c>
      <c r="AY824" s="163">
        <v>1412020202</v>
      </c>
      <c r="AZ824" s="163"/>
      <c r="BA824" s="163"/>
      <c r="BB824" s="163"/>
      <c r="BC824" s="163"/>
      <c r="BD824" s="163"/>
      <c r="BE824" s="163"/>
      <c r="BF824" s="163"/>
      <c r="BG824" s="163"/>
      <c r="BH824" s="163"/>
      <c r="BI824" s="163"/>
      <c r="BJ824" s="163"/>
      <c r="BK824" s="163"/>
      <c r="BL824" s="163"/>
      <c r="BM824" s="163"/>
      <c r="BN824" s="163"/>
      <c r="BO824" s="163"/>
      <c r="BP824" s="163"/>
      <c r="BQ824" s="163"/>
      <c r="BR824" s="163"/>
      <c r="BS824" s="163"/>
      <c r="BT824" s="163"/>
      <c r="BU824" s="163"/>
      <c r="BV824" s="163"/>
      <c r="BW824" s="163"/>
      <c r="BX824" s="163"/>
      <c r="BY824" s="171"/>
    </row>
    <row r="825" spans="1:77" s="14" customFormat="1" x14ac:dyDescent="0.15">
      <c r="A825" s="151">
        <v>1412020032</v>
      </c>
      <c r="B825" s="152" t="s">
        <v>660</v>
      </c>
      <c r="C825" s="153" t="s">
        <v>100</v>
      </c>
      <c r="D825" s="153"/>
      <c r="E825" s="153" t="s">
        <v>78</v>
      </c>
      <c r="F825" s="153"/>
      <c r="G825" s="153"/>
      <c r="H825" s="153"/>
      <c r="I825" s="153"/>
      <c r="J825" s="162"/>
      <c r="K825" s="162"/>
      <c r="L825" s="162"/>
      <c r="M825" s="162" t="s">
        <v>101</v>
      </c>
      <c r="N825" s="162"/>
      <c r="O825" s="153" t="s">
        <v>79</v>
      </c>
      <c r="P825" s="163" t="s">
        <v>102</v>
      </c>
      <c r="Q825" s="163">
        <v>80</v>
      </c>
      <c r="R825" s="163"/>
      <c r="S825" s="163">
        <v>800</v>
      </c>
      <c r="T825" s="163"/>
      <c r="U825" s="163">
        <v>3500</v>
      </c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  <c r="AG825" s="163"/>
      <c r="AH825" s="163"/>
      <c r="AI825" s="163"/>
      <c r="AJ825" s="163" t="s">
        <v>90</v>
      </c>
      <c r="AK825" s="163"/>
      <c r="AL825" s="163"/>
      <c r="AM825" s="163"/>
      <c r="AN825" s="163"/>
      <c r="AO825" s="163"/>
      <c r="AP825" s="163"/>
      <c r="AQ825" s="163"/>
      <c r="AR825" s="163"/>
      <c r="AS825" s="163"/>
      <c r="AT825" s="163"/>
      <c r="AU825" s="163"/>
      <c r="AV825" s="163"/>
      <c r="AW825" s="163"/>
      <c r="AX825" s="163">
        <v>1412020303</v>
      </c>
      <c r="AY825" s="163">
        <v>1412020203</v>
      </c>
      <c r="AZ825" s="163"/>
      <c r="BA825" s="163"/>
      <c r="BB825" s="163"/>
      <c r="BC825" s="163"/>
      <c r="BD825" s="163"/>
      <c r="BE825" s="163"/>
      <c r="BF825" s="163"/>
      <c r="BG825" s="163"/>
      <c r="BH825" s="163"/>
      <c r="BI825" s="163"/>
      <c r="BJ825" s="163"/>
      <c r="BK825" s="163"/>
      <c r="BL825" s="163"/>
      <c r="BM825" s="163"/>
      <c r="BN825" s="163"/>
      <c r="BO825" s="163"/>
      <c r="BP825" s="163"/>
      <c r="BQ825" s="163"/>
      <c r="BR825" s="163"/>
      <c r="BS825" s="163"/>
      <c r="BT825" s="163"/>
      <c r="BU825" s="163"/>
      <c r="BV825" s="163"/>
      <c r="BW825" s="163"/>
      <c r="BX825" s="163"/>
      <c r="BY825" s="171"/>
    </row>
    <row r="826" spans="1:77" s="14" customFormat="1" x14ac:dyDescent="0.15">
      <c r="A826" s="151">
        <v>1412020042</v>
      </c>
      <c r="B826" s="152" t="s">
        <v>660</v>
      </c>
      <c r="C826" s="153" t="s">
        <v>100</v>
      </c>
      <c r="D826" s="153"/>
      <c r="E826" s="153" t="s">
        <v>78</v>
      </c>
      <c r="F826" s="153"/>
      <c r="G826" s="153"/>
      <c r="H826" s="153"/>
      <c r="I826" s="153"/>
      <c r="J826" s="162"/>
      <c r="K826" s="162"/>
      <c r="L826" s="162"/>
      <c r="M826" s="162" t="s">
        <v>101</v>
      </c>
      <c r="N826" s="162"/>
      <c r="O826" s="153" t="s">
        <v>79</v>
      </c>
      <c r="P826" s="163" t="s">
        <v>102</v>
      </c>
      <c r="Q826" s="163">
        <v>100</v>
      </c>
      <c r="R826" s="163"/>
      <c r="S826" s="163">
        <v>800</v>
      </c>
      <c r="T826" s="163"/>
      <c r="U826" s="163">
        <v>3500</v>
      </c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  <c r="AG826" s="163"/>
      <c r="AH826" s="163"/>
      <c r="AI826" s="163"/>
      <c r="AJ826" s="163" t="s">
        <v>90</v>
      </c>
      <c r="AK826" s="163"/>
      <c r="AL826" s="163"/>
      <c r="AM826" s="163"/>
      <c r="AN826" s="163"/>
      <c r="AO826" s="163"/>
      <c r="AP826" s="163"/>
      <c r="AQ826" s="163"/>
      <c r="AR826" s="163"/>
      <c r="AS826" s="163"/>
      <c r="AT826" s="163"/>
      <c r="AU826" s="163"/>
      <c r="AV826" s="163"/>
      <c r="AW826" s="163"/>
      <c r="AX826" s="163">
        <v>1412020304</v>
      </c>
      <c r="AY826" s="163">
        <v>1412020204</v>
      </c>
      <c r="AZ826" s="163"/>
      <c r="BA826" s="163"/>
      <c r="BB826" s="163"/>
      <c r="BC826" s="163"/>
      <c r="BD826" s="163"/>
      <c r="BE826" s="163"/>
      <c r="BF826" s="163"/>
      <c r="BG826" s="163"/>
      <c r="BH826" s="163"/>
      <c r="BI826" s="163"/>
      <c r="BJ826" s="163"/>
      <c r="BK826" s="163"/>
      <c r="BL826" s="163"/>
      <c r="BM826" s="163"/>
      <c r="BN826" s="163"/>
      <c r="BO826" s="163"/>
      <c r="BP826" s="163"/>
      <c r="BQ826" s="163"/>
      <c r="BR826" s="163"/>
      <c r="BS826" s="163"/>
      <c r="BT826" s="163"/>
      <c r="BU826" s="163"/>
      <c r="BV826" s="163"/>
      <c r="BW826" s="163"/>
      <c r="BX826" s="163"/>
      <c r="BY826" s="171"/>
    </row>
    <row r="827" spans="1:77" s="14" customFormat="1" x14ac:dyDescent="0.15">
      <c r="A827" s="151">
        <v>1412020013</v>
      </c>
      <c r="B827" s="152" t="s">
        <v>661</v>
      </c>
      <c r="C827" s="153" t="s">
        <v>100</v>
      </c>
      <c r="D827" s="153"/>
      <c r="E827" s="153" t="s">
        <v>78</v>
      </c>
      <c r="F827" s="153"/>
      <c r="G827" s="153"/>
      <c r="H827" s="153"/>
      <c r="I827" s="153"/>
      <c r="J827" s="162"/>
      <c r="K827" s="162"/>
      <c r="L827" s="162"/>
      <c r="M827" s="162" t="s">
        <v>101</v>
      </c>
      <c r="N827" s="162"/>
      <c r="O827" s="163" t="s">
        <v>90</v>
      </c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>
        <v>1412020101</v>
      </c>
      <c r="AD827" s="163">
        <v>1412020101</v>
      </c>
      <c r="AE827" s="163"/>
      <c r="AF827" s="163"/>
      <c r="AG827" s="163"/>
      <c r="AH827" s="163"/>
      <c r="AI827" s="163"/>
      <c r="AJ827" s="163" t="s">
        <v>90</v>
      </c>
      <c r="AK827" s="163"/>
      <c r="AL827" s="163"/>
      <c r="AM827" s="163"/>
      <c r="AN827" s="163"/>
      <c r="AO827" s="163"/>
      <c r="AP827" s="163"/>
      <c r="AQ827" s="163"/>
      <c r="AR827" s="163"/>
      <c r="AS827" s="163"/>
      <c r="AT827" s="163"/>
      <c r="AU827" s="163"/>
      <c r="AV827" s="163"/>
      <c r="AW827" s="163"/>
      <c r="AX827" s="163">
        <v>1412020401</v>
      </c>
      <c r="AY827" s="163">
        <v>1412020401</v>
      </c>
      <c r="AZ827" s="163"/>
      <c r="BA827" s="163"/>
      <c r="BB827" s="163"/>
      <c r="BC827" s="163"/>
      <c r="BD827" s="163"/>
      <c r="BE827" s="163"/>
      <c r="BF827" s="163"/>
      <c r="BG827" s="163"/>
      <c r="BH827" s="163"/>
      <c r="BI827" s="163"/>
      <c r="BJ827" s="163"/>
      <c r="BK827" s="163"/>
      <c r="BL827" s="163"/>
      <c r="BM827" s="163"/>
      <c r="BN827" s="163"/>
      <c r="BO827" s="163"/>
      <c r="BP827" s="163"/>
      <c r="BQ827" s="163"/>
      <c r="BR827" s="163"/>
      <c r="BS827" s="163"/>
      <c r="BT827" s="163"/>
      <c r="BU827" s="163"/>
      <c r="BV827" s="163"/>
      <c r="BW827" s="163"/>
      <c r="BX827" s="163"/>
      <c r="BY827" s="171"/>
    </row>
    <row r="828" spans="1:77" s="14" customFormat="1" x14ac:dyDescent="0.15">
      <c r="A828" s="151">
        <v>1412020014</v>
      </c>
      <c r="B828" s="152" t="s">
        <v>662</v>
      </c>
      <c r="C828" s="153" t="s">
        <v>100</v>
      </c>
      <c r="D828" s="153"/>
      <c r="E828" s="153" t="s">
        <v>78</v>
      </c>
      <c r="F828" s="153"/>
      <c r="G828" s="153"/>
      <c r="H828" s="153"/>
      <c r="I828" s="153"/>
      <c r="J828" s="162"/>
      <c r="K828" s="162"/>
      <c r="L828" s="162"/>
      <c r="M828" s="162" t="s">
        <v>101</v>
      </c>
      <c r="N828" s="162"/>
      <c r="O828" s="153" t="s">
        <v>90</v>
      </c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>
        <v>1412010301</v>
      </c>
      <c r="AD828" s="163">
        <v>1412010201</v>
      </c>
      <c r="AE828" s="163"/>
      <c r="AF828" s="163"/>
      <c r="AG828" s="163"/>
      <c r="AH828" s="163"/>
      <c r="AI828" s="163"/>
      <c r="AJ828" s="163" t="s">
        <v>277</v>
      </c>
      <c r="AK828" s="163"/>
      <c r="AL828" s="163"/>
      <c r="AM828" s="163"/>
      <c r="AN828" s="163"/>
      <c r="AO828" s="163"/>
      <c r="AP828" s="163"/>
      <c r="AQ828" s="163"/>
      <c r="AR828" s="163"/>
      <c r="AS828" s="163"/>
      <c r="AT828" s="163"/>
      <c r="AU828" s="163"/>
      <c r="AV828" s="163"/>
      <c r="AW828" s="163"/>
      <c r="AX828" s="163"/>
      <c r="AY828" s="163"/>
      <c r="AZ828" s="163">
        <v>14120101</v>
      </c>
      <c r="BA828" s="163"/>
      <c r="BB828" s="163"/>
      <c r="BC828" s="163"/>
      <c r="BD828" s="163"/>
      <c r="BE828" s="163" t="s">
        <v>277</v>
      </c>
      <c r="BF828" s="163"/>
      <c r="BG828" s="163"/>
      <c r="BH828" s="163"/>
      <c r="BI828" s="163"/>
      <c r="BJ828" s="163"/>
      <c r="BK828" s="163"/>
      <c r="BL828" s="163"/>
      <c r="BM828" s="163"/>
      <c r="BN828" s="163"/>
      <c r="BO828" s="163"/>
      <c r="BP828" s="163"/>
      <c r="BQ828" s="163"/>
      <c r="BR828" s="163"/>
      <c r="BS828" s="163"/>
      <c r="BT828" s="163"/>
      <c r="BU828" s="163">
        <v>14120201</v>
      </c>
      <c r="BV828" s="163"/>
      <c r="BW828" s="163"/>
      <c r="BX828" s="163"/>
      <c r="BY828" s="171"/>
    </row>
    <row r="829" spans="1:77" s="14" customFormat="1" x14ac:dyDescent="0.15">
      <c r="A829" s="151">
        <v>1412020015</v>
      </c>
      <c r="B829" s="152" t="s">
        <v>663</v>
      </c>
      <c r="C829" s="153" t="s">
        <v>100</v>
      </c>
      <c r="D829" s="153"/>
      <c r="E829" s="153" t="s">
        <v>78</v>
      </c>
      <c r="F829" s="153"/>
      <c r="G829" s="153"/>
      <c r="H829" s="153"/>
      <c r="I829" s="153"/>
      <c r="J829" s="162"/>
      <c r="K829" s="162"/>
      <c r="L829" s="162"/>
      <c r="M829" s="162" t="s">
        <v>101</v>
      </c>
      <c r="N829" s="162"/>
      <c r="O829" s="153" t="s">
        <v>90</v>
      </c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>
        <v>1412020401</v>
      </c>
      <c r="AD829" s="163">
        <v>1412020401</v>
      </c>
      <c r="AE829" s="163"/>
      <c r="AF829" s="163"/>
      <c r="AG829" s="163"/>
      <c r="AH829" s="163"/>
      <c r="AI829" s="163"/>
      <c r="AJ829" s="163"/>
      <c r="AK829" s="163"/>
      <c r="AL829" s="163"/>
      <c r="AM829" s="163"/>
      <c r="AN829" s="163"/>
      <c r="AO829" s="163"/>
      <c r="AP829" s="163"/>
      <c r="AQ829" s="163"/>
      <c r="AR829" s="163"/>
      <c r="AS829" s="163"/>
      <c r="AT829" s="163"/>
      <c r="AU829" s="163"/>
      <c r="AV829" s="163"/>
      <c r="AW829" s="163"/>
      <c r="AX829" s="163"/>
      <c r="AY829" s="163"/>
      <c r="AZ829" s="163"/>
      <c r="BA829" s="163"/>
      <c r="BB829" s="163"/>
      <c r="BC829" s="163"/>
      <c r="BD829" s="163"/>
      <c r="BE829" s="163"/>
      <c r="BF829" s="163"/>
      <c r="BG829" s="163"/>
      <c r="BH829" s="163"/>
      <c r="BI829" s="163"/>
      <c r="BJ829" s="163"/>
      <c r="BK829" s="163"/>
      <c r="BL829" s="163"/>
      <c r="BM829" s="163"/>
      <c r="BN829" s="163"/>
      <c r="BO829" s="163"/>
      <c r="BP829" s="163"/>
      <c r="BQ829" s="163"/>
      <c r="BR829" s="163"/>
      <c r="BS829" s="163"/>
      <c r="BT829" s="163"/>
      <c r="BU829" s="163"/>
      <c r="BV829" s="163"/>
      <c r="BW829" s="163"/>
      <c r="BX829" s="163"/>
      <c r="BY829" s="171"/>
    </row>
    <row r="830" spans="1:77" s="14" customFormat="1" x14ac:dyDescent="0.15">
      <c r="A830" s="151">
        <v>1412040011</v>
      </c>
      <c r="B830" s="152" t="s">
        <v>664</v>
      </c>
      <c r="C830" s="153" t="s">
        <v>100</v>
      </c>
      <c r="D830" s="153"/>
      <c r="E830" s="153" t="s">
        <v>85</v>
      </c>
      <c r="F830" s="153">
        <v>200000</v>
      </c>
      <c r="G830" s="153">
        <v>10000</v>
      </c>
      <c r="H830" s="153"/>
      <c r="I830" s="153"/>
      <c r="J830" s="162"/>
      <c r="K830" s="162"/>
      <c r="L830" s="162"/>
      <c r="M830" s="162" t="s">
        <v>101</v>
      </c>
      <c r="N830" s="162"/>
      <c r="O830" s="15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  <c r="AG830" s="163"/>
      <c r="AH830" s="163"/>
      <c r="AI830" s="163"/>
      <c r="AJ830" s="163"/>
      <c r="AK830" s="163"/>
      <c r="AL830" s="163"/>
      <c r="AM830" s="163"/>
      <c r="AN830" s="163"/>
      <c r="AO830" s="163"/>
      <c r="AP830" s="163"/>
      <c r="AQ830" s="163"/>
      <c r="AR830" s="163"/>
      <c r="AS830" s="163"/>
      <c r="AT830" s="163"/>
      <c r="AU830" s="163"/>
      <c r="AV830" s="163"/>
      <c r="AW830" s="163"/>
      <c r="AX830" s="163"/>
      <c r="AY830" s="163"/>
      <c r="AZ830" s="163"/>
      <c r="BA830" s="163"/>
      <c r="BB830" s="163"/>
      <c r="BC830" s="163"/>
      <c r="BD830" s="163"/>
      <c r="BE830" s="163"/>
      <c r="BF830" s="163"/>
      <c r="BG830" s="163"/>
      <c r="BH830" s="163"/>
      <c r="BI830" s="163"/>
      <c r="BJ830" s="163"/>
      <c r="BK830" s="163"/>
      <c r="BL830" s="163"/>
      <c r="BM830" s="163"/>
      <c r="BN830" s="163"/>
      <c r="BO830" s="163"/>
      <c r="BP830" s="163"/>
      <c r="BQ830" s="163"/>
      <c r="BR830" s="163"/>
      <c r="BS830" s="163"/>
      <c r="BT830" s="163"/>
      <c r="BU830" s="163"/>
      <c r="BV830" s="163"/>
      <c r="BW830" s="163"/>
      <c r="BX830" s="163"/>
      <c r="BY830" s="171"/>
    </row>
    <row r="831" spans="1:77" s="14" customFormat="1" x14ac:dyDescent="0.15">
      <c r="A831" s="151">
        <v>1412040012</v>
      </c>
      <c r="B831" s="152" t="s">
        <v>665</v>
      </c>
      <c r="C831" s="153" t="s">
        <v>100</v>
      </c>
      <c r="D831" s="153"/>
      <c r="E831" s="153" t="s">
        <v>78</v>
      </c>
      <c r="F831" s="153"/>
      <c r="G831" s="153"/>
      <c r="H831" s="153"/>
      <c r="I831" s="153"/>
      <c r="J831" s="162"/>
      <c r="K831" s="162"/>
      <c r="L831" s="162"/>
      <c r="M831" s="162" t="s">
        <v>101</v>
      </c>
      <c r="N831" s="162"/>
      <c r="O831" s="153" t="s">
        <v>90</v>
      </c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>
        <v>1412040201</v>
      </c>
      <c r="AD831" s="163">
        <v>1412040101</v>
      </c>
      <c r="AE831" s="163"/>
      <c r="AF831" s="163"/>
      <c r="AG831" s="163"/>
      <c r="AH831" s="163"/>
      <c r="AI831" s="163"/>
      <c r="AJ831" s="163" t="s">
        <v>277</v>
      </c>
      <c r="AK831" s="163"/>
      <c r="AL831" s="163"/>
      <c r="AM831" s="163"/>
      <c r="AN831" s="163"/>
      <c r="AO831" s="163"/>
      <c r="AP831" s="163"/>
      <c r="AQ831" s="163"/>
      <c r="AR831" s="163"/>
      <c r="AS831" s="163"/>
      <c r="AT831" s="163"/>
      <c r="AU831" s="163"/>
      <c r="AV831" s="163"/>
      <c r="AW831" s="163"/>
      <c r="AX831" s="163"/>
      <c r="AY831" s="163"/>
      <c r="AZ831" s="163">
        <v>14120101</v>
      </c>
      <c r="BA831" s="163"/>
      <c r="BB831" s="163"/>
      <c r="BC831" s="163"/>
      <c r="BD831" s="163"/>
      <c r="BE831" s="163" t="s">
        <v>277</v>
      </c>
      <c r="BF831" s="163"/>
      <c r="BG831" s="163"/>
      <c r="BH831" s="163"/>
      <c r="BI831" s="163"/>
      <c r="BJ831" s="163"/>
      <c r="BK831" s="163"/>
      <c r="BL831" s="163"/>
      <c r="BM831" s="163"/>
      <c r="BN831" s="163"/>
      <c r="BO831" s="163"/>
      <c r="BP831" s="163"/>
      <c r="BQ831" s="163"/>
      <c r="BR831" s="163"/>
      <c r="BS831" s="163"/>
      <c r="BT831" s="163"/>
      <c r="BU831" s="163">
        <v>14120201</v>
      </c>
      <c r="BV831" s="163"/>
      <c r="BW831" s="163"/>
      <c r="BX831" s="163"/>
      <c r="BY831" s="171"/>
    </row>
    <row r="832" spans="1:77" s="14" customFormat="1" x14ac:dyDescent="0.15">
      <c r="A832" s="151">
        <v>1412040022</v>
      </c>
      <c r="B832" s="152" t="s">
        <v>665</v>
      </c>
      <c r="C832" s="153" t="s">
        <v>100</v>
      </c>
      <c r="D832" s="153"/>
      <c r="E832" s="153" t="s">
        <v>78</v>
      </c>
      <c r="F832" s="153"/>
      <c r="G832" s="153"/>
      <c r="H832" s="153"/>
      <c r="I832" s="153"/>
      <c r="J832" s="162"/>
      <c r="K832" s="162"/>
      <c r="L832" s="162"/>
      <c r="M832" s="162" t="s">
        <v>101</v>
      </c>
      <c r="N832" s="162"/>
      <c r="O832" s="153" t="s">
        <v>90</v>
      </c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>
        <v>1412040202</v>
      </c>
      <c r="AD832" s="163">
        <v>1412040102</v>
      </c>
      <c r="AE832" s="163"/>
      <c r="AF832" s="163"/>
      <c r="AG832" s="163"/>
      <c r="AH832" s="163"/>
      <c r="AI832" s="163"/>
      <c r="AJ832" s="163" t="s">
        <v>277</v>
      </c>
      <c r="AK832" s="163"/>
      <c r="AL832" s="163"/>
      <c r="AM832" s="163"/>
      <c r="AN832" s="163"/>
      <c r="AO832" s="163"/>
      <c r="AP832" s="163"/>
      <c r="AQ832" s="163"/>
      <c r="AR832" s="163"/>
      <c r="AS832" s="163"/>
      <c r="AT832" s="163"/>
      <c r="AU832" s="163"/>
      <c r="AV832" s="163"/>
      <c r="AW832" s="163"/>
      <c r="AX832" s="163"/>
      <c r="AY832" s="163"/>
      <c r="AZ832" s="163">
        <v>14120101</v>
      </c>
      <c r="BA832" s="163"/>
      <c r="BB832" s="163"/>
      <c r="BC832" s="163"/>
      <c r="BD832" s="163"/>
      <c r="BE832" s="163" t="s">
        <v>277</v>
      </c>
      <c r="BF832" s="163"/>
      <c r="BG832" s="163"/>
      <c r="BH832" s="163"/>
      <c r="BI832" s="163"/>
      <c r="BJ832" s="163"/>
      <c r="BK832" s="163"/>
      <c r="BL832" s="163"/>
      <c r="BM832" s="163"/>
      <c r="BN832" s="163"/>
      <c r="BO832" s="163"/>
      <c r="BP832" s="163"/>
      <c r="BQ832" s="163"/>
      <c r="BR832" s="163"/>
      <c r="BS832" s="163"/>
      <c r="BT832" s="163"/>
      <c r="BU832" s="163">
        <v>14120201</v>
      </c>
      <c r="BV832" s="163"/>
      <c r="BW832" s="163"/>
      <c r="BX832" s="163"/>
      <c r="BY832" s="171"/>
    </row>
    <row r="833" spans="1:77" s="14" customFormat="1" x14ac:dyDescent="0.15">
      <c r="A833" s="151">
        <v>1412040013</v>
      </c>
      <c r="B833" s="152" t="s">
        <v>666</v>
      </c>
      <c r="C833" s="153" t="s">
        <v>100</v>
      </c>
      <c r="D833" s="153"/>
      <c r="E833" s="153" t="s">
        <v>78</v>
      </c>
      <c r="F833" s="153"/>
      <c r="G833" s="153"/>
      <c r="H833" s="153"/>
      <c r="I833" s="153"/>
      <c r="J833" s="162"/>
      <c r="K833" s="162"/>
      <c r="L833" s="162"/>
      <c r="M833" s="162" t="s">
        <v>101</v>
      </c>
      <c r="N833" s="162"/>
      <c r="O833" s="153" t="s">
        <v>90</v>
      </c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>
        <v>1412040401</v>
      </c>
      <c r="AD833" s="163">
        <v>1412040301</v>
      </c>
      <c r="AE833" s="163"/>
      <c r="AF833" s="163"/>
      <c r="AG833" s="163"/>
      <c r="AH833" s="163"/>
      <c r="AI833" s="163"/>
      <c r="AJ833" s="163" t="s">
        <v>90</v>
      </c>
      <c r="AK833" s="163"/>
      <c r="AL833" s="163"/>
      <c r="AM833" s="163"/>
      <c r="AN833" s="163"/>
      <c r="AO833" s="163"/>
      <c r="AP833" s="163"/>
      <c r="AQ833" s="163"/>
      <c r="AR833" s="163"/>
      <c r="AS833" s="163"/>
      <c r="AT833" s="163"/>
      <c r="AU833" s="163"/>
      <c r="AV833" s="163"/>
      <c r="AW833" s="163"/>
      <c r="AX833" s="163">
        <v>1412040501</v>
      </c>
      <c r="AY833" s="163">
        <v>1412040501</v>
      </c>
      <c r="AZ833" s="163"/>
      <c r="BA833" s="163"/>
      <c r="BB833" s="163"/>
      <c r="BC833" s="163"/>
      <c r="BD833" s="163"/>
      <c r="BE833" s="163"/>
      <c r="BF833" s="163"/>
      <c r="BG833" s="163"/>
      <c r="BH833" s="163"/>
      <c r="BI833" s="163"/>
      <c r="BJ833" s="163"/>
      <c r="BK833" s="163"/>
      <c r="BL833" s="163"/>
      <c r="BM833" s="163"/>
      <c r="BN833" s="163"/>
      <c r="BO833" s="163"/>
      <c r="BP833" s="163"/>
      <c r="BQ833" s="163"/>
      <c r="BR833" s="163"/>
      <c r="BS833" s="163"/>
      <c r="BT833" s="163"/>
      <c r="BU833" s="163"/>
      <c r="BV833" s="163"/>
      <c r="BW833" s="163"/>
      <c r="BX833" s="163"/>
      <c r="BY833" s="171"/>
    </row>
    <row r="834" spans="1:77" s="14" customFormat="1" x14ac:dyDescent="0.15">
      <c r="A834" s="151">
        <v>1412040023</v>
      </c>
      <c r="B834" s="152" t="s">
        <v>666</v>
      </c>
      <c r="C834" s="153" t="s">
        <v>100</v>
      </c>
      <c r="D834" s="153"/>
      <c r="E834" s="153" t="s">
        <v>78</v>
      </c>
      <c r="F834" s="153"/>
      <c r="G834" s="153"/>
      <c r="H834" s="153"/>
      <c r="I834" s="153"/>
      <c r="J834" s="162"/>
      <c r="K834" s="162"/>
      <c r="L834" s="162"/>
      <c r="M834" s="162" t="s">
        <v>101</v>
      </c>
      <c r="N834" s="162"/>
      <c r="O834" s="153" t="s">
        <v>90</v>
      </c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>
        <v>1412040402</v>
      </c>
      <c r="AD834" s="163">
        <v>1412040302</v>
      </c>
      <c r="AE834" s="163"/>
      <c r="AF834" s="163"/>
      <c r="AG834" s="163"/>
      <c r="AH834" s="163"/>
      <c r="AI834" s="163"/>
      <c r="AJ834" s="163" t="s">
        <v>90</v>
      </c>
      <c r="AK834" s="163"/>
      <c r="AL834" s="163"/>
      <c r="AM834" s="163"/>
      <c r="AN834" s="163"/>
      <c r="AO834" s="163"/>
      <c r="AP834" s="163"/>
      <c r="AQ834" s="163"/>
      <c r="AR834" s="163"/>
      <c r="AS834" s="163"/>
      <c r="AT834" s="163"/>
      <c r="AU834" s="163"/>
      <c r="AV834" s="163"/>
      <c r="AW834" s="163"/>
      <c r="AX834" s="163">
        <v>1412040501</v>
      </c>
      <c r="AY834" s="163">
        <v>1412040501</v>
      </c>
      <c r="AZ834" s="163"/>
      <c r="BA834" s="163"/>
      <c r="BB834" s="163"/>
      <c r="BC834" s="163"/>
      <c r="BD834" s="163"/>
      <c r="BE834" s="163"/>
      <c r="BF834" s="163"/>
      <c r="BG834" s="163"/>
      <c r="BH834" s="163"/>
      <c r="BI834" s="163"/>
      <c r="BJ834" s="163"/>
      <c r="BK834" s="163"/>
      <c r="BL834" s="163"/>
      <c r="BM834" s="163"/>
      <c r="BN834" s="163"/>
      <c r="BO834" s="163"/>
      <c r="BP834" s="163"/>
      <c r="BQ834" s="163"/>
      <c r="BR834" s="163"/>
      <c r="BS834" s="163"/>
      <c r="BT834" s="163"/>
      <c r="BU834" s="163"/>
      <c r="BV834" s="163"/>
      <c r="BW834" s="163"/>
      <c r="BX834" s="163"/>
      <c r="BY834" s="171"/>
    </row>
    <row r="835" spans="1:77" s="14" customFormat="1" x14ac:dyDescent="0.15">
      <c r="A835" s="151">
        <v>1412040014</v>
      </c>
      <c r="B835" s="152" t="s">
        <v>667</v>
      </c>
      <c r="C835" s="153" t="s">
        <v>100</v>
      </c>
      <c r="D835" s="153"/>
      <c r="E835" s="153" t="s">
        <v>78</v>
      </c>
      <c r="F835" s="153"/>
      <c r="G835" s="153"/>
      <c r="H835" s="153"/>
      <c r="I835" s="153"/>
      <c r="J835" s="162"/>
      <c r="K835" s="162"/>
      <c r="L835" s="162"/>
      <c r="M835" s="162" t="s">
        <v>101</v>
      </c>
      <c r="N835" s="162"/>
      <c r="O835" s="153" t="s">
        <v>79</v>
      </c>
      <c r="P835" s="163" t="s">
        <v>102</v>
      </c>
      <c r="Q835" s="163">
        <v>150</v>
      </c>
      <c r="R835" s="163"/>
      <c r="S835" s="163">
        <v>1500</v>
      </c>
      <c r="T835" s="163"/>
      <c r="U835" s="163">
        <v>3500</v>
      </c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  <c r="AG835" s="163"/>
      <c r="AH835" s="163"/>
      <c r="AI835" s="163"/>
      <c r="AJ835" s="163"/>
      <c r="AK835" s="163"/>
      <c r="AL835" s="163"/>
      <c r="AM835" s="163"/>
      <c r="AN835" s="163"/>
      <c r="AO835" s="163"/>
      <c r="AP835" s="163"/>
      <c r="AQ835" s="163"/>
      <c r="AR835" s="163"/>
      <c r="AS835" s="163"/>
      <c r="AT835" s="163"/>
      <c r="AU835" s="163"/>
      <c r="AV835" s="163"/>
      <c r="AW835" s="163"/>
      <c r="AX835" s="163"/>
      <c r="AY835" s="163"/>
      <c r="AZ835" s="163"/>
      <c r="BA835" s="163"/>
      <c r="BB835" s="163"/>
      <c r="BC835" s="163"/>
      <c r="BD835" s="163"/>
      <c r="BE835" s="163"/>
      <c r="BF835" s="163"/>
      <c r="BG835" s="163"/>
      <c r="BH835" s="163"/>
      <c r="BI835" s="163"/>
      <c r="BJ835" s="163"/>
      <c r="BK835" s="163"/>
      <c r="BL835" s="163"/>
      <c r="BM835" s="163"/>
      <c r="BN835" s="163"/>
      <c r="BO835" s="163"/>
      <c r="BP835" s="163"/>
      <c r="BQ835" s="163"/>
      <c r="BR835" s="163"/>
      <c r="BS835" s="163"/>
      <c r="BT835" s="163"/>
      <c r="BU835" s="163"/>
      <c r="BV835" s="163"/>
      <c r="BW835" s="163"/>
      <c r="BX835" s="163"/>
      <c r="BY835" s="171"/>
    </row>
    <row r="836" spans="1:77" s="14" customFormat="1" x14ac:dyDescent="0.15">
      <c r="A836" s="151">
        <v>1412040024</v>
      </c>
      <c r="B836" s="152" t="s">
        <v>667</v>
      </c>
      <c r="C836" s="153" t="s">
        <v>100</v>
      </c>
      <c r="D836" s="153"/>
      <c r="E836" s="153" t="s">
        <v>78</v>
      </c>
      <c r="F836" s="153"/>
      <c r="G836" s="153"/>
      <c r="H836" s="153"/>
      <c r="I836" s="153"/>
      <c r="J836" s="162"/>
      <c r="K836" s="162"/>
      <c r="L836" s="162"/>
      <c r="M836" s="162" t="s">
        <v>101</v>
      </c>
      <c r="N836" s="162"/>
      <c r="O836" s="153" t="s">
        <v>79</v>
      </c>
      <c r="P836" s="163" t="s">
        <v>102</v>
      </c>
      <c r="Q836" s="163">
        <v>200</v>
      </c>
      <c r="R836" s="163"/>
      <c r="S836" s="163">
        <v>1500</v>
      </c>
      <c r="T836" s="163"/>
      <c r="U836" s="163">
        <v>3500</v>
      </c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  <c r="AG836" s="163"/>
      <c r="AH836" s="163"/>
      <c r="AI836" s="163"/>
      <c r="AJ836" s="163"/>
      <c r="AK836" s="163"/>
      <c r="AL836" s="163"/>
      <c r="AM836" s="163"/>
      <c r="AN836" s="163"/>
      <c r="AO836" s="163"/>
      <c r="AP836" s="163"/>
      <c r="AQ836" s="163"/>
      <c r="AR836" s="163"/>
      <c r="AS836" s="163"/>
      <c r="AT836" s="163"/>
      <c r="AU836" s="163"/>
      <c r="AV836" s="163"/>
      <c r="AW836" s="163"/>
      <c r="AX836" s="163"/>
      <c r="AY836" s="163"/>
      <c r="AZ836" s="163"/>
      <c r="BA836" s="163"/>
      <c r="BB836" s="163"/>
      <c r="BC836" s="163"/>
      <c r="BD836" s="163"/>
      <c r="BE836" s="163"/>
      <c r="BF836" s="163"/>
      <c r="BG836" s="163"/>
      <c r="BH836" s="163"/>
      <c r="BI836" s="163"/>
      <c r="BJ836" s="163"/>
      <c r="BK836" s="163"/>
      <c r="BL836" s="163"/>
      <c r="BM836" s="163"/>
      <c r="BN836" s="163"/>
      <c r="BO836" s="163"/>
      <c r="BP836" s="163"/>
      <c r="BQ836" s="163"/>
      <c r="BR836" s="163"/>
      <c r="BS836" s="163"/>
      <c r="BT836" s="163"/>
      <c r="BU836" s="163"/>
      <c r="BV836" s="163"/>
      <c r="BW836" s="163"/>
      <c r="BX836" s="163"/>
      <c r="BY836" s="171"/>
    </row>
    <row r="837" spans="1:77" x14ac:dyDescent="0.15">
      <c r="A837" s="148">
        <v>1413001011</v>
      </c>
      <c r="B837" s="149" t="s">
        <v>668</v>
      </c>
      <c r="C837" s="148" t="s">
        <v>77</v>
      </c>
      <c r="D837" s="148"/>
      <c r="E837" s="148" t="s">
        <v>78</v>
      </c>
      <c r="F837" s="148"/>
      <c r="G837" s="148"/>
      <c r="H837" s="148"/>
      <c r="I837" s="148"/>
      <c r="J837" s="161"/>
      <c r="K837" s="161"/>
      <c r="L837" s="161"/>
      <c r="M837" s="161"/>
      <c r="N837" s="161"/>
      <c r="O837" s="148" t="s">
        <v>79</v>
      </c>
      <c r="P837" s="148" t="s">
        <v>80</v>
      </c>
      <c r="Q837" s="148"/>
      <c r="R837" s="148">
        <v>10000</v>
      </c>
      <c r="S837" s="148"/>
      <c r="T837" s="148">
        <v>10000</v>
      </c>
      <c r="U837" s="148"/>
      <c r="V837" s="148" t="s">
        <v>101</v>
      </c>
      <c r="W837" s="148"/>
      <c r="X837" s="148"/>
      <c r="Y837" s="148"/>
      <c r="Z837" s="148"/>
      <c r="AA837" s="148"/>
      <c r="AB837" s="148"/>
      <c r="AC837" s="148"/>
      <c r="AD837" s="148"/>
      <c r="AE837" s="148"/>
      <c r="AF837" s="148"/>
      <c r="AG837" s="148"/>
      <c r="AH837" s="148"/>
      <c r="AI837" s="148"/>
      <c r="AJ837" s="148"/>
      <c r="AK837" s="148"/>
      <c r="AL837" s="148"/>
      <c r="AM837" s="148"/>
      <c r="AN837" s="148"/>
      <c r="AO837" s="148"/>
      <c r="AP837" s="148"/>
      <c r="AQ837" s="148"/>
      <c r="AR837" s="148"/>
      <c r="AS837" s="148"/>
      <c r="AT837" s="148"/>
      <c r="AU837" s="148"/>
      <c r="AV837" s="148"/>
      <c r="AW837" s="148"/>
      <c r="AX837" s="148"/>
      <c r="AY837" s="148"/>
      <c r="AZ837" s="148"/>
      <c r="BA837" s="148"/>
      <c r="BB837" s="148"/>
      <c r="BC837" s="148"/>
      <c r="BD837" s="148"/>
      <c r="BE837" s="148"/>
      <c r="BF837" s="148"/>
      <c r="BG837" s="148"/>
      <c r="BH837" s="148"/>
      <c r="BI837" s="148"/>
      <c r="BJ837" s="148"/>
      <c r="BK837" s="148"/>
      <c r="BL837" s="148"/>
      <c r="BM837" s="148"/>
      <c r="BN837" s="148"/>
      <c r="BO837" s="148"/>
      <c r="BP837" s="148"/>
      <c r="BQ837" s="148"/>
      <c r="BR837" s="148"/>
      <c r="BS837" s="148"/>
      <c r="BT837" s="148"/>
      <c r="BU837" s="148"/>
      <c r="BV837" s="148"/>
      <c r="BW837" s="148"/>
      <c r="BX837" s="148"/>
      <c r="BY837" s="170"/>
    </row>
    <row r="838" spans="1:77" x14ac:dyDescent="0.15">
      <c r="A838" s="148">
        <v>1413200011</v>
      </c>
      <c r="B838" s="149" t="s">
        <v>669</v>
      </c>
      <c r="C838" s="150" t="s">
        <v>100</v>
      </c>
      <c r="D838" s="148"/>
      <c r="E838" s="148" t="s">
        <v>78</v>
      </c>
      <c r="F838" s="148"/>
      <c r="G838" s="148"/>
      <c r="H838" s="148"/>
      <c r="I838" s="148"/>
      <c r="J838" s="161"/>
      <c r="K838" s="161"/>
      <c r="L838" s="161"/>
      <c r="M838" s="161"/>
      <c r="N838" s="161"/>
      <c r="O838" s="167" t="s">
        <v>90</v>
      </c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>
        <v>1413200101</v>
      </c>
      <c r="AD838" s="167">
        <v>1413200101</v>
      </c>
      <c r="AE838" s="148"/>
      <c r="AF838" s="148"/>
      <c r="AG838" s="148"/>
      <c r="AH838" s="148"/>
      <c r="AI838" s="148"/>
      <c r="AJ838" s="148"/>
      <c r="AK838" s="148"/>
      <c r="AL838" s="148"/>
      <c r="AM838" s="148"/>
      <c r="AN838" s="148"/>
      <c r="AO838" s="148"/>
      <c r="AP838" s="148"/>
      <c r="AQ838" s="148"/>
      <c r="AR838" s="148"/>
      <c r="AS838" s="148"/>
      <c r="AT838" s="148"/>
      <c r="AU838" s="148"/>
      <c r="AV838" s="148"/>
      <c r="AW838" s="148"/>
      <c r="AX838" s="148"/>
      <c r="AY838" s="148"/>
      <c r="AZ838" s="148"/>
      <c r="BA838" s="148"/>
      <c r="BB838" s="148"/>
      <c r="BC838" s="148"/>
      <c r="BD838" s="148"/>
      <c r="BE838" s="148"/>
      <c r="BF838" s="148"/>
      <c r="BG838" s="148"/>
      <c r="BH838" s="148"/>
      <c r="BI838" s="148"/>
      <c r="BJ838" s="148"/>
      <c r="BK838" s="148"/>
      <c r="BL838" s="148"/>
      <c r="BM838" s="148"/>
      <c r="BN838" s="148"/>
      <c r="BO838" s="148"/>
      <c r="BP838" s="148"/>
      <c r="BQ838" s="148"/>
      <c r="BR838" s="148"/>
      <c r="BS838" s="148"/>
      <c r="BT838" s="148"/>
      <c r="BU838" s="148"/>
      <c r="BV838" s="148"/>
      <c r="BW838" s="148"/>
      <c r="BX838" s="148"/>
      <c r="BY838" s="170"/>
    </row>
    <row r="839" spans="1:77" x14ac:dyDescent="0.15">
      <c r="A839" s="148">
        <v>1413200021</v>
      </c>
      <c r="B839" s="149" t="s">
        <v>669</v>
      </c>
      <c r="C839" s="150" t="s">
        <v>100</v>
      </c>
      <c r="D839" s="148"/>
      <c r="E839" s="148" t="s">
        <v>78</v>
      </c>
      <c r="F839" s="148"/>
      <c r="G839" s="148"/>
      <c r="H839" s="148"/>
      <c r="I839" s="148"/>
      <c r="J839" s="161"/>
      <c r="K839" s="161"/>
      <c r="L839" s="161"/>
      <c r="M839" s="161"/>
      <c r="N839" s="161"/>
      <c r="O839" s="167" t="s">
        <v>90</v>
      </c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>
        <v>1413200102</v>
      </c>
      <c r="AD839" s="167">
        <v>1413200102</v>
      </c>
      <c r="AE839" s="148"/>
      <c r="AF839" s="148"/>
      <c r="AG839" s="148"/>
      <c r="AH839" s="148"/>
      <c r="AI839" s="148"/>
      <c r="AJ839" s="148"/>
      <c r="AK839" s="148"/>
      <c r="AL839" s="148"/>
      <c r="AM839" s="148"/>
      <c r="AN839" s="148"/>
      <c r="AO839" s="148"/>
      <c r="AP839" s="148"/>
      <c r="AQ839" s="148"/>
      <c r="AR839" s="148"/>
      <c r="AS839" s="148"/>
      <c r="AT839" s="148"/>
      <c r="AU839" s="148"/>
      <c r="AV839" s="148"/>
      <c r="AW839" s="148"/>
      <c r="AX839" s="148"/>
      <c r="AY839" s="148"/>
      <c r="AZ839" s="148"/>
      <c r="BA839" s="148"/>
      <c r="BB839" s="148"/>
      <c r="BC839" s="148"/>
      <c r="BD839" s="148"/>
      <c r="BE839" s="148"/>
      <c r="BF839" s="148"/>
      <c r="BG839" s="148"/>
      <c r="BH839" s="148"/>
      <c r="BI839" s="148"/>
      <c r="BJ839" s="148"/>
      <c r="BK839" s="148"/>
      <c r="BL839" s="148"/>
      <c r="BM839" s="148"/>
      <c r="BN839" s="148"/>
      <c r="BO839" s="148"/>
      <c r="BP839" s="148"/>
      <c r="BQ839" s="148"/>
      <c r="BR839" s="148"/>
      <c r="BS839" s="148"/>
      <c r="BT839" s="148"/>
      <c r="BU839" s="148"/>
      <c r="BV839" s="148"/>
      <c r="BW839" s="148"/>
      <c r="BX839" s="148"/>
      <c r="BY839" s="170"/>
    </row>
    <row r="840" spans="1:77" x14ac:dyDescent="0.15">
      <c r="A840" s="148">
        <v>1413200031</v>
      </c>
      <c r="B840" s="149" t="s">
        <v>669</v>
      </c>
      <c r="C840" s="150" t="s">
        <v>100</v>
      </c>
      <c r="D840" s="148"/>
      <c r="E840" s="148" t="s">
        <v>78</v>
      </c>
      <c r="F840" s="148"/>
      <c r="G840" s="148"/>
      <c r="H840" s="148"/>
      <c r="I840" s="148"/>
      <c r="J840" s="161"/>
      <c r="K840" s="161"/>
      <c r="L840" s="161"/>
      <c r="M840" s="161"/>
      <c r="N840" s="161"/>
      <c r="O840" s="167" t="s">
        <v>90</v>
      </c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>
        <v>1413200103</v>
      </c>
      <c r="AD840" s="167">
        <v>1413200103</v>
      </c>
      <c r="AE840" s="148"/>
      <c r="AF840" s="148"/>
      <c r="AG840" s="148"/>
      <c r="AH840" s="148"/>
      <c r="AI840" s="148"/>
      <c r="AJ840" s="148"/>
      <c r="AK840" s="148"/>
      <c r="AL840" s="148"/>
      <c r="AM840" s="148"/>
      <c r="AN840" s="148"/>
      <c r="AO840" s="148"/>
      <c r="AP840" s="148"/>
      <c r="AQ840" s="148"/>
      <c r="AR840" s="148"/>
      <c r="AS840" s="148"/>
      <c r="AT840" s="148"/>
      <c r="AU840" s="148"/>
      <c r="AV840" s="148"/>
      <c r="AW840" s="148"/>
      <c r="AX840" s="148"/>
      <c r="AY840" s="148"/>
      <c r="AZ840" s="148"/>
      <c r="BA840" s="148"/>
      <c r="BB840" s="148"/>
      <c r="BC840" s="148"/>
      <c r="BD840" s="148"/>
      <c r="BE840" s="148"/>
      <c r="BF840" s="148"/>
      <c r="BG840" s="148"/>
      <c r="BH840" s="148"/>
      <c r="BI840" s="148"/>
      <c r="BJ840" s="148"/>
      <c r="BK840" s="148"/>
      <c r="BL840" s="148"/>
      <c r="BM840" s="148"/>
      <c r="BN840" s="148"/>
      <c r="BO840" s="148"/>
      <c r="BP840" s="148"/>
      <c r="BQ840" s="148"/>
      <c r="BR840" s="148"/>
      <c r="BS840" s="148"/>
      <c r="BT840" s="148"/>
      <c r="BU840" s="148"/>
      <c r="BV840" s="148"/>
      <c r="BW840" s="148"/>
      <c r="BX840" s="148"/>
      <c r="BY840" s="170"/>
    </row>
    <row r="841" spans="1:77" x14ac:dyDescent="0.15">
      <c r="A841" s="148">
        <v>1413200012</v>
      </c>
      <c r="B841" s="149" t="s">
        <v>670</v>
      </c>
      <c r="C841" s="150" t="s">
        <v>100</v>
      </c>
      <c r="D841" s="148"/>
      <c r="E841" s="148" t="s">
        <v>78</v>
      </c>
      <c r="F841" s="148"/>
      <c r="G841" s="148"/>
      <c r="H841" s="148"/>
      <c r="I841" s="148"/>
      <c r="J841" s="161"/>
      <c r="K841" s="161"/>
      <c r="L841" s="161"/>
      <c r="M841" s="161"/>
      <c r="N841" s="161"/>
      <c r="O841" s="148" t="s">
        <v>79</v>
      </c>
      <c r="P841" s="167" t="s">
        <v>102</v>
      </c>
      <c r="Q841" s="148">
        <v>75</v>
      </c>
      <c r="R841" s="148"/>
      <c r="S841" s="148">
        <v>2000</v>
      </c>
      <c r="T841" s="148"/>
      <c r="U841" s="148">
        <v>10000</v>
      </c>
      <c r="V841" s="148"/>
      <c r="W841" s="148"/>
      <c r="X841" s="148"/>
      <c r="Y841" s="148"/>
      <c r="Z841" s="148"/>
      <c r="AA841" s="148"/>
      <c r="AB841" s="148"/>
      <c r="AC841" s="148"/>
      <c r="AD841" s="148"/>
      <c r="AE841" s="148"/>
      <c r="AF841" s="148"/>
      <c r="AG841" s="148"/>
      <c r="AH841" s="148"/>
      <c r="AI841" s="148"/>
      <c r="AJ841" s="148"/>
      <c r="AK841" s="148"/>
      <c r="AL841" s="148"/>
      <c r="AM841" s="148"/>
      <c r="AN841" s="148"/>
      <c r="AO841" s="148"/>
      <c r="AP841" s="148"/>
      <c r="AQ841" s="148"/>
      <c r="AR841" s="148"/>
      <c r="AS841" s="148"/>
      <c r="AT841" s="148"/>
      <c r="AU841" s="148"/>
      <c r="AV841" s="148"/>
      <c r="AW841" s="148"/>
      <c r="AX841" s="148"/>
      <c r="AY841" s="148"/>
      <c r="AZ841" s="148"/>
      <c r="BA841" s="148"/>
      <c r="BB841" s="148"/>
      <c r="BC841" s="148"/>
      <c r="BD841" s="148"/>
      <c r="BE841" s="148"/>
      <c r="BF841" s="148"/>
      <c r="BG841" s="148"/>
      <c r="BH841" s="148"/>
      <c r="BI841" s="148"/>
      <c r="BJ841" s="148"/>
      <c r="BK841" s="148"/>
      <c r="BL841" s="148"/>
      <c r="BM841" s="148"/>
      <c r="BN841" s="148"/>
      <c r="BO841" s="148"/>
      <c r="BP841" s="148"/>
      <c r="BQ841" s="148"/>
      <c r="BR841" s="148"/>
      <c r="BS841" s="148"/>
      <c r="BT841" s="148"/>
      <c r="BU841" s="148"/>
      <c r="BV841" s="148"/>
      <c r="BW841" s="148"/>
      <c r="BX841" s="148"/>
      <c r="BY841" s="170"/>
    </row>
    <row r="842" spans="1:77" x14ac:dyDescent="0.15">
      <c r="A842" s="148">
        <v>1413200022</v>
      </c>
      <c r="B842" s="149" t="s">
        <v>670</v>
      </c>
      <c r="C842" s="150" t="s">
        <v>100</v>
      </c>
      <c r="D842" s="148"/>
      <c r="E842" s="148" t="s">
        <v>78</v>
      </c>
      <c r="F842" s="148"/>
      <c r="G842" s="148"/>
      <c r="H842" s="148"/>
      <c r="I842" s="148"/>
      <c r="J842" s="161"/>
      <c r="K842" s="161"/>
      <c r="L842" s="161"/>
      <c r="M842" s="161"/>
      <c r="N842" s="161"/>
      <c r="O842" s="148" t="s">
        <v>79</v>
      </c>
      <c r="P842" s="167" t="s">
        <v>102</v>
      </c>
      <c r="Q842" s="148">
        <v>125</v>
      </c>
      <c r="R842" s="148"/>
      <c r="S842" s="148">
        <v>2000</v>
      </c>
      <c r="T842" s="148"/>
      <c r="U842" s="148">
        <v>10000</v>
      </c>
      <c r="V842" s="148"/>
      <c r="W842" s="148"/>
      <c r="X842" s="148"/>
      <c r="Y842" s="148"/>
      <c r="Z842" s="148"/>
      <c r="AA842" s="148"/>
      <c r="AB842" s="148"/>
      <c r="AC842" s="148"/>
      <c r="AD842" s="148"/>
      <c r="AE842" s="148"/>
      <c r="AF842" s="148"/>
      <c r="AG842" s="148"/>
      <c r="AH842" s="148"/>
      <c r="AI842" s="148"/>
      <c r="AJ842" s="148"/>
      <c r="AK842" s="148"/>
      <c r="AL842" s="148"/>
      <c r="AM842" s="148"/>
      <c r="AN842" s="148"/>
      <c r="AO842" s="148"/>
      <c r="AP842" s="148"/>
      <c r="AQ842" s="148"/>
      <c r="AR842" s="148"/>
      <c r="AS842" s="148"/>
      <c r="AT842" s="148"/>
      <c r="AU842" s="148"/>
      <c r="AV842" s="148"/>
      <c r="AW842" s="148"/>
      <c r="AX842" s="148"/>
      <c r="AY842" s="148"/>
      <c r="AZ842" s="148"/>
      <c r="BA842" s="148"/>
      <c r="BB842" s="148"/>
      <c r="BC842" s="148"/>
      <c r="BD842" s="148"/>
      <c r="BE842" s="148"/>
      <c r="BF842" s="148"/>
      <c r="BG842" s="148"/>
      <c r="BH842" s="148"/>
      <c r="BI842" s="148"/>
      <c r="BJ842" s="148"/>
      <c r="BK842" s="148"/>
      <c r="BL842" s="148"/>
      <c r="BM842" s="148"/>
      <c r="BN842" s="148"/>
      <c r="BO842" s="148"/>
      <c r="BP842" s="148"/>
      <c r="BQ842" s="148"/>
      <c r="BR842" s="148"/>
      <c r="BS842" s="148"/>
      <c r="BT842" s="148"/>
      <c r="BU842" s="148"/>
      <c r="BV842" s="148"/>
      <c r="BW842" s="148"/>
      <c r="BX842" s="148"/>
      <c r="BY842" s="170"/>
    </row>
    <row r="843" spans="1:77" x14ac:dyDescent="0.15">
      <c r="A843" s="148">
        <v>1413200032</v>
      </c>
      <c r="B843" s="149" t="s">
        <v>670</v>
      </c>
      <c r="C843" s="150" t="s">
        <v>100</v>
      </c>
      <c r="D843" s="148"/>
      <c r="E843" s="148" t="s">
        <v>78</v>
      </c>
      <c r="F843" s="148"/>
      <c r="G843" s="148"/>
      <c r="H843" s="148"/>
      <c r="I843" s="148"/>
      <c r="J843" s="161"/>
      <c r="K843" s="161"/>
      <c r="L843" s="161"/>
      <c r="M843" s="161"/>
      <c r="N843" s="161"/>
      <c r="O843" s="148" t="s">
        <v>79</v>
      </c>
      <c r="P843" s="167" t="s">
        <v>102</v>
      </c>
      <c r="Q843" s="148">
        <v>175</v>
      </c>
      <c r="R843" s="148"/>
      <c r="S843" s="148">
        <v>2000</v>
      </c>
      <c r="T843" s="148"/>
      <c r="U843" s="148">
        <v>10000</v>
      </c>
      <c r="V843" s="148"/>
      <c r="W843" s="148"/>
      <c r="X843" s="148"/>
      <c r="Y843" s="148"/>
      <c r="Z843" s="148"/>
      <c r="AA843" s="148"/>
      <c r="AB843" s="148"/>
      <c r="AC843" s="148"/>
      <c r="AD843" s="148"/>
      <c r="AE843" s="148"/>
      <c r="AF843" s="148"/>
      <c r="AG843" s="148"/>
      <c r="AH843" s="148"/>
      <c r="AI843" s="148"/>
      <c r="AJ843" s="148"/>
      <c r="AK843" s="148"/>
      <c r="AL843" s="148"/>
      <c r="AM843" s="148"/>
      <c r="AN843" s="148"/>
      <c r="AO843" s="148"/>
      <c r="AP843" s="148"/>
      <c r="AQ843" s="148"/>
      <c r="AR843" s="148"/>
      <c r="AS843" s="148"/>
      <c r="AT843" s="148"/>
      <c r="AU843" s="148"/>
      <c r="AV843" s="148"/>
      <c r="AW843" s="148"/>
      <c r="AX843" s="148"/>
      <c r="AY843" s="148"/>
      <c r="AZ843" s="148"/>
      <c r="BA843" s="148"/>
      <c r="BB843" s="148"/>
      <c r="BC843" s="148"/>
      <c r="BD843" s="148"/>
      <c r="BE843" s="148"/>
      <c r="BF843" s="148"/>
      <c r="BG843" s="148"/>
      <c r="BH843" s="148"/>
      <c r="BI843" s="148"/>
      <c r="BJ843" s="148"/>
      <c r="BK843" s="148"/>
      <c r="BL843" s="148"/>
      <c r="BM843" s="148"/>
      <c r="BN843" s="148"/>
      <c r="BO843" s="148"/>
      <c r="BP843" s="148"/>
      <c r="BQ843" s="148"/>
      <c r="BR843" s="148"/>
      <c r="BS843" s="148"/>
      <c r="BT843" s="148"/>
      <c r="BU843" s="148"/>
      <c r="BV843" s="148"/>
      <c r="BW843" s="148"/>
      <c r="BX843" s="148"/>
      <c r="BY843" s="170"/>
    </row>
    <row r="844" spans="1:77" s="18" customFormat="1" x14ac:dyDescent="0.15">
      <c r="A844" s="148">
        <v>1413010011</v>
      </c>
      <c r="B844" s="158" t="s">
        <v>671</v>
      </c>
      <c r="C844" s="150" t="s">
        <v>100</v>
      </c>
      <c r="D844" s="150"/>
      <c r="E844" s="150" t="s">
        <v>83</v>
      </c>
      <c r="F844" s="150">
        <v>50000</v>
      </c>
      <c r="G844" s="150"/>
      <c r="H844" s="150"/>
      <c r="I844" s="150"/>
      <c r="J844" s="166"/>
      <c r="K844" s="166"/>
      <c r="L844" s="166"/>
      <c r="M844" s="166" t="s">
        <v>101</v>
      </c>
      <c r="N844" s="166" t="s">
        <v>846</v>
      </c>
      <c r="O844" s="150" t="s">
        <v>79</v>
      </c>
      <c r="P844" s="167" t="s">
        <v>102</v>
      </c>
      <c r="Q844" s="167">
        <v>80</v>
      </c>
      <c r="R844" s="167"/>
      <c r="S844" s="167">
        <v>4000</v>
      </c>
      <c r="T844" s="167"/>
      <c r="U844" s="167">
        <v>5000</v>
      </c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  <c r="AP844" s="167"/>
      <c r="AQ844" s="167"/>
      <c r="AR844" s="167"/>
      <c r="AS844" s="167"/>
      <c r="AT844" s="167"/>
      <c r="AU844" s="167"/>
      <c r="AV844" s="167"/>
      <c r="AW844" s="167"/>
      <c r="AX844" s="167"/>
      <c r="AY844" s="167"/>
      <c r="AZ844" s="167"/>
      <c r="BA844" s="167"/>
      <c r="BB844" s="167"/>
      <c r="BC844" s="167"/>
      <c r="BD844" s="167"/>
      <c r="BE844" s="167"/>
      <c r="BF844" s="167"/>
      <c r="BG844" s="167"/>
      <c r="BH844" s="167"/>
      <c r="BI844" s="167"/>
      <c r="BJ844" s="167"/>
      <c r="BK844" s="167"/>
      <c r="BL844" s="167"/>
      <c r="BM844" s="167"/>
      <c r="BN844" s="167"/>
      <c r="BO844" s="167"/>
      <c r="BP844" s="167"/>
      <c r="BQ844" s="167"/>
      <c r="BR844" s="167"/>
      <c r="BS844" s="167"/>
      <c r="BT844" s="167"/>
      <c r="BU844" s="167"/>
      <c r="BV844" s="167"/>
      <c r="BW844" s="167"/>
      <c r="BX844" s="167"/>
      <c r="BY844" s="175"/>
    </row>
    <row r="845" spans="1:77" s="18" customFormat="1" x14ac:dyDescent="0.15">
      <c r="A845" s="148">
        <v>1413010021</v>
      </c>
      <c r="B845" s="158" t="s">
        <v>671</v>
      </c>
      <c r="C845" s="150" t="s">
        <v>100</v>
      </c>
      <c r="D845" s="150"/>
      <c r="E845" s="150" t="s">
        <v>83</v>
      </c>
      <c r="F845" s="150">
        <v>50000</v>
      </c>
      <c r="G845" s="150"/>
      <c r="H845" s="150"/>
      <c r="I845" s="150"/>
      <c r="J845" s="166"/>
      <c r="K845" s="166"/>
      <c r="L845" s="166"/>
      <c r="M845" s="166" t="s">
        <v>101</v>
      </c>
      <c r="N845" s="166" t="s">
        <v>846</v>
      </c>
      <c r="O845" s="150" t="s">
        <v>79</v>
      </c>
      <c r="P845" s="167" t="s">
        <v>102</v>
      </c>
      <c r="Q845" s="167">
        <v>110</v>
      </c>
      <c r="R845" s="167"/>
      <c r="S845" s="167">
        <v>4000</v>
      </c>
      <c r="T845" s="167"/>
      <c r="U845" s="167">
        <v>5000</v>
      </c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  <c r="AP845" s="167"/>
      <c r="AQ845" s="167"/>
      <c r="AR845" s="167"/>
      <c r="AS845" s="167"/>
      <c r="AT845" s="167"/>
      <c r="AU845" s="167"/>
      <c r="AV845" s="167"/>
      <c r="AW845" s="167"/>
      <c r="AX845" s="167"/>
      <c r="AY845" s="167"/>
      <c r="AZ845" s="167"/>
      <c r="BA845" s="167"/>
      <c r="BB845" s="167"/>
      <c r="BC845" s="167"/>
      <c r="BD845" s="167"/>
      <c r="BE845" s="167"/>
      <c r="BF845" s="167"/>
      <c r="BG845" s="167"/>
      <c r="BH845" s="167"/>
      <c r="BI845" s="167"/>
      <c r="BJ845" s="167"/>
      <c r="BK845" s="167"/>
      <c r="BL845" s="167"/>
      <c r="BM845" s="167"/>
      <c r="BN845" s="167"/>
      <c r="BO845" s="167"/>
      <c r="BP845" s="167"/>
      <c r="BQ845" s="167"/>
      <c r="BR845" s="167"/>
      <c r="BS845" s="167"/>
      <c r="BT845" s="167"/>
      <c r="BU845" s="167"/>
      <c r="BV845" s="167"/>
      <c r="BW845" s="167"/>
      <c r="BX845" s="167"/>
      <c r="BY845" s="175"/>
    </row>
    <row r="846" spans="1:77" s="18" customFormat="1" x14ac:dyDescent="0.15">
      <c r="A846" s="148">
        <v>1413010031</v>
      </c>
      <c r="B846" s="158" t="s">
        <v>671</v>
      </c>
      <c r="C846" s="150" t="s">
        <v>100</v>
      </c>
      <c r="D846" s="150"/>
      <c r="E846" s="150" t="s">
        <v>83</v>
      </c>
      <c r="F846" s="150">
        <v>50000</v>
      </c>
      <c r="G846" s="150"/>
      <c r="H846" s="150"/>
      <c r="I846" s="150"/>
      <c r="J846" s="166"/>
      <c r="K846" s="166"/>
      <c r="L846" s="166"/>
      <c r="M846" s="166" t="s">
        <v>101</v>
      </c>
      <c r="N846" s="166" t="s">
        <v>846</v>
      </c>
      <c r="O846" s="150" t="s">
        <v>79</v>
      </c>
      <c r="P846" s="167" t="s">
        <v>102</v>
      </c>
      <c r="Q846" s="167">
        <v>140</v>
      </c>
      <c r="R846" s="167"/>
      <c r="S846" s="167">
        <v>4000</v>
      </c>
      <c r="T846" s="167"/>
      <c r="U846" s="167">
        <v>5000</v>
      </c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  <c r="AP846" s="167"/>
      <c r="AQ846" s="167"/>
      <c r="AR846" s="167"/>
      <c r="AS846" s="167"/>
      <c r="AT846" s="167"/>
      <c r="AU846" s="167"/>
      <c r="AV846" s="167"/>
      <c r="AW846" s="167"/>
      <c r="AX846" s="167"/>
      <c r="AY846" s="167"/>
      <c r="AZ846" s="167"/>
      <c r="BA846" s="167"/>
      <c r="BB846" s="167"/>
      <c r="BC846" s="167"/>
      <c r="BD846" s="167"/>
      <c r="BE846" s="167"/>
      <c r="BF846" s="167"/>
      <c r="BG846" s="167"/>
      <c r="BH846" s="167"/>
      <c r="BI846" s="167"/>
      <c r="BJ846" s="167"/>
      <c r="BK846" s="167"/>
      <c r="BL846" s="167"/>
      <c r="BM846" s="167"/>
      <c r="BN846" s="167"/>
      <c r="BO846" s="167"/>
      <c r="BP846" s="167"/>
      <c r="BQ846" s="167"/>
      <c r="BR846" s="167"/>
      <c r="BS846" s="167"/>
      <c r="BT846" s="167"/>
      <c r="BU846" s="167"/>
      <c r="BV846" s="167"/>
      <c r="BW846" s="167"/>
      <c r="BX846" s="167"/>
      <c r="BY846" s="175"/>
    </row>
    <row r="847" spans="1:77" s="18" customFormat="1" x14ac:dyDescent="0.15">
      <c r="A847" s="148">
        <v>1413010041</v>
      </c>
      <c r="B847" s="158" t="s">
        <v>671</v>
      </c>
      <c r="C847" s="150" t="s">
        <v>100</v>
      </c>
      <c r="D847" s="150"/>
      <c r="E847" s="150" t="s">
        <v>83</v>
      </c>
      <c r="F847" s="150">
        <v>50000</v>
      </c>
      <c r="G847" s="150"/>
      <c r="H847" s="150"/>
      <c r="I847" s="150"/>
      <c r="J847" s="166"/>
      <c r="K847" s="166"/>
      <c r="L847" s="166"/>
      <c r="M847" s="166" t="s">
        <v>101</v>
      </c>
      <c r="N847" s="166" t="s">
        <v>846</v>
      </c>
      <c r="O847" s="150" t="s">
        <v>79</v>
      </c>
      <c r="P847" s="167" t="s">
        <v>102</v>
      </c>
      <c r="Q847" s="167">
        <v>170</v>
      </c>
      <c r="R847" s="167"/>
      <c r="S847" s="167">
        <v>4000</v>
      </c>
      <c r="T847" s="167"/>
      <c r="U847" s="167">
        <v>5000</v>
      </c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  <c r="AP847" s="167"/>
      <c r="AQ847" s="167"/>
      <c r="AR847" s="167"/>
      <c r="AS847" s="167"/>
      <c r="AT847" s="167"/>
      <c r="AU847" s="167"/>
      <c r="AV847" s="167"/>
      <c r="AW847" s="167"/>
      <c r="AX847" s="167"/>
      <c r="AY847" s="167"/>
      <c r="AZ847" s="167"/>
      <c r="BA847" s="167"/>
      <c r="BB847" s="167"/>
      <c r="BC847" s="167"/>
      <c r="BD847" s="167"/>
      <c r="BE847" s="167"/>
      <c r="BF847" s="167"/>
      <c r="BG847" s="167"/>
      <c r="BH847" s="167"/>
      <c r="BI847" s="167"/>
      <c r="BJ847" s="167"/>
      <c r="BK847" s="167"/>
      <c r="BL847" s="167"/>
      <c r="BM847" s="167"/>
      <c r="BN847" s="167"/>
      <c r="BO847" s="167"/>
      <c r="BP847" s="167"/>
      <c r="BQ847" s="167"/>
      <c r="BR847" s="167"/>
      <c r="BS847" s="167"/>
      <c r="BT847" s="167"/>
      <c r="BU847" s="167"/>
      <c r="BV847" s="167"/>
      <c r="BW847" s="167"/>
      <c r="BX847" s="167"/>
      <c r="BY847" s="175"/>
    </row>
    <row r="848" spans="1:77" s="18" customFormat="1" x14ac:dyDescent="0.15">
      <c r="A848" s="148">
        <v>1413010012</v>
      </c>
      <c r="B848" s="158" t="s">
        <v>672</v>
      </c>
      <c r="C848" s="150" t="s">
        <v>77</v>
      </c>
      <c r="D848" s="150"/>
      <c r="E848" s="150" t="s">
        <v>78</v>
      </c>
      <c r="F848" s="150"/>
      <c r="G848" s="150"/>
      <c r="H848" s="150"/>
      <c r="I848" s="150"/>
      <c r="J848" s="166"/>
      <c r="K848" s="166"/>
      <c r="L848" s="166"/>
      <c r="M848" s="166"/>
      <c r="N848" s="166"/>
      <c r="O848" s="150" t="s">
        <v>95</v>
      </c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>
        <v>20000831</v>
      </c>
      <c r="AF848" s="167" t="s">
        <v>96</v>
      </c>
      <c r="AG848" s="167"/>
      <c r="AH848" s="167">
        <v>1</v>
      </c>
      <c r="AI848" s="167">
        <v>3</v>
      </c>
      <c r="AJ848" s="167"/>
      <c r="AK848" s="167"/>
      <c r="AL848" s="167"/>
      <c r="AM848" s="167"/>
      <c r="AN848" s="167"/>
      <c r="AO848" s="167"/>
      <c r="AP848" s="167"/>
      <c r="AQ848" s="167"/>
      <c r="AR848" s="167"/>
      <c r="AS848" s="167"/>
      <c r="AT848" s="167"/>
      <c r="AU848" s="167"/>
      <c r="AV848" s="167"/>
      <c r="AW848" s="167"/>
      <c r="AX848" s="167"/>
      <c r="AY848" s="167"/>
      <c r="AZ848" s="167"/>
      <c r="BA848" s="167"/>
      <c r="BB848" s="167"/>
      <c r="BC848" s="167"/>
      <c r="BD848" s="167"/>
      <c r="BE848" s="167"/>
      <c r="BF848" s="167"/>
      <c r="BG848" s="167"/>
      <c r="BH848" s="167"/>
      <c r="BI848" s="167"/>
      <c r="BJ848" s="167"/>
      <c r="BK848" s="167"/>
      <c r="BL848" s="167"/>
      <c r="BM848" s="167"/>
      <c r="BN848" s="167"/>
      <c r="BO848" s="167"/>
      <c r="BP848" s="167"/>
      <c r="BQ848" s="167"/>
      <c r="BR848" s="167"/>
      <c r="BS848" s="167"/>
      <c r="BT848" s="167"/>
      <c r="BU848" s="167"/>
      <c r="BV848" s="167"/>
      <c r="BW848" s="167"/>
      <c r="BX848" s="167"/>
      <c r="BY848" s="175"/>
    </row>
    <row r="849" spans="1:77" s="18" customFormat="1" x14ac:dyDescent="0.15">
      <c r="A849" s="148">
        <v>1413010022</v>
      </c>
      <c r="B849" s="158" t="s">
        <v>672</v>
      </c>
      <c r="C849" s="150" t="s">
        <v>77</v>
      </c>
      <c r="D849" s="150"/>
      <c r="E849" s="150" t="s">
        <v>78</v>
      </c>
      <c r="F849" s="150"/>
      <c r="G849" s="150"/>
      <c r="H849" s="150"/>
      <c r="I849" s="150"/>
      <c r="J849" s="166"/>
      <c r="K849" s="166"/>
      <c r="L849" s="166"/>
      <c r="M849" s="166"/>
      <c r="N849" s="166"/>
      <c r="O849" s="150" t="s">
        <v>95</v>
      </c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>
        <v>20000832</v>
      </c>
      <c r="AF849" s="167" t="s">
        <v>96</v>
      </c>
      <c r="AG849" s="167"/>
      <c r="AH849" s="167">
        <v>1</v>
      </c>
      <c r="AI849" s="167">
        <v>3</v>
      </c>
      <c r="AJ849" s="167"/>
      <c r="AK849" s="167"/>
      <c r="AL849" s="167"/>
      <c r="AM849" s="167"/>
      <c r="AN849" s="167"/>
      <c r="AO849" s="167"/>
      <c r="AP849" s="167"/>
      <c r="AQ849" s="167"/>
      <c r="AR849" s="167"/>
      <c r="AS849" s="167"/>
      <c r="AT849" s="167"/>
      <c r="AU849" s="167"/>
      <c r="AV849" s="167"/>
      <c r="AW849" s="167"/>
      <c r="AX849" s="167"/>
      <c r="AY849" s="167"/>
      <c r="AZ849" s="167"/>
      <c r="BA849" s="167"/>
      <c r="BB849" s="167"/>
      <c r="BC849" s="167"/>
      <c r="BD849" s="167"/>
      <c r="BE849" s="167"/>
      <c r="BF849" s="167"/>
      <c r="BG849" s="167"/>
      <c r="BH849" s="167"/>
      <c r="BI849" s="167"/>
      <c r="BJ849" s="167"/>
      <c r="BK849" s="167"/>
      <c r="BL849" s="167"/>
      <c r="BM849" s="167"/>
      <c r="BN849" s="167"/>
      <c r="BO849" s="167"/>
      <c r="BP849" s="167"/>
      <c r="BQ849" s="167"/>
      <c r="BR849" s="167"/>
      <c r="BS849" s="167"/>
      <c r="BT849" s="167"/>
      <c r="BU849" s="167"/>
      <c r="BV849" s="167"/>
      <c r="BW849" s="167"/>
      <c r="BX849" s="167"/>
      <c r="BY849" s="175"/>
    </row>
    <row r="850" spans="1:77" s="18" customFormat="1" x14ac:dyDescent="0.15">
      <c r="A850" s="148">
        <v>1413010032</v>
      </c>
      <c r="B850" s="158" t="s">
        <v>672</v>
      </c>
      <c r="C850" s="150" t="s">
        <v>77</v>
      </c>
      <c r="D850" s="150"/>
      <c r="E850" s="150" t="s">
        <v>78</v>
      </c>
      <c r="F850" s="150"/>
      <c r="G850" s="150"/>
      <c r="H850" s="150"/>
      <c r="I850" s="150"/>
      <c r="J850" s="166"/>
      <c r="K850" s="166"/>
      <c r="L850" s="166"/>
      <c r="M850" s="166"/>
      <c r="N850" s="166"/>
      <c r="O850" s="150" t="s">
        <v>95</v>
      </c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7">
        <v>20000833</v>
      </c>
      <c r="AF850" s="167" t="s">
        <v>96</v>
      </c>
      <c r="AG850" s="167"/>
      <c r="AH850" s="167">
        <v>1</v>
      </c>
      <c r="AI850" s="167">
        <v>3</v>
      </c>
      <c r="AJ850" s="167"/>
      <c r="AK850" s="167"/>
      <c r="AL850" s="167"/>
      <c r="AM850" s="167"/>
      <c r="AN850" s="167"/>
      <c r="AO850" s="167"/>
      <c r="AP850" s="167"/>
      <c r="AQ850" s="167"/>
      <c r="AR850" s="167"/>
      <c r="AS850" s="167"/>
      <c r="AT850" s="167"/>
      <c r="AU850" s="167"/>
      <c r="AV850" s="167"/>
      <c r="AW850" s="167"/>
      <c r="AX850" s="167"/>
      <c r="AY850" s="167"/>
      <c r="AZ850" s="167"/>
      <c r="BA850" s="167"/>
      <c r="BB850" s="167"/>
      <c r="BC850" s="167"/>
      <c r="BD850" s="167"/>
      <c r="BE850" s="167"/>
      <c r="BF850" s="167"/>
      <c r="BG850" s="167"/>
      <c r="BH850" s="167"/>
      <c r="BI850" s="167"/>
      <c r="BJ850" s="167"/>
      <c r="BK850" s="167"/>
      <c r="BL850" s="167"/>
      <c r="BM850" s="167"/>
      <c r="BN850" s="167"/>
      <c r="BO850" s="167"/>
      <c r="BP850" s="167"/>
      <c r="BQ850" s="167"/>
      <c r="BR850" s="167"/>
      <c r="BS850" s="167"/>
      <c r="BT850" s="167"/>
      <c r="BU850" s="167"/>
      <c r="BV850" s="167"/>
      <c r="BW850" s="167"/>
      <c r="BX850" s="167"/>
      <c r="BY850" s="175"/>
    </row>
    <row r="851" spans="1:77" s="18" customFormat="1" x14ac:dyDescent="0.15">
      <c r="A851" s="148">
        <v>1413010042</v>
      </c>
      <c r="B851" s="158" t="s">
        <v>672</v>
      </c>
      <c r="C851" s="150" t="s">
        <v>77</v>
      </c>
      <c r="D851" s="150"/>
      <c r="E851" s="150" t="s">
        <v>78</v>
      </c>
      <c r="F851" s="150"/>
      <c r="G851" s="150"/>
      <c r="H851" s="150"/>
      <c r="I851" s="150"/>
      <c r="J851" s="166"/>
      <c r="K851" s="166"/>
      <c r="L851" s="166"/>
      <c r="M851" s="166"/>
      <c r="N851" s="166"/>
      <c r="O851" s="150" t="s">
        <v>95</v>
      </c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7">
        <v>20000834</v>
      </c>
      <c r="AF851" s="167" t="s">
        <v>96</v>
      </c>
      <c r="AG851" s="167"/>
      <c r="AH851" s="167">
        <v>1</v>
      </c>
      <c r="AI851" s="167">
        <v>3</v>
      </c>
      <c r="AJ851" s="167"/>
      <c r="AK851" s="167"/>
      <c r="AL851" s="167"/>
      <c r="AM851" s="167"/>
      <c r="AN851" s="167"/>
      <c r="AO851" s="167"/>
      <c r="AP851" s="167"/>
      <c r="AQ851" s="167"/>
      <c r="AR851" s="167"/>
      <c r="AS851" s="167"/>
      <c r="AT851" s="167"/>
      <c r="AU851" s="167"/>
      <c r="AV851" s="167"/>
      <c r="AW851" s="167"/>
      <c r="AX851" s="167"/>
      <c r="AY851" s="167"/>
      <c r="AZ851" s="167"/>
      <c r="BA851" s="167"/>
      <c r="BB851" s="167"/>
      <c r="BC851" s="167"/>
      <c r="BD851" s="167"/>
      <c r="BE851" s="167"/>
      <c r="BF851" s="167"/>
      <c r="BG851" s="167"/>
      <c r="BH851" s="167"/>
      <c r="BI851" s="167"/>
      <c r="BJ851" s="167"/>
      <c r="BK851" s="167"/>
      <c r="BL851" s="167"/>
      <c r="BM851" s="167"/>
      <c r="BN851" s="167"/>
      <c r="BO851" s="167"/>
      <c r="BP851" s="167"/>
      <c r="BQ851" s="167"/>
      <c r="BR851" s="167"/>
      <c r="BS851" s="167"/>
      <c r="BT851" s="167"/>
      <c r="BU851" s="167"/>
      <c r="BV851" s="167"/>
      <c r="BW851" s="167"/>
      <c r="BX851" s="167"/>
      <c r="BY851" s="175"/>
    </row>
    <row r="852" spans="1:77" s="18" customFormat="1" x14ac:dyDescent="0.15">
      <c r="A852" s="148">
        <v>1413020011</v>
      </c>
      <c r="B852" s="158" t="s">
        <v>673</v>
      </c>
      <c r="C852" s="150" t="s">
        <v>100</v>
      </c>
      <c r="D852" s="150"/>
      <c r="E852" s="150" t="s">
        <v>83</v>
      </c>
      <c r="F852" s="150">
        <v>30000</v>
      </c>
      <c r="G852" s="150"/>
      <c r="H852" s="150"/>
      <c r="I852" s="150"/>
      <c r="J852" s="166"/>
      <c r="K852" s="166"/>
      <c r="L852" s="166"/>
      <c r="M852" s="166" t="s">
        <v>101</v>
      </c>
      <c r="N852" s="166" t="s">
        <v>846</v>
      </c>
      <c r="O852" s="150" t="s">
        <v>79</v>
      </c>
      <c r="P852" s="167" t="s">
        <v>102</v>
      </c>
      <c r="Q852" s="167">
        <v>100</v>
      </c>
      <c r="R852" s="167"/>
      <c r="S852" s="167">
        <v>4000</v>
      </c>
      <c r="T852" s="167"/>
      <c r="U852" s="167">
        <v>5000</v>
      </c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7"/>
      <c r="AJ852" s="148" t="s">
        <v>90</v>
      </c>
      <c r="AK852" s="148"/>
      <c r="AL852" s="148"/>
      <c r="AM852" s="148"/>
      <c r="AN852" s="148"/>
      <c r="AO852" s="148"/>
      <c r="AP852" s="148"/>
      <c r="AQ852" s="148"/>
      <c r="AR852" s="148"/>
      <c r="AS852" s="148"/>
      <c r="AT852" s="148"/>
      <c r="AU852" s="148"/>
      <c r="AV852" s="148"/>
      <c r="AW852" s="148"/>
      <c r="AX852" s="148">
        <v>1413020201</v>
      </c>
      <c r="AY852" s="148">
        <v>1413020101</v>
      </c>
      <c r="AZ852" s="167"/>
      <c r="BA852" s="167"/>
      <c r="BB852" s="167"/>
      <c r="BC852" s="167"/>
      <c r="BD852" s="167"/>
      <c r="BE852" s="167"/>
      <c r="BF852" s="167"/>
      <c r="BG852" s="167"/>
      <c r="BH852" s="167"/>
      <c r="BI852" s="167"/>
      <c r="BJ852" s="167"/>
      <c r="BK852" s="167"/>
      <c r="BL852" s="167"/>
      <c r="BM852" s="167"/>
      <c r="BN852" s="167"/>
      <c r="BO852" s="167"/>
      <c r="BP852" s="167"/>
      <c r="BQ852" s="167"/>
      <c r="BR852" s="167"/>
      <c r="BS852" s="167"/>
      <c r="BT852" s="167"/>
      <c r="BU852" s="167"/>
      <c r="BV852" s="167"/>
      <c r="BW852" s="167"/>
      <c r="BX852" s="167"/>
      <c r="BY852" s="175"/>
    </row>
    <row r="853" spans="1:77" s="18" customFormat="1" x14ac:dyDescent="0.15">
      <c r="A853" s="148">
        <v>1413020021</v>
      </c>
      <c r="B853" s="158" t="s">
        <v>673</v>
      </c>
      <c r="C853" s="150" t="s">
        <v>100</v>
      </c>
      <c r="D853" s="150"/>
      <c r="E853" s="150" t="s">
        <v>83</v>
      </c>
      <c r="F853" s="150">
        <v>30000</v>
      </c>
      <c r="G853" s="150"/>
      <c r="H853" s="150"/>
      <c r="I853" s="150"/>
      <c r="J853" s="166"/>
      <c r="K853" s="166"/>
      <c r="L853" s="166"/>
      <c r="M853" s="166" t="s">
        <v>101</v>
      </c>
      <c r="N853" s="166" t="s">
        <v>846</v>
      </c>
      <c r="O853" s="150" t="s">
        <v>79</v>
      </c>
      <c r="P853" s="167" t="s">
        <v>102</v>
      </c>
      <c r="Q853" s="167">
        <v>150</v>
      </c>
      <c r="R853" s="167"/>
      <c r="S853" s="167">
        <v>4000</v>
      </c>
      <c r="T853" s="167"/>
      <c r="U853" s="167">
        <v>5000</v>
      </c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7"/>
      <c r="AJ853" s="148" t="s">
        <v>90</v>
      </c>
      <c r="AK853" s="148"/>
      <c r="AL853" s="148"/>
      <c r="AM853" s="148"/>
      <c r="AN853" s="148"/>
      <c r="AO853" s="148"/>
      <c r="AP853" s="148"/>
      <c r="AQ853" s="148"/>
      <c r="AR853" s="148"/>
      <c r="AS853" s="148"/>
      <c r="AT853" s="148"/>
      <c r="AU853" s="148"/>
      <c r="AV853" s="148"/>
      <c r="AW853" s="148"/>
      <c r="AX853" s="148">
        <v>1413020202</v>
      </c>
      <c r="AY853" s="148">
        <v>1413020102</v>
      </c>
      <c r="AZ853" s="167"/>
      <c r="BA853" s="167"/>
      <c r="BB853" s="167"/>
      <c r="BC853" s="167"/>
      <c r="BD853" s="167"/>
      <c r="BE853" s="167"/>
      <c r="BF853" s="167"/>
      <c r="BG853" s="167"/>
      <c r="BH853" s="167"/>
      <c r="BI853" s="167"/>
      <c r="BJ853" s="167"/>
      <c r="BK853" s="167"/>
      <c r="BL853" s="167"/>
      <c r="BM853" s="167"/>
      <c r="BN853" s="167"/>
      <c r="BO853" s="167"/>
      <c r="BP853" s="167"/>
      <c r="BQ853" s="167"/>
      <c r="BR853" s="167"/>
      <c r="BS853" s="167"/>
      <c r="BT853" s="167"/>
      <c r="BU853" s="167"/>
      <c r="BV853" s="167"/>
      <c r="BW853" s="167"/>
      <c r="BX853" s="167"/>
      <c r="BY853" s="175"/>
    </row>
    <row r="854" spans="1:77" s="18" customFormat="1" x14ac:dyDescent="0.15">
      <c r="A854" s="148">
        <v>1413020031</v>
      </c>
      <c r="B854" s="158" t="s">
        <v>673</v>
      </c>
      <c r="C854" s="150" t="s">
        <v>100</v>
      </c>
      <c r="D854" s="150"/>
      <c r="E854" s="150" t="s">
        <v>83</v>
      </c>
      <c r="F854" s="150">
        <v>30000</v>
      </c>
      <c r="G854" s="150"/>
      <c r="H854" s="150"/>
      <c r="I854" s="150"/>
      <c r="J854" s="166"/>
      <c r="K854" s="166"/>
      <c r="L854" s="166"/>
      <c r="M854" s="166" t="s">
        <v>101</v>
      </c>
      <c r="N854" s="166" t="s">
        <v>846</v>
      </c>
      <c r="O854" s="150" t="s">
        <v>79</v>
      </c>
      <c r="P854" s="167" t="s">
        <v>102</v>
      </c>
      <c r="Q854" s="167">
        <v>200</v>
      </c>
      <c r="R854" s="167"/>
      <c r="S854" s="167">
        <v>4000</v>
      </c>
      <c r="T854" s="167"/>
      <c r="U854" s="167">
        <v>5000</v>
      </c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7"/>
      <c r="AF854" s="167"/>
      <c r="AG854" s="167"/>
      <c r="AH854" s="167"/>
      <c r="AI854" s="167"/>
      <c r="AJ854" s="148" t="s">
        <v>90</v>
      </c>
      <c r="AK854" s="148"/>
      <c r="AL854" s="148"/>
      <c r="AM854" s="148"/>
      <c r="AN854" s="148"/>
      <c r="AO854" s="148"/>
      <c r="AP854" s="148"/>
      <c r="AQ854" s="148"/>
      <c r="AR854" s="148"/>
      <c r="AS854" s="148"/>
      <c r="AT854" s="148"/>
      <c r="AU854" s="148"/>
      <c r="AV854" s="148"/>
      <c r="AW854" s="148"/>
      <c r="AX854" s="148">
        <v>1413020203</v>
      </c>
      <c r="AY854" s="148">
        <v>1413020103</v>
      </c>
      <c r="AZ854" s="167"/>
      <c r="BA854" s="167"/>
      <c r="BB854" s="167"/>
      <c r="BC854" s="167"/>
      <c r="BD854" s="167"/>
      <c r="BE854" s="167"/>
      <c r="BF854" s="167"/>
      <c r="BG854" s="167"/>
      <c r="BH854" s="167"/>
      <c r="BI854" s="167"/>
      <c r="BJ854" s="167"/>
      <c r="BK854" s="167"/>
      <c r="BL854" s="167"/>
      <c r="BM854" s="167"/>
      <c r="BN854" s="167"/>
      <c r="BO854" s="167"/>
      <c r="BP854" s="167"/>
      <c r="BQ854" s="167"/>
      <c r="BR854" s="167"/>
      <c r="BS854" s="167"/>
      <c r="BT854" s="167"/>
      <c r="BU854" s="167"/>
      <c r="BV854" s="167"/>
      <c r="BW854" s="167"/>
      <c r="BX854" s="167"/>
      <c r="BY854" s="175"/>
    </row>
    <row r="855" spans="1:77" s="18" customFormat="1" x14ac:dyDescent="0.15">
      <c r="A855" s="148">
        <v>1413020041</v>
      </c>
      <c r="B855" s="158" t="s">
        <v>673</v>
      </c>
      <c r="C855" s="150" t="s">
        <v>100</v>
      </c>
      <c r="D855" s="150"/>
      <c r="E855" s="150" t="s">
        <v>83</v>
      </c>
      <c r="F855" s="150">
        <v>30000</v>
      </c>
      <c r="G855" s="150"/>
      <c r="H855" s="150"/>
      <c r="I855" s="150"/>
      <c r="J855" s="166"/>
      <c r="K855" s="166"/>
      <c r="L855" s="166"/>
      <c r="M855" s="166" t="s">
        <v>101</v>
      </c>
      <c r="N855" s="166" t="s">
        <v>846</v>
      </c>
      <c r="O855" s="150" t="s">
        <v>79</v>
      </c>
      <c r="P855" s="167" t="s">
        <v>102</v>
      </c>
      <c r="Q855" s="167">
        <v>250</v>
      </c>
      <c r="R855" s="167"/>
      <c r="S855" s="167">
        <v>4000</v>
      </c>
      <c r="T855" s="167"/>
      <c r="U855" s="167">
        <v>5000</v>
      </c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7"/>
      <c r="AF855" s="167"/>
      <c r="AG855" s="167"/>
      <c r="AH855" s="167"/>
      <c r="AI855" s="167"/>
      <c r="AJ855" s="148" t="s">
        <v>90</v>
      </c>
      <c r="AK855" s="148"/>
      <c r="AL855" s="148"/>
      <c r="AM855" s="148"/>
      <c r="AN855" s="148"/>
      <c r="AO855" s="148"/>
      <c r="AP855" s="148"/>
      <c r="AQ855" s="148"/>
      <c r="AR855" s="148"/>
      <c r="AS855" s="148"/>
      <c r="AT855" s="148"/>
      <c r="AU855" s="148"/>
      <c r="AV855" s="148"/>
      <c r="AW855" s="148"/>
      <c r="AX855" s="148">
        <v>1413020204</v>
      </c>
      <c r="AY855" s="148">
        <v>1413020104</v>
      </c>
      <c r="AZ855" s="167"/>
      <c r="BA855" s="167"/>
      <c r="BB855" s="167"/>
      <c r="BC855" s="167"/>
      <c r="BD855" s="167"/>
      <c r="BE855" s="167"/>
      <c r="BF855" s="167"/>
      <c r="BG855" s="167"/>
      <c r="BH855" s="167"/>
      <c r="BI855" s="167"/>
      <c r="BJ855" s="167"/>
      <c r="BK855" s="167"/>
      <c r="BL855" s="167"/>
      <c r="BM855" s="167"/>
      <c r="BN855" s="167"/>
      <c r="BO855" s="167"/>
      <c r="BP855" s="167"/>
      <c r="BQ855" s="167"/>
      <c r="BR855" s="167"/>
      <c r="BS855" s="167"/>
      <c r="BT855" s="167"/>
      <c r="BU855" s="167"/>
      <c r="BV855" s="167"/>
      <c r="BW855" s="167"/>
      <c r="BX855" s="167"/>
      <c r="BY855" s="175"/>
    </row>
    <row r="856" spans="1:77" s="18" customFormat="1" x14ac:dyDescent="0.15">
      <c r="A856" s="148">
        <v>1413020012</v>
      </c>
      <c r="B856" s="158" t="s">
        <v>674</v>
      </c>
      <c r="C856" s="150" t="s">
        <v>100</v>
      </c>
      <c r="D856" s="150"/>
      <c r="E856" s="150" t="s">
        <v>83</v>
      </c>
      <c r="F856" s="150">
        <v>70000</v>
      </c>
      <c r="G856" s="150"/>
      <c r="H856" s="150"/>
      <c r="I856" s="150"/>
      <c r="J856" s="166"/>
      <c r="K856" s="166"/>
      <c r="L856" s="166"/>
      <c r="M856" s="166" t="s">
        <v>101</v>
      </c>
      <c r="N856" s="166" t="s">
        <v>846</v>
      </c>
      <c r="O856" s="150" t="s">
        <v>79</v>
      </c>
      <c r="P856" s="167" t="s">
        <v>102</v>
      </c>
      <c r="Q856" s="167">
        <v>100</v>
      </c>
      <c r="R856" s="167"/>
      <c r="S856" s="167">
        <v>4000</v>
      </c>
      <c r="T856" s="167"/>
      <c r="U856" s="167">
        <v>5000</v>
      </c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48" t="s">
        <v>90</v>
      </c>
      <c r="AK856" s="148"/>
      <c r="AL856" s="148"/>
      <c r="AM856" s="148"/>
      <c r="AN856" s="148"/>
      <c r="AO856" s="148"/>
      <c r="AP856" s="148"/>
      <c r="AQ856" s="148"/>
      <c r="AR856" s="148"/>
      <c r="AS856" s="148"/>
      <c r="AT856" s="148"/>
      <c r="AU856" s="148"/>
      <c r="AV856" s="148"/>
      <c r="AW856" s="148"/>
      <c r="AX856" s="148">
        <v>1413020401</v>
      </c>
      <c r="AY856" s="148">
        <v>1413020301</v>
      </c>
      <c r="AZ856" s="167"/>
      <c r="BA856" s="167"/>
      <c r="BB856" s="167"/>
      <c r="BC856" s="167"/>
      <c r="BD856" s="167"/>
      <c r="BE856" s="167"/>
      <c r="BF856" s="167"/>
      <c r="BG856" s="167"/>
      <c r="BH856" s="167"/>
      <c r="BI856" s="167"/>
      <c r="BJ856" s="167"/>
      <c r="BK856" s="167"/>
      <c r="BL856" s="167"/>
      <c r="BM856" s="167"/>
      <c r="BN856" s="167"/>
      <c r="BO856" s="167"/>
      <c r="BP856" s="167"/>
      <c r="BQ856" s="167"/>
      <c r="BR856" s="167"/>
      <c r="BS856" s="167"/>
      <c r="BT856" s="167"/>
      <c r="BU856" s="167"/>
      <c r="BV856" s="167"/>
      <c r="BW856" s="167"/>
      <c r="BX856" s="167"/>
      <c r="BY856" s="175"/>
    </row>
    <row r="857" spans="1:77" s="18" customFormat="1" x14ac:dyDescent="0.15">
      <c r="A857" s="148">
        <v>1413020022</v>
      </c>
      <c r="B857" s="158" t="s">
        <v>674</v>
      </c>
      <c r="C857" s="150" t="s">
        <v>100</v>
      </c>
      <c r="D857" s="150"/>
      <c r="E857" s="150" t="s">
        <v>83</v>
      </c>
      <c r="F857" s="150">
        <v>70000</v>
      </c>
      <c r="G857" s="150"/>
      <c r="H857" s="150"/>
      <c r="I857" s="150"/>
      <c r="J857" s="166"/>
      <c r="K857" s="166"/>
      <c r="L857" s="166"/>
      <c r="M857" s="166" t="s">
        <v>101</v>
      </c>
      <c r="N857" s="166" t="s">
        <v>846</v>
      </c>
      <c r="O857" s="150" t="s">
        <v>79</v>
      </c>
      <c r="P857" s="167" t="s">
        <v>102</v>
      </c>
      <c r="Q857" s="167">
        <v>150</v>
      </c>
      <c r="R857" s="167"/>
      <c r="S857" s="167">
        <v>4000</v>
      </c>
      <c r="T857" s="167"/>
      <c r="U857" s="167">
        <v>5000</v>
      </c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7"/>
      <c r="AF857" s="167"/>
      <c r="AG857" s="167"/>
      <c r="AH857" s="167"/>
      <c r="AI857" s="167"/>
      <c r="AJ857" s="148" t="s">
        <v>90</v>
      </c>
      <c r="AK857" s="148"/>
      <c r="AL857" s="148"/>
      <c r="AM857" s="148"/>
      <c r="AN857" s="148"/>
      <c r="AO857" s="148"/>
      <c r="AP857" s="148"/>
      <c r="AQ857" s="148"/>
      <c r="AR857" s="148"/>
      <c r="AS857" s="148"/>
      <c r="AT857" s="148"/>
      <c r="AU857" s="148"/>
      <c r="AV857" s="148"/>
      <c r="AW857" s="148"/>
      <c r="AX857" s="148">
        <v>1413020402</v>
      </c>
      <c r="AY857" s="148">
        <v>1413020302</v>
      </c>
      <c r="AZ857" s="167"/>
      <c r="BA857" s="167"/>
      <c r="BB857" s="167"/>
      <c r="BC857" s="167"/>
      <c r="BD857" s="167"/>
      <c r="BE857" s="167"/>
      <c r="BF857" s="167"/>
      <c r="BG857" s="167"/>
      <c r="BH857" s="167"/>
      <c r="BI857" s="167"/>
      <c r="BJ857" s="167"/>
      <c r="BK857" s="167"/>
      <c r="BL857" s="167"/>
      <c r="BM857" s="167"/>
      <c r="BN857" s="167"/>
      <c r="BO857" s="167"/>
      <c r="BP857" s="167"/>
      <c r="BQ857" s="167"/>
      <c r="BR857" s="167"/>
      <c r="BS857" s="167"/>
      <c r="BT857" s="167"/>
      <c r="BU857" s="167"/>
      <c r="BV857" s="167"/>
      <c r="BW857" s="167"/>
      <c r="BX857" s="167"/>
      <c r="BY857" s="175"/>
    </row>
    <row r="858" spans="1:77" s="18" customFormat="1" x14ac:dyDescent="0.15">
      <c r="A858" s="148">
        <v>1413020032</v>
      </c>
      <c r="B858" s="158" t="s">
        <v>674</v>
      </c>
      <c r="C858" s="150" t="s">
        <v>100</v>
      </c>
      <c r="D858" s="150"/>
      <c r="E858" s="150" t="s">
        <v>83</v>
      </c>
      <c r="F858" s="150">
        <v>70000</v>
      </c>
      <c r="G858" s="150"/>
      <c r="H858" s="150"/>
      <c r="I858" s="150"/>
      <c r="J858" s="166"/>
      <c r="K858" s="166"/>
      <c r="L858" s="166"/>
      <c r="M858" s="166" t="s">
        <v>101</v>
      </c>
      <c r="N858" s="166" t="s">
        <v>846</v>
      </c>
      <c r="O858" s="150" t="s">
        <v>79</v>
      </c>
      <c r="P858" s="167" t="s">
        <v>102</v>
      </c>
      <c r="Q858" s="167">
        <v>200</v>
      </c>
      <c r="R858" s="167"/>
      <c r="S858" s="167">
        <v>4000</v>
      </c>
      <c r="T858" s="167"/>
      <c r="U858" s="167">
        <v>5000</v>
      </c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7"/>
      <c r="AF858" s="167"/>
      <c r="AG858" s="167"/>
      <c r="AH858" s="167"/>
      <c r="AI858" s="167"/>
      <c r="AJ858" s="148" t="s">
        <v>90</v>
      </c>
      <c r="AK858" s="148"/>
      <c r="AL858" s="148"/>
      <c r="AM858" s="148"/>
      <c r="AN858" s="148"/>
      <c r="AO858" s="148"/>
      <c r="AP858" s="148"/>
      <c r="AQ858" s="148"/>
      <c r="AR858" s="148"/>
      <c r="AS858" s="148"/>
      <c r="AT858" s="148"/>
      <c r="AU858" s="148"/>
      <c r="AV858" s="148"/>
      <c r="AW858" s="148"/>
      <c r="AX858" s="148">
        <v>1413020403</v>
      </c>
      <c r="AY858" s="148">
        <v>1413020303</v>
      </c>
      <c r="AZ858" s="167"/>
      <c r="BA858" s="167"/>
      <c r="BB858" s="167"/>
      <c r="BC858" s="167"/>
      <c r="BD858" s="167"/>
      <c r="BE858" s="167"/>
      <c r="BF858" s="167"/>
      <c r="BG858" s="167"/>
      <c r="BH858" s="167"/>
      <c r="BI858" s="167"/>
      <c r="BJ858" s="167"/>
      <c r="BK858" s="167"/>
      <c r="BL858" s="167"/>
      <c r="BM858" s="167"/>
      <c r="BN858" s="167"/>
      <c r="BO858" s="167"/>
      <c r="BP858" s="167"/>
      <c r="BQ858" s="167"/>
      <c r="BR858" s="167"/>
      <c r="BS858" s="167"/>
      <c r="BT858" s="167"/>
      <c r="BU858" s="167"/>
      <c r="BV858" s="167"/>
      <c r="BW858" s="167"/>
      <c r="BX858" s="167"/>
      <c r="BY858" s="175"/>
    </row>
    <row r="859" spans="1:77" s="18" customFormat="1" x14ac:dyDescent="0.15">
      <c r="A859" s="148">
        <v>1413020042</v>
      </c>
      <c r="B859" s="158" t="s">
        <v>674</v>
      </c>
      <c r="C859" s="150" t="s">
        <v>100</v>
      </c>
      <c r="D859" s="150"/>
      <c r="E859" s="150" t="s">
        <v>83</v>
      </c>
      <c r="F859" s="150">
        <v>70000</v>
      </c>
      <c r="G859" s="150"/>
      <c r="H859" s="150"/>
      <c r="I859" s="150"/>
      <c r="J859" s="166"/>
      <c r="K859" s="166"/>
      <c r="L859" s="166"/>
      <c r="M859" s="166" t="s">
        <v>101</v>
      </c>
      <c r="N859" s="166" t="s">
        <v>846</v>
      </c>
      <c r="O859" s="150" t="s">
        <v>79</v>
      </c>
      <c r="P859" s="167" t="s">
        <v>102</v>
      </c>
      <c r="Q859" s="167">
        <v>250</v>
      </c>
      <c r="R859" s="167"/>
      <c r="S859" s="167">
        <v>4000</v>
      </c>
      <c r="T859" s="167"/>
      <c r="U859" s="167">
        <v>5000</v>
      </c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7"/>
      <c r="AI859" s="167"/>
      <c r="AJ859" s="148" t="s">
        <v>90</v>
      </c>
      <c r="AK859" s="148"/>
      <c r="AL859" s="148"/>
      <c r="AM859" s="148"/>
      <c r="AN859" s="148"/>
      <c r="AO859" s="148"/>
      <c r="AP859" s="148"/>
      <c r="AQ859" s="148"/>
      <c r="AR859" s="148"/>
      <c r="AS859" s="148"/>
      <c r="AT859" s="148"/>
      <c r="AU859" s="148"/>
      <c r="AV859" s="148"/>
      <c r="AW859" s="148"/>
      <c r="AX859" s="148">
        <v>1413020404</v>
      </c>
      <c r="AY859" s="148">
        <v>1413020304</v>
      </c>
      <c r="AZ859" s="167"/>
      <c r="BA859" s="167"/>
      <c r="BB859" s="167"/>
      <c r="BC859" s="167"/>
      <c r="BD859" s="167"/>
      <c r="BE859" s="167"/>
      <c r="BF859" s="167"/>
      <c r="BG859" s="167"/>
      <c r="BH859" s="167"/>
      <c r="BI859" s="167"/>
      <c r="BJ859" s="167"/>
      <c r="BK859" s="167"/>
      <c r="BL859" s="167"/>
      <c r="BM859" s="167"/>
      <c r="BN859" s="167"/>
      <c r="BO859" s="167"/>
      <c r="BP859" s="167"/>
      <c r="BQ859" s="167"/>
      <c r="BR859" s="167"/>
      <c r="BS859" s="167"/>
      <c r="BT859" s="167"/>
      <c r="BU859" s="167"/>
      <c r="BV859" s="167"/>
      <c r="BW859" s="167"/>
      <c r="BX859" s="167"/>
      <c r="BY859" s="175"/>
    </row>
    <row r="860" spans="1:77" s="18" customFormat="1" x14ac:dyDescent="0.15">
      <c r="A860" s="148">
        <v>1413040011</v>
      </c>
      <c r="B860" s="158" t="s">
        <v>675</v>
      </c>
      <c r="C860" s="150" t="s">
        <v>89</v>
      </c>
      <c r="D860" s="150"/>
      <c r="E860" s="150" t="s">
        <v>78</v>
      </c>
      <c r="F860" s="150"/>
      <c r="G860" s="150"/>
      <c r="H860" s="150"/>
      <c r="I860" s="150"/>
      <c r="J860" s="166"/>
      <c r="K860" s="166"/>
      <c r="L860" s="166"/>
      <c r="M860" s="166"/>
      <c r="N860" s="166"/>
      <c r="O860" s="150" t="s">
        <v>98</v>
      </c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7">
        <v>141304001</v>
      </c>
      <c r="AF860" s="167"/>
      <c r="AG860" s="167"/>
      <c r="AH860" s="167"/>
      <c r="AI860" s="167"/>
      <c r="AJ860" s="150" t="s">
        <v>98</v>
      </c>
      <c r="AK860" s="167"/>
      <c r="AL860" s="167"/>
      <c r="AM860" s="167"/>
      <c r="AN860" s="167"/>
      <c r="AO860" s="167"/>
      <c r="AP860" s="167"/>
      <c r="AQ860" s="167"/>
      <c r="AR860" s="167"/>
      <c r="AS860" s="167"/>
      <c r="AT860" s="167"/>
      <c r="AU860" s="167"/>
      <c r="AV860" s="167"/>
      <c r="AW860" s="167"/>
      <c r="AX860" s="167"/>
      <c r="AY860" s="167"/>
      <c r="AZ860" s="167">
        <v>141304002</v>
      </c>
      <c r="BA860" s="167"/>
      <c r="BB860" s="167"/>
      <c r="BC860" s="167"/>
      <c r="BD860" s="167"/>
      <c r="BE860" s="167"/>
      <c r="BF860" s="167"/>
      <c r="BG860" s="167"/>
      <c r="BH860" s="167"/>
      <c r="BI860" s="167"/>
      <c r="BJ860" s="167"/>
      <c r="BK860" s="167"/>
      <c r="BL860" s="167"/>
      <c r="BM860" s="167"/>
      <c r="BN860" s="167"/>
      <c r="BO860" s="167"/>
      <c r="BP860" s="167"/>
      <c r="BQ860" s="167"/>
      <c r="BR860" s="167"/>
      <c r="BS860" s="167"/>
      <c r="BT860" s="167"/>
      <c r="BU860" s="167"/>
      <c r="BV860" s="167"/>
      <c r="BW860" s="167"/>
      <c r="BX860" s="167"/>
      <c r="BY860" s="175"/>
    </row>
    <row r="861" spans="1:77" s="18" customFormat="1" x14ac:dyDescent="0.15">
      <c r="A861" s="148">
        <v>1413040021</v>
      </c>
      <c r="B861" s="158" t="s">
        <v>675</v>
      </c>
      <c r="C861" s="150" t="s">
        <v>89</v>
      </c>
      <c r="D861" s="150"/>
      <c r="E861" s="150" t="s">
        <v>78</v>
      </c>
      <c r="F861" s="150"/>
      <c r="G861" s="150"/>
      <c r="H861" s="150"/>
      <c r="I861" s="150"/>
      <c r="J861" s="166"/>
      <c r="K861" s="166"/>
      <c r="L861" s="166"/>
      <c r="M861" s="166"/>
      <c r="N861" s="166"/>
      <c r="O861" s="150" t="s">
        <v>98</v>
      </c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7">
        <v>141304003</v>
      </c>
      <c r="AF861" s="167"/>
      <c r="AG861" s="167"/>
      <c r="AH861" s="167"/>
      <c r="AI861" s="167"/>
      <c r="AJ861" s="150" t="s">
        <v>98</v>
      </c>
      <c r="AK861" s="167"/>
      <c r="AL861" s="167"/>
      <c r="AM861" s="167"/>
      <c r="AN861" s="167"/>
      <c r="AO861" s="167"/>
      <c r="AP861" s="167"/>
      <c r="AQ861" s="167"/>
      <c r="AR861" s="167"/>
      <c r="AS861" s="167"/>
      <c r="AT861" s="167"/>
      <c r="AU861" s="167"/>
      <c r="AV861" s="167"/>
      <c r="AW861" s="167"/>
      <c r="AX861" s="167"/>
      <c r="AY861" s="167"/>
      <c r="AZ861" s="167">
        <v>141304002</v>
      </c>
      <c r="BA861" s="167"/>
      <c r="BB861" s="167"/>
      <c r="BC861" s="167"/>
      <c r="BD861" s="167"/>
      <c r="BE861" s="167"/>
      <c r="BF861" s="167"/>
      <c r="BG861" s="167"/>
      <c r="BH861" s="167"/>
      <c r="BI861" s="167"/>
      <c r="BJ861" s="167"/>
      <c r="BK861" s="167"/>
      <c r="BL861" s="167"/>
      <c r="BM861" s="167"/>
      <c r="BN861" s="167"/>
      <c r="BO861" s="167"/>
      <c r="BP861" s="167"/>
      <c r="BQ861" s="167"/>
      <c r="BR861" s="167"/>
      <c r="BS861" s="167"/>
      <c r="BT861" s="167"/>
      <c r="BU861" s="167"/>
      <c r="BV861" s="167"/>
      <c r="BW861" s="167"/>
      <c r="BX861" s="167"/>
      <c r="BY861" s="175"/>
    </row>
    <row r="862" spans="1:77" s="14" customFormat="1" x14ac:dyDescent="0.15">
      <c r="A862" s="151">
        <v>1203001011</v>
      </c>
      <c r="B862" s="152" t="s">
        <v>676</v>
      </c>
      <c r="C862" s="153" t="s">
        <v>77</v>
      </c>
      <c r="D862" s="153"/>
      <c r="E862" s="153" t="s">
        <v>78</v>
      </c>
      <c r="F862" s="153"/>
      <c r="G862" s="153"/>
      <c r="H862" s="153"/>
      <c r="I862" s="153"/>
      <c r="J862" s="162"/>
      <c r="K862" s="162"/>
      <c r="L862" s="162"/>
      <c r="M862" s="162"/>
      <c r="N862" s="162"/>
      <c r="O862" s="153" t="s">
        <v>79</v>
      </c>
      <c r="P862" s="163" t="s">
        <v>80</v>
      </c>
      <c r="Q862" s="163"/>
      <c r="R862" s="163">
        <v>10000</v>
      </c>
      <c r="S862" s="163"/>
      <c r="T862" s="163">
        <v>10000</v>
      </c>
      <c r="U862" s="163"/>
      <c r="V862" s="163" t="s">
        <v>101</v>
      </c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  <c r="AG862" s="163"/>
      <c r="AH862" s="163"/>
      <c r="AI862" s="163"/>
      <c r="AJ862" s="163"/>
      <c r="AK862" s="163"/>
      <c r="AL862" s="163"/>
      <c r="AM862" s="163"/>
      <c r="AN862" s="163"/>
      <c r="AO862" s="163"/>
      <c r="AP862" s="163"/>
      <c r="AQ862" s="163"/>
      <c r="AR862" s="163"/>
      <c r="AS862" s="163"/>
      <c r="AT862" s="163"/>
      <c r="AU862" s="163"/>
      <c r="AV862" s="163"/>
      <c r="AW862" s="163"/>
      <c r="AX862" s="163"/>
      <c r="AY862" s="163"/>
      <c r="AZ862" s="163"/>
      <c r="BA862" s="163"/>
      <c r="BB862" s="163"/>
      <c r="BC862" s="163"/>
      <c r="BD862" s="163"/>
      <c r="BE862" s="163"/>
      <c r="BF862" s="163"/>
      <c r="BG862" s="163"/>
      <c r="BH862" s="163"/>
      <c r="BI862" s="163"/>
      <c r="BJ862" s="163"/>
      <c r="BK862" s="163"/>
      <c r="BL862" s="163"/>
      <c r="BM862" s="163"/>
      <c r="BN862" s="163"/>
      <c r="BO862" s="163"/>
      <c r="BP862" s="163"/>
      <c r="BQ862" s="163"/>
      <c r="BR862" s="163"/>
      <c r="BS862" s="163"/>
      <c r="BT862" s="163"/>
      <c r="BU862" s="163"/>
      <c r="BV862" s="163"/>
      <c r="BW862" s="163"/>
      <c r="BX862" s="163"/>
      <c r="BY862" s="171"/>
    </row>
    <row r="863" spans="1:77" s="14" customFormat="1" x14ac:dyDescent="0.15">
      <c r="A863" s="151">
        <v>1203001012</v>
      </c>
      <c r="B863" s="152" t="s">
        <v>677</v>
      </c>
      <c r="C863" s="153" t="s">
        <v>77</v>
      </c>
      <c r="D863" s="153"/>
      <c r="E863" s="153" t="s">
        <v>425</v>
      </c>
      <c r="F863" s="153">
        <v>40000</v>
      </c>
      <c r="G863" s="153">
        <v>1200</v>
      </c>
      <c r="H863" s="153"/>
      <c r="I863" s="153"/>
      <c r="J863" s="162"/>
      <c r="K863" s="162"/>
      <c r="L863" s="162"/>
      <c r="M863" s="162"/>
      <c r="N863" s="162"/>
      <c r="O863" s="153" t="s">
        <v>79</v>
      </c>
      <c r="P863" s="163" t="s">
        <v>80</v>
      </c>
      <c r="Q863" s="163"/>
      <c r="R863" s="163">
        <v>5000</v>
      </c>
      <c r="S863" s="163"/>
      <c r="T863" s="163"/>
      <c r="U863" s="163"/>
      <c r="V863" s="163" t="s">
        <v>101</v>
      </c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  <c r="AG863" s="163"/>
      <c r="AH863" s="163"/>
      <c r="AI863" s="163"/>
      <c r="AJ863" s="163"/>
      <c r="AK863" s="163"/>
      <c r="AL863" s="163"/>
      <c r="AM863" s="163"/>
      <c r="AN863" s="163"/>
      <c r="AO863" s="163"/>
      <c r="AP863" s="163"/>
      <c r="AQ863" s="163"/>
      <c r="AR863" s="163"/>
      <c r="AS863" s="163"/>
      <c r="AT863" s="163"/>
      <c r="AU863" s="163"/>
      <c r="AV863" s="163"/>
      <c r="AW863" s="163"/>
      <c r="AX863" s="163"/>
      <c r="AY863" s="163"/>
      <c r="AZ863" s="163"/>
      <c r="BA863" s="163"/>
      <c r="BB863" s="163"/>
      <c r="BC863" s="163"/>
      <c r="BD863" s="163"/>
      <c r="BE863" s="163"/>
      <c r="BF863" s="163"/>
      <c r="BG863" s="163"/>
      <c r="BH863" s="163"/>
      <c r="BI863" s="163"/>
      <c r="BJ863" s="163"/>
      <c r="BK863" s="163"/>
      <c r="BL863" s="163"/>
      <c r="BM863" s="163"/>
      <c r="BN863" s="163"/>
      <c r="BO863" s="163"/>
      <c r="BP863" s="163"/>
      <c r="BQ863" s="163"/>
      <c r="BR863" s="163"/>
      <c r="BS863" s="163"/>
      <c r="BT863" s="163"/>
      <c r="BU863" s="163"/>
      <c r="BV863" s="163"/>
      <c r="BW863" s="163"/>
      <c r="BX863" s="163"/>
      <c r="BY863" s="171"/>
    </row>
    <row r="864" spans="1:77" s="14" customFormat="1" x14ac:dyDescent="0.15">
      <c r="A864" s="151">
        <v>1203002011</v>
      </c>
      <c r="B864" s="152" t="s">
        <v>678</v>
      </c>
      <c r="C864" s="153" t="s">
        <v>77</v>
      </c>
      <c r="D864" s="153"/>
      <c r="E864" s="153" t="s">
        <v>78</v>
      </c>
      <c r="F864" s="153"/>
      <c r="G864" s="153"/>
      <c r="H864" s="153"/>
      <c r="I864" s="153"/>
      <c r="J864" s="162"/>
      <c r="K864" s="162"/>
      <c r="L864" s="162"/>
      <c r="M864" s="162"/>
      <c r="N864" s="162"/>
      <c r="O864" s="153" t="s">
        <v>79</v>
      </c>
      <c r="P864" s="163" t="s">
        <v>80</v>
      </c>
      <c r="Q864" s="163"/>
      <c r="R864" s="163">
        <v>10000</v>
      </c>
      <c r="S864" s="163"/>
      <c r="T864" s="163">
        <v>10000</v>
      </c>
      <c r="U864" s="163"/>
      <c r="V864" s="163" t="s">
        <v>101</v>
      </c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  <c r="AG864" s="163"/>
      <c r="AH864" s="163"/>
      <c r="AI864" s="163"/>
      <c r="AJ864" s="163"/>
      <c r="AK864" s="163"/>
      <c r="AL864" s="163"/>
      <c r="AM864" s="163"/>
      <c r="AN864" s="163"/>
      <c r="AO864" s="163"/>
      <c r="AP864" s="163"/>
      <c r="AQ864" s="163"/>
      <c r="AR864" s="163"/>
      <c r="AS864" s="163"/>
      <c r="AT864" s="163"/>
      <c r="AU864" s="163"/>
      <c r="AV864" s="163"/>
      <c r="AW864" s="163"/>
      <c r="AX864" s="163"/>
      <c r="AY864" s="163"/>
      <c r="AZ864" s="163"/>
      <c r="BA864" s="163"/>
      <c r="BB864" s="163"/>
      <c r="BC864" s="163"/>
      <c r="BD864" s="163"/>
      <c r="BE864" s="163"/>
      <c r="BF864" s="163"/>
      <c r="BG864" s="163"/>
      <c r="BH864" s="163"/>
      <c r="BI864" s="163"/>
      <c r="BJ864" s="163"/>
      <c r="BK864" s="163"/>
      <c r="BL864" s="163"/>
      <c r="BM864" s="163"/>
      <c r="BN864" s="163"/>
      <c r="BO864" s="163"/>
      <c r="BP864" s="163"/>
      <c r="BQ864" s="163"/>
      <c r="BR864" s="163"/>
      <c r="BS864" s="163"/>
      <c r="BT864" s="163"/>
      <c r="BU864" s="163"/>
      <c r="BV864" s="163"/>
      <c r="BW864" s="163"/>
      <c r="BX864" s="163"/>
      <c r="BY864" s="171"/>
    </row>
    <row r="865" spans="1:77" s="14" customFormat="1" x14ac:dyDescent="0.15">
      <c r="A865" s="151">
        <v>1203100011</v>
      </c>
      <c r="B865" s="152" t="s">
        <v>679</v>
      </c>
      <c r="C865" s="153" t="s">
        <v>89</v>
      </c>
      <c r="D865" s="153"/>
      <c r="E865" s="153" t="s">
        <v>78</v>
      </c>
      <c r="F865" s="153"/>
      <c r="G865" s="153"/>
      <c r="H865" s="153"/>
      <c r="I865" s="153"/>
      <c r="J865" s="162"/>
      <c r="K865" s="162"/>
      <c r="L865" s="162"/>
      <c r="M865" s="162"/>
      <c r="N865" s="162"/>
      <c r="O865" s="153" t="s">
        <v>516</v>
      </c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 t="s">
        <v>517</v>
      </c>
      <c r="AF865" s="163">
        <v>1203010</v>
      </c>
      <c r="AG865" s="163" t="s">
        <v>171</v>
      </c>
      <c r="AH865" s="163">
        <v>-1000</v>
      </c>
      <c r="AI865" s="163"/>
      <c r="AJ865" s="163"/>
      <c r="AK865" s="163"/>
      <c r="AL865" s="163"/>
      <c r="AM865" s="163"/>
      <c r="AN865" s="163"/>
      <c r="AO865" s="163"/>
      <c r="AP865" s="163"/>
      <c r="AQ865" s="163"/>
      <c r="AR865" s="163"/>
      <c r="AS865" s="163"/>
      <c r="AT865" s="163"/>
      <c r="AU865" s="163"/>
      <c r="AV865" s="163"/>
      <c r="AW865" s="163"/>
      <c r="AX865" s="163"/>
      <c r="AY865" s="163"/>
      <c r="AZ865" s="163"/>
      <c r="BA865" s="163"/>
      <c r="BB865" s="163"/>
      <c r="BC865" s="163"/>
      <c r="BD865" s="163"/>
      <c r="BE865" s="163"/>
      <c r="BF865" s="163"/>
      <c r="BG865" s="163"/>
      <c r="BH865" s="163"/>
      <c r="BI865" s="163"/>
      <c r="BJ865" s="163"/>
      <c r="BK865" s="163"/>
      <c r="BL865" s="163"/>
      <c r="BM865" s="163"/>
      <c r="BN865" s="163"/>
      <c r="BO865" s="163"/>
      <c r="BP865" s="163"/>
      <c r="BQ865" s="163"/>
      <c r="BR865" s="163"/>
      <c r="BS865" s="163"/>
      <c r="BT865" s="163"/>
      <c r="BU865" s="163"/>
      <c r="BV865" s="163"/>
      <c r="BW865" s="163"/>
      <c r="BX865" s="163"/>
      <c r="BY865" s="171"/>
    </row>
    <row r="866" spans="1:77" s="14" customFormat="1" x14ac:dyDescent="0.15">
      <c r="A866" s="151">
        <v>1203200011</v>
      </c>
      <c r="B866" s="152" t="s">
        <v>680</v>
      </c>
      <c r="C866" s="153" t="s">
        <v>89</v>
      </c>
      <c r="D866" s="153"/>
      <c r="E866" s="153" t="s">
        <v>78</v>
      </c>
      <c r="F866" s="153"/>
      <c r="G866" s="153"/>
      <c r="H866" s="153"/>
      <c r="I866" s="153"/>
      <c r="J866" s="162"/>
      <c r="K866" s="162"/>
      <c r="L866" s="162"/>
      <c r="M866" s="162"/>
      <c r="N866" s="162"/>
      <c r="O866" s="153" t="s">
        <v>98</v>
      </c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163">
        <v>120320001</v>
      </c>
      <c r="AF866" s="163"/>
      <c r="AG866" s="163"/>
      <c r="AH866" s="163"/>
      <c r="AI866" s="163"/>
      <c r="AJ866" s="163"/>
      <c r="AK866" s="163"/>
      <c r="AL866" s="163"/>
      <c r="AM866" s="163"/>
      <c r="AN866" s="163"/>
      <c r="AO866" s="163"/>
      <c r="AP866" s="163"/>
      <c r="AQ866" s="163"/>
      <c r="AR866" s="163"/>
      <c r="AS866" s="163"/>
      <c r="AT866" s="163"/>
      <c r="AU866" s="163"/>
      <c r="AV866" s="163"/>
      <c r="AW866" s="163"/>
      <c r="AX866" s="163"/>
      <c r="AY866" s="163"/>
      <c r="AZ866" s="163"/>
      <c r="BA866" s="163"/>
      <c r="BB866" s="163"/>
      <c r="BC866" s="163"/>
      <c r="BD866" s="163"/>
      <c r="BE866" s="163"/>
      <c r="BF866" s="163"/>
      <c r="BG866" s="163"/>
      <c r="BH866" s="163"/>
      <c r="BI866" s="163"/>
      <c r="BJ866" s="163"/>
      <c r="BK866" s="163"/>
      <c r="BL866" s="163"/>
      <c r="BM866" s="163"/>
      <c r="BN866" s="163"/>
      <c r="BO866" s="163"/>
      <c r="BP866" s="163"/>
      <c r="BQ866" s="163"/>
      <c r="BR866" s="163"/>
      <c r="BS866" s="163"/>
      <c r="BT866" s="163"/>
      <c r="BU866" s="163"/>
      <c r="BV866" s="163"/>
      <c r="BW866" s="163"/>
      <c r="BX866" s="163"/>
      <c r="BY866" s="171"/>
    </row>
    <row r="867" spans="1:77" s="14" customFormat="1" x14ac:dyDescent="0.15">
      <c r="A867" s="151">
        <v>1203200021</v>
      </c>
      <c r="B867" s="152" t="s">
        <v>680</v>
      </c>
      <c r="C867" s="153" t="s">
        <v>89</v>
      </c>
      <c r="D867" s="153"/>
      <c r="E867" s="153" t="s">
        <v>78</v>
      </c>
      <c r="F867" s="153"/>
      <c r="G867" s="153"/>
      <c r="H867" s="153"/>
      <c r="I867" s="153"/>
      <c r="J867" s="162"/>
      <c r="K867" s="162"/>
      <c r="L867" s="162"/>
      <c r="M867" s="162"/>
      <c r="N867" s="162"/>
      <c r="O867" s="153" t="s">
        <v>98</v>
      </c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163">
        <v>120320002</v>
      </c>
      <c r="AF867" s="163"/>
      <c r="AG867" s="163"/>
      <c r="AH867" s="163"/>
      <c r="AI867" s="163"/>
      <c r="AJ867" s="163"/>
      <c r="AK867" s="163"/>
      <c r="AL867" s="163"/>
      <c r="AM867" s="163"/>
      <c r="AN867" s="163"/>
      <c r="AO867" s="163"/>
      <c r="AP867" s="163"/>
      <c r="AQ867" s="163"/>
      <c r="AR867" s="163"/>
      <c r="AS867" s="163"/>
      <c r="AT867" s="163"/>
      <c r="AU867" s="163"/>
      <c r="AV867" s="163"/>
      <c r="AW867" s="163"/>
      <c r="AX867" s="163"/>
      <c r="AY867" s="163"/>
      <c r="AZ867" s="163"/>
      <c r="BA867" s="163"/>
      <c r="BB867" s="163"/>
      <c r="BC867" s="163"/>
      <c r="BD867" s="163"/>
      <c r="BE867" s="163"/>
      <c r="BF867" s="163"/>
      <c r="BG867" s="163"/>
      <c r="BH867" s="163"/>
      <c r="BI867" s="163"/>
      <c r="BJ867" s="163"/>
      <c r="BK867" s="163"/>
      <c r="BL867" s="163"/>
      <c r="BM867" s="163"/>
      <c r="BN867" s="163"/>
      <c r="BO867" s="163"/>
      <c r="BP867" s="163"/>
      <c r="BQ867" s="163"/>
      <c r="BR867" s="163"/>
      <c r="BS867" s="163"/>
      <c r="BT867" s="163"/>
      <c r="BU867" s="163"/>
      <c r="BV867" s="163"/>
      <c r="BW867" s="163"/>
      <c r="BX867" s="163"/>
      <c r="BY867" s="171"/>
    </row>
    <row r="868" spans="1:77" s="14" customFormat="1" x14ac:dyDescent="0.15">
      <c r="A868" s="151">
        <v>1203200031</v>
      </c>
      <c r="B868" s="152" t="s">
        <v>680</v>
      </c>
      <c r="C868" s="153" t="s">
        <v>89</v>
      </c>
      <c r="D868" s="153"/>
      <c r="E868" s="153" t="s">
        <v>78</v>
      </c>
      <c r="F868" s="153"/>
      <c r="G868" s="153"/>
      <c r="H868" s="153"/>
      <c r="I868" s="153"/>
      <c r="J868" s="162"/>
      <c r="K868" s="162"/>
      <c r="L868" s="162"/>
      <c r="M868" s="162"/>
      <c r="N868" s="162"/>
      <c r="O868" s="153" t="s">
        <v>98</v>
      </c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>
        <v>120320003</v>
      </c>
      <c r="AF868" s="163"/>
      <c r="AG868" s="163"/>
      <c r="AH868" s="163"/>
      <c r="AI868" s="163"/>
      <c r="AJ868" s="163"/>
      <c r="AK868" s="163"/>
      <c r="AL868" s="163"/>
      <c r="AM868" s="163"/>
      <c r="AN868" s="163"/>
      <c r="AO868" s="163"/>
      <c r="AP868" s="163"/>
      <c r="AQ868" s="163"/>
      <c r="AR868" s="163"/>
      <c r="AS868" s="163"/>
      <c r="AT868" s="163"/>
      <c r="AU868" s="163"/>
      <c r="AV868" s="163"/>
      <c r="AW868" s="163"/>
      <c r="AX868" s="163"/>
      <c r="AY868" s="163"/>
      <c r="AZ868" s="163"/>
      <c r="BA868" s="163"/>
      <c r="BB868" s="163"/>
      <c r="BC868" s="163"/>
      <c r="BD868" s="163"/>
      <c r="BE868" s="163"/>
      <c r="BF868" s="163"/>
      <c r="BG868" s="163"/>
      <c r="BH868" s="163"/>
      <c r="BI868" s="163"/>
      <c r="BJ868" s="163"/>
      <c r="BK868" s="163"/>
      <c r="BL868" s="163"/>
      <c r="BM868" s="163"/>
      <c r="BN868" s="163"/>
      <c r="BO868" s="163"/>
      <c r="BP868" s="163"/>
      <c r="BQ868" s="163"/>
      <c r="BR868" s="163"/>
      <c r="BS868" s="163"/>
      <c r="BT868" s="163"/>
      <c r="BU868" s="163"/>
      <c r="BV868" s="163"/>
      <c r="BW868" s="163"/>
      <c r="BX868" s="163"/>
      <c r="BY868" s="171"/>
    </row>
    <row r="869" spans="1:77" s="14" customFormat="1" x14ac:dyDescent="0.15">
      <c r="A869" s="151">
        <v>1203010011</v>
      </c>
      <c r="B869" s="152" t="s">
        <v>681</v>
      </c>
      <c r="C869" s="153" t="s">
        <v>100</v>
      </c>
      <c r="D869" s="153"/>
      <c r="E869" s="153" t="s">
        <v>425</v>
      </c>
      <c r="F869" s="153">
        <v>120000</v>
      </c>
      <c r="G869" s="153">
        <v>1800</v>
      </c>
      <c r="H869" s="153"/>
      <c r="I869" s="153"/>
      <c r="J869" s="162"/>
      <c r="K869" s="162"/>
      <c r="L869" s="162"/>
      <c r="M869" s="162" t="s">
        <v>101</v>
      </c>
      <c r="N869" s="162" t="s">
        <v>845</v>
      </c>
      <c r="O869" s="153" t="s">
        <v>79</v>
      </c>
      <c r="P869" s="163" t="s">
        <v>80</v>
      </c>
      <c r="Q869" s="163">
        <v>220</v>
      </c>
      <c r="R869" s="163">
        <v>4000</v>
      </c>
      <c r="S869" s="163"/>
      <c r="T869" s="163"/>
      <c r="U869" s="163"/>
      <c r="V869" s="163"/>
      <c r="W869" s="163" t="s">
        <v>168</v>
      </c>
      <c r="X869" s="163" t="s">
        <v>325</v>
      </c>
      <c r="Y869" s="163" t="s">
        <v>326</v>
      </c>
      <c r="Z869" s="163" t="s">
        <v>308</v>
      </c>
      <c r="AA869" s="163">
        <v>500</v>
      </c>
      <c r="AB869" s="163">
        <v>200</v>
      </c>
      <c r="AC869" s="163"/>
      <c r="AD869" s="163"/>
      <c r="AE869" s="163"/>
      <c r="AF869" s="163"/>
      <c r="AG869" s="163"/>
      <c r="AH869" s="163"/>
      <c r="AI869" s="163"/>
      <c r="AJ869" s="163"/>
      <c r="AK869" s="163"/>
      <c r="AL869" s="163"/>
      <c r="AM869" s="163"/>
      <c r="AN869" s="163"/>
      <c r="AO869" s="163"/>
      <c r="AP869" s="163"/>
      <c r="AQ869" s="163"/>
      <c r="AR869" s="163"/>
      <c r="AS869" s="163"/>
      <c r="AT869" s="163"/>
      <c r="AU869" s="163"/>
      <c r="AV869" s="163"/>
      <c r="AW869" s="163"/>
      <c r="AX869" s="163"/>
      <c r="AY869" s="163"/>
      <c r="AZ869" s="163"/>
      <c r="BA869" s="163"/>
      <c r="BB869" s="163"/>
      <c r="BC869" s="163"/>
      <c r="BD869" s="163"/>
      <c r="BE869" s="163"/>
      <c r="BF869" s="163"/>
      <c r="BG869" s="163"/>
      <c r="BH869" s="163"/>
      <c r="BI869" s="163"/>
      <c r="BJ869" s="163"/>
      <c r="BK869" s="163"/>
      <c r="BL869" s="163"/>
      <c r="BM869" s="163"/>
      <c r="BN869" s="163"/>
      <c r="BO869" s="163"/>
      <c r="BP869" s="163"/>
      <c r="BQ869" s="163"/>
      <c r="BR869" s="163"/>
      <c r="BS869" s="163"/>
      <c r="BT869" s="163"/>
      <c r="BU869" s="163"/>
      <c r="BV869" s="163"/>
      <c r="BW869" s="163"/>
      <c r="BX869" s="163"/>
      <c r="BY869" s="171"/>
    </row>
    <row r="870" spans="1:77" s="14" customFormat="1" x14ac:dyDescent="0.15">
      <c r="A870" s="151">
        <v>1203010021</v>
      </c>
      <c r="B870" s="152" t="s">
        <v>681</v>
      </c>
      <c r="C870" s="153" t="s">
        <v>100</v>
      </c>
      <c r="D870" s="153"/>
      <c r="E870" s="153" t="s">
        <v>425</v>
      </c>
      <c r="F870" s="153">
        <v>120000</v>
      </c>
      <c r="G870" s="153">
        <v>1800</v>
      </c>
      <c r="H870" s="153"/>
      <c r="I870" s="153"/>
      <c r="J870" s="162"/>
      <c r="K870" s="162"/>
      <c r="L870" s="162"/>
      <c r="M870" s="162" t="s">
        <v>101</v>
      </c>
      <c r="N870" s="162" t="s">
        <v>845</v>
      </c>
      <c r="O870" s="153" t="s">
        <v>79</v>
      </c>
      <c r="P870" s="163" t="s">
        <v>80</v>
      </c>
      <c r="Q870" s="163">
        <v>300</v>
      </c>
      <c r="R870" s="163">
        <v>4000</v>
      </c>
      <c r="S870" s="163"/>
      <c r="T870" s="163"/>
      <c r="U870" s="163"/>
      <c r="V870" s="163"/>
      <c r="W870" s="163" t="s">
        <v>168</v>
      </c>
      <c r="X870" s="163" t="s">
        <v>325</v>
      </c>
      <c r="Y870" s="163" t="s">
        <v>326</v>
      </c>
      <c r="Z870" s="163" t="s">
        <v>308</v>
      </c>
      <c r="AA870" s="163">
        <v>500</v>
      </c>
      <c r="AB870" s="163">
        <v>275</v>
      </c>
      <c r="AC870" s="163"/>
      <c r="AD870" s="163"/>
      <c r="AE870" s="163"/>
      <c r="AF870" s="163"/>
      <c r="AG870" s="163"/>
      <c r="AH870" s="163"/>
      <c r="AI870" s="163"/>
      <c r="AJ870" s="163"/>
      <c r="AK870" s="163"/>
      <c r="AL870" s="163"/>
      <c r="AM870" s="163"/>
      <c r="AN870" s="163"/>
      <c r="AO870" s="163"/>
      <c r="AP870" s="163"/>
      <c r="AQ870" s="163"/>
      <c r="AR870" s="163"/>
      <c r="AS870" s="163"/>
      <c r="AT870" s="163"/>
      <c r="AU870" s="163"/>
      <c r="AV870" s="163"/>
      <c r="AW870" s="163"/>
      <c r="AX870" s="163"/>
      <c r="AY870" s="163"/>
      <c r="AZ870" s="163"/>
      <c r="BA870" s="163"/>
      <c r="BB870" s="163"/>
      <c r="BC870" s="163"/>
      <c r="BD870" s="163"/>
      <c r="BE870" s="163"/>
      <c r="BF870" s="163"/>
      <c r="BG870" s="163"/>
      <c r="BH870" s="163"/>
      <c r="BI870" s="163"/>
      <c r="BJ870" s="163"/>
      <c r="BK870" s="163"/>
      <c r="BL870" s="163"/>
      <c r="BM870" s="163"/>
      <c r="BN870" s="163"/>
      <c r="BO870" s="163"/>
      <c r="BP870" s="163"/>
      <c r="BQ870" s="163"/>
      <c r="BR870" s="163"/>
      <c r="BS870" s="163"/>
      <c r="BT870" s="163"/>
      <c r="BU870" s="163"/>
      <c r="BV870" s="163"/>
      <c r="BW870" s="163"/>
      <c r="BX870" s="163"/>
      <c r="BY870" s="171"/>
    </row>
    <row r="871" spans="1:77" s="14" customFormat="1" x14ac:dyDescent="0.15">
      <c r="A871" s="151">
        <v>1203010031</v>
      </c>
      <c r="B871" s="152" t="s">
        <v>681</v>
      </c>
      <c r="C871" s="153" t="s">
        <v>100</v>
      </c>
      <c r="D871" s="153"/>
      <c r="E871" s="153" t="s">
        <v>425</v>
      </c>
      <c r="F871" s="153">
        <v>120000</v>
      </c>
      <c r="G871" s="153">
        <v>1800</v>
      </c>
      <c r="H871" s="153"/>
      <c r="I871" s="153"/>
      <c r="J871" s="162"/>
      <c r="K871" s="162"/>
      <c r="L871" s="162"/>
      <c r="M871" s="162" t="s">
        <v>101</v>
      </c>
      <c r="N871" s="162" t="s">
        <v>845</v>
      </c>
      <c r="O871" s="153" t="s">
        <v>79</v>
      </c>
      <c r="P871" s="163" t="s">
        <v>80</v>
      </c>
      <c r="Q871" s="163">
        <v>380</v>
      </c>
      <c r="R871" s="163">
        <v>4000</v>
      </c>
      <c r="S871" s="163"/>
      <c r="T871" s="163"/>
      <c r="U871" s="163"/>
      <c r="V871" s="163"/>
      <c r="W871" s="163" t="s">
        <v>168</v>
      </c>
      <c r="X871" s="163" t="s">
        <v>325</v>
      </c>
      <c r="Y871" s="163" t="s">
        <v>326</v>
      </c>
      <c r="Z871" s="163" t="s">
        <v>308</v>
      </c>
      <c r="AA871" s="163">
        <v>500</v>
      </c>
      <c r="AB871" s="163">
        <v>350</v>
      </c>
      <c r="AC871" s="163"/>
      <c r="AD871" s="163"/>
      <c r="AE871" s="163"/>
      <c r="AF871" s="163"/>
      <c r="AG871" s="163"/>
      <c r="AH871" s="163"/>
      <c r="AI871" s="163"/>
      <c r="AJ871" s="163"/>
      <c r="AK871" s="163"/>
      <c r="AL871" s="163"/>
      <c r="AM871" s="163"/>
      <c r="AN871" s="163"/>
      <c r="AO871" s="163"/>
      <c r="AP871" s="163"/>
      <c r="AQ871" s="163"/>
      <c r="AR871" s="163"/>
      <c r="AS871" s="163"/>
      <c r="AT871" s="163"/>
      <c r="AU871" s="163"/>
      <c r="AV871" s="163"/>
      <c r="AW871" s="163"/>
      <c r="AX871" s="163"/>
      <c r="AY871" s="163"/>
      <c r="AZ871" s="163"/>
      <c r="BA871" s="163"/>
      <c r="BB871" s="163"/>
      <c r="BC871" s="163"/>
      <c r="BD871" s="163"/>
      <c r="BE871" s="163"/>
      <c r="BF871" s="163"/>
      <c r="BG871" s="163"/>
      <c r="BH871" s="163"/>
      <c r="BI871" s="163"/>
      <c r="BJ871" s="163"/>
      <c r="BK871" s="163"/>
      <c r="BL871" s="163"/>
      <c r="BM871" s="163"/>
      <c r="BN871" s="163"/>
      <c r="BO871" s="163"/>
      <c r="BP871" s="163"/>
      <c r="BQ871" s="163"/>
      <c r="BR871" s="163"/>
      <c r="BS871" s="163"/>
      <c r="BT871" s="163"/>
      <c r="BU871" s="163"/>
      <c r="BV871" s="163"/>
      <c r="BW871" s="163"/>
      <c r="BX871" s="163"/>
      <c r="BY871" s="171"/>
    </row>
    <row r="872" spans="1:77" s="14" customFormat="1" x14ac:dyDescent="0.15">
      <c r="A872" s="151">
        <v>1203010041</v>
      </c>
      <c r="B872" s="152" t="s">
        <v>681</v>
      </c>
      <c r="C872" s="153" t="s">
        <v>100</v>
      </c>
      <c r="D872" s="153"/>
      <c r="E872" s="153" t="s">
        <v>425</v>
      </c>
      <c r="F872" s="153">
        <v>120000</v>
      </c>
      <c r="G872" s="153">
        <v>1800</v>
      </c>
      <c r="H872" s="153"/>
      <c r="I872" s="153"/>
      <c r="J872" s="162"/>
      <c r="K872" s="162"/>
      <c r="L872" s="162"/>
      <c r="M872" s="162" t="s">
        <v>101</v>
      </c>
      <c r="N872" s="162" t="s">
        <v>845</v>
      </c>
      <c r="O872" s="153" t="s">
        <v>79</v>
      </c>
      <c r="P872" s="163" t="s">
        <v>80</v>
      </c>
      <c r="Q872" s="163">
        <v>460</v>
      </c>
      <c r="R872" s="163">
        <v>4000</v>
      </c>
      <c r="S872" s="163"/>
      <c r="T872" s="163"/>
      <c r="U872" s="163"/>
      <c r="V872" s="163"/>
      <c r="W872" s="163" t="s">
        <v>168</v>
      </c>
      <c r="X872" s="163" t="s">
        <v>325</v>
      </c>
      <c r="Y872" s="163" t="s">
        <v>326</v>
      </c>
      <c r="Z872" s="163" t="s">
        <v>308</v>
      </c>
      <c r="AA872" s="163">
        <v>500</v>
      </c>
      <c r="AB872" s="163">
        <v>425</v>
      </c>
      <c r="AC872" s="163"/>
      <c r="AD872" s="163"/>
      <c r="AE872" s="163"/>
      <c r="AF872" s="163"/>
      <c r="AG872" s="163"/>
      <c r="AH872" s="163"/>
      <c r="AI872" s="163"/>
      <c r="AJ872" s="163"/>
      <c r="AK872" s="163"/>
      <c r="AL872" s="163"/>
      <c r="AM872" s="163"/>
      <c r="AN872" s="163"/>
      <c r="AO872" s="163"/>
      <c r="AP872" s="163"/>
      <c r="AQ872" s="163"/>
      <c r="AR872" s="163"/>
      <c r="AS872" s="163"/>
      <c r="AT872" s="163"/>
      <c r="AU872" s="163"/>
      <c r="AV872" s="163"/>
      <c r="AW872" s="163"/>
      <c r="AX872" s="163"/>
      <c r="AY872" s="163"/>
      <c r="AZ872" s="163"/>
      <c r="BA872" s="163"/>
      <c r="BB872" s="163"/>
      <c r="BC872" s="163"/>
      <c r="BD872" s="163"/>
      <c r="BE872" s="163"/>
      <c r="BF872" s="163"/>
      <c r="BG872" s="163"/>
      <c r="BH872" s="163"/>
      <c r="BI872" s="163"/>
      <c r="BJ872" s="163"/>
      <c r="BK872" s="163"/>
      <c r="BL872" s="163"/>
      <c r="BM872" s="163"/>
      <c r="BN872" s="163"/>
      <c r="BO872" s="163"/>
      <c r="BP872" s="163"/>
      <c r="BQ872" s="163"/>
      <c r="BR872" s="163"/>
      <c r="BS872" s="163"/>
      <c r="BT872" s="163"/>
      <c r="BU872" s="163"/>
      <c r="BV872" s="163"/>
      <c r="BW872" s="163"/>
      <c r="BX872" s="163"/>
      <c r="BY872" s="171"/>
    </row>
    <row r="873" spans="1:77" s="14" customFormat="1" x14ac:dyDescent="0.15">
      <c r="A873" s="151">
        <v>1203010012</v>
      </c>
      <c r="B873" s="152" t="s">
        <v>682</v>
      </c>
      <c r="C873" s="153" t="s">
        <v>77</v>
      </c>
      <c r="D873" s="153"/>
      <c r="E873" s="153" t="s">
        <v>78</v>
      </c>
      <c r="F873" s="153"/>
      <c r="G873" s="153"/>
      <c r="H873" s="153"/>
      <c r="I873" s="153"/>
      <c r="J873" s="162"/>
      <c r="K873" s="162"/>
      <c r="L873" s="162"/>
      <c r="M873" s="162"/>
      <c r="N873" s="162"/>
      <c r="O873" s="153" t="s">
        <v>95</v>
      </c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163">
        <v>20000837</v>
      </c>
      <c r="AF873" s="163" t="s">
        <v>96</v>
      </c>
      <c r="AG873" s="163"/>
      <c r="AH873" s="163">
        <v>1</v>
      </c>
      <c r="AI873" s="163"/>
      <c r="AJ873" s="163"/>
      <c r="AK873" s="163"/>
      <c r="AL873" s="163"/>
      <c r="AM873" s="163"/>
      <c r="AN873" s="163"/>
      <c r="AO873" s="163"/>
      <c r="AP873" s="163"/>
      <c r="AQ873" s="163"/>
      <c r="AR873" s="163"/>
      <c r="AS873" s="163"/>
      <c r="AT873" s="163"/>
      <c r="AU873" s="163"/>
      <c r="AV873" s="163"/>
      <c r="AW873" s="163"/>
      <c r="AX873" s="163"/>
      <c r="AY873" s="163"/>
      <c r="AZ873" s="163"/>
      <c r="BA873" s="163"/>
      <c r="BB873" s="163"/>
      <c r="BC873" s="163"/>
      <c r="BD873" s="163"/>
      <c r="BE873" s="163"/>
      <c r="BF873" s="163"/>
      <c r="BG873" s="163"/>
      <c r="BH873" s="163"/>
      <c r="BI873" s="163"/>
      <c r="BJ873" s="163"/>
      <c r="BK873" s="163"/>
      <c r="BL873" s="163"/>
      <c r="BM873" s="163"/>
      <c r="BN873" s="163"/>
      <c r="BO873" s="163"/>
      <c r="BP873" s="163"/>
      <c r="BQ873" s="163"/>
      <c r="BR873" s="163"/>
      <c r="BS873" s="163"/>
      <c r="BT873" s="163"/>
      <c r="BU873" s="163"/>
      <c r="BV873" s="163"/>
      <c r="BW873" s="163"/>
      <c r="BX873" s="163"/>
      <c r="BY873" s="171"/>
    </row>
    <row r="874" spans="1:77" s="14" customFormat="1" x14ac:dyDescent="0.15">
      <c r="A874" s="151">
        <v>1203010022</v>
      </c>
      <c r="B874" s="152" t="s">
        <v>682</v>
      </c>
      <c r="C874" s="153" t="s">
        <v>77</v>
      </c>
      <c r="D874" s="153"/>
      <c r="E874" s="153" t="s">
        <v>78</v>
      </c>
      <c r="F874" s="153"/>
      <c r="G874" s="153"/>
      <c r="H874" s="153"/>
      <c r="I874" s="153"/>
      <c r="J874" s="162"/>
      <c r="K874" s="162"/>
      <c r="L874" s="162"/>
      <c r="M874" s="162"/>
      <c r="N874" s="162"/>
      <c r="O874" s="153" t="s">
        <v>95</v>
      </c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>
        <v>20000837</v>
      </c>
      <c r="AF874" s="163" t="s">
        <v>96</v>
      </c>
      <c r="AG874" s="163"/>
      <c r="AH874" s="163">
        <v>1</v>
      </c>
      <c r="AI874" s="163"/>
      <c r="AJ874" s="163"/>
      <c r="AK874" s="163"/>
      <c r="AL874" s="163"/>
      <c r="AM874" s="163"/>
      <c r="AN874" s="163"/>
      <c r="AO874" s="163"/>
      <c r="AP874" s="163"/>
      <c r="AQ874" s="163"/>
      <c r="AR874" s="163"/>
      <c r="AS874" s="163"/>
      <c r="AT874" s="163"/>
      <c r="AU874" s="163"/>
      <c r="AV874" s="163"/>
      <c r="AW874" s="163"/>
      <c r="AX874" s="163"/>
      <c r="AY874" s="163"/>
      <c r="AZ874" s="163"/>
      <c r="BA874" s="163"/>
      <c r="BB874" s="163"/>
      <c r="BC874" s="163"/>
      <c r="BD874" s="163"/>
      <c r="BE874" s="163"/>
      <c r="BF874" s="163"/>
      <c r="BG874" s="163"/>
      <c r="BH874" s="163"/>
      <c r="BI874" s="163"/>
      <c r="BJ874" s="163"/>
      <c r="BK874" s="163"/>
      <c r="BL874" s="163"/>
      <c r="BM874" s="163"/>
      <c r="BN874" s="163"/>
      <c r="BO874" s="163"/>
      <c r="BP874" s="163"/>
      <c r="BQ874" s="163"/>
      <c r="BR874" s="163"/>
      <c r="BS874" s="163"/>
      <c r="BT874" s="163"/>
      <c r="BU874" s="163"/>
      <c r="BV874" s="163"/>
      <c r="BW874" s="163"/>
      <c r="BX874" s="163"/>
      <c r="BY874" s="171"/>
    </row>
    <row r="875" spans="1:77" s="14" customFormat="1" x14ac:dyDescent="0.15">
      <c r="A875" s="151">
        <v>1203010032</v>
      </c>
      <c r="B875" s="152" t="s">
        <v>682</v>
      </c>
      <c r="C875" s="153" t="s">
        <v>77</v>
      </c>
      <c r="D875" s="153"/>
      <c r="E875" s="153" t="s">
        <v>78</v>
      </c>
      <c r="F875" s="153"/>
      <c r="G875" s="153"/>
      <c r="H875" s="153"/>
      <c r="I875" s="153"/>
      <c r="J875" s="162"/>
      <c r="K875" s="162"/>
      <c r="L875" s="162"/>
      <c r="M875" s="162"/>
      <c r="N875" s="162"/>
      <c r="O875" s="153" t="s">
        <v>95</v>
      </c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163">
        <v>20000837</v>
      </c>
      <c r="AF875" s="163" t="s">
        <v>96</v>
      </c>
      <c r="AG875" s="163"/>
      <c r="AH875" s="163">
        <v>1</v>
      </c>
      <c r="AI875" s="163"/>
      <c r="AJ875" s="163"/>
      <c r="AK875" s="163"/>
      <c r="AL875" s="163"/>
      <c r="AM875" s="163"/>
      <c r="AN875" s="163"/>
      <c r="AO875" s="163"/>
      <c r="AP875" s="163"/>
      <c r="AQ875" s="163"/>
      <c r="AR875" s="163"/>
      <c r="AS875" s="163"/>
      <c r="AT875" s="163"/>
      <c r="AU875" s="163"/>
      <c r="AV875" s="163"/>
      <c r="AW875" s="163"/>
      <c r="AX875" s="163"/>
      <c r="AY875" s="163"/>
      <c r="AZ875" s="163"/>
      <c r="BA875" s="163"/>
      <c r="BB875" s="163"/>
      <c r="BC875" s="163"/>
      <c r="BD875" s="163"/>
      <c r="BE875" s="163"/>
      <c r="BF875" s="163"/>
      <c r="BG875" s="163"/>
      <c r="BH875" s="163"/>
      <c r="BI875" s="163"/>
      <c r="BJ875" s="163"/>
      <c r="BK875" s="163"/>
      <c r="BL875" s="163"/>
      <c r="BM875" s="163"/>
      <c r="BN875" s="163"/>
      <c r="BO875" s="163"/>
      <c r="BP875" s="163"/>
      <c r="BQ875" s="163"/>
      <c r="BR875" s="163"/>
      <c r="BS875" s="163"/>
      <c r="BT875" s="163"/>
      <c r="BU875" s="163"/>
      <c r="BV875" s="163"/>
      <c r="BW875" s="163"/>
      <c r="BX875" s="163"/>
      <c r="BY875" s="171"/>
    </row>
    <row r="876" spans="1:77" s="14" customFormat="1" x14ac:dyDescent="0.15">
      <c r="A876" s="151">
        <v>1203010042</v>
      </c>
      <c r="B876" s="152" t="s">
        <v>682</v>
      </c>
      <c r="C876" s="153" t="s">
        <v>77</v>
      </c>
      <c r="D876" s="153"/>
      <c r="E876" s="153" t="s">
        <v>78</v>
      </c>
      <c r="F876" s="153"/>
      <c r="G876" s="153"/>
      <c r="H876" s="153"/>
      <c r="I876" s="153"/>
      <c r="J876" s="162"/>
      <c r="K876" s="162"/>
      <c r="L876" s="162"/>
      <c r="M876" s="162"/>
      <c r="N876" s="162"/>
      <c r="O876" s="153" t="s">
        <v>95</v>
      </c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163">
        <v>20000837</v>
      </c>
      <c r="AF876" s="163" t="s">
        <v>96</v>
      </c>
      <c r="AG876" s="163"/>
      <c r="AH876" s="163">
        <v>1</v>
      </c>
      <c r="AI876" s="163"/>
      <c r="AJ876" s="163"/>
      <c r="AK876" s="163"/>
      <c r="AL876" s="163"/>
      <c r="AM876" s="163"/>
      <c r="AN876" s="163"/>
      <c r="AO876" s="163"/>
      <c r="AP876" s="163"/>
      <c r="AQ876" s="163"/>
      <c r="AR876" s="163"/>
      <c r="AS876" s="163"/>
      <c r="AT876" s="163"/>
      <c r="AU876" s="163"/>
      <c r="AV876" s="163"/>
      <c r="AW876" s="163"/>
      <c r="AX876" s="163"/>
      <c r="AY876" s="163"/>
      <c r="AZ876" s="163"/>
      <c r="BA876" s="163"/>
      <c r="BB876" s="163"/>
      <c r="BC876" s="163"/>
      <c r="BD876" s="163"/>
      <c r="BE876" s="163"/>
      <c r="BF876" s="163"/>
      <c r="BG876" s="163"/>
      <c r="BH876" s="163"/>
      <c r="BI876" s="163"/>
      <c r="BJ876" s="163"/>
      <c r="BK876" s="163"/>
      <c r="BL876" s="163"/>
      <c r="BM876" s="163"/>
      <c r="BN876" s="163"/>
      <c r="BO876" s="163"/>
      <c r="BP876" s="163"/>
      <c r="BQ876" s="163"/>
      <c r="BR876" s="163"/>
      <c r="BS876" s="163"/>
      <c r="BT876" s="163"/>
      <c r="BU876" s="163"/>
      <c r="BV876" s="163"/>
      <c r="BW876" s="163"/>
      <c r="BX876" s="163"/>
      <c r="BY876" s="171"/>
    </row>
    <row r="877" spans="1:77" s="14" customFormat="1" x14ac:dyDescent="0.15">
      <c r="A877" s="151">
        <v>1203010013</v>
      </c>
      <c r="B877" s="152" t="s">
        <v>683</v>
      </c>
      <c r="C877" s="153" t="s">
        <v>89</v>
      </c>
      <c r="D877" s="153"/>
      <c r="E877" s="153" t="s">
        <v>78</v>
      </c>
      <c r="F877" s="153"/>
      <c r="G877" s="153"/>
      <c r="H877" s="153"/>
      <c r="I877" s="153"/>
      <c r="J877" s="162"/>
      <c r="K877" s="162"/>
      <c r="L877" s="162"/>
      <c r="M877" s="162"/>
      <c r="N877" s="162"/>
      <c r="O877" s="153" t="s">
        <v>306</v>
      </c>
      <c r="P877" s="163"/>
      <c r="Q877" s="163">
        <v>200</v>
      </c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  <c r="AF877" s="163"/>
      <c r="AG877" s="163"/>
      <c r="AH877" s="163"/>
      <c r="AI877" s="163"/>
      <c r="AJ877" s="163"/>
      <c r="AK877" s="163"/>
      <c r="AL877" s="163"/>
      <c r="AM877" s="163"/>
      <c r="AN877" s="163"/>
      <c r="AO877" s="163"/>
      <c r="AP877" s="163"/>
      <c r="AQ877" s="163"/>
      <c r="AR877" s="163"/>
      <c r="AS877" s="163"/>
      <c r="AT877" s="163"/>
      <c r="AU877" s="163"/>
      <c r="AV877" s="163"/>
      <c r="AW877" s="163"/>
      <c r="AX877" s="163"/>
      <c r="AY877" s="163"/>
      <c r="AZ877" s="163"/>
      <c r="BA877" s="163"/>
      <c r="BB877" s="163"/>
      <c r="BC877" s="163"/>
      <c r="BD877" s="163"/>
      <c r="BE877" s="163"/>
      <c r="BF877" s="163"/>
      <c r="BG877" s="163"/>
      <c r="BH877" s="163"/>
      <c r="BI877" s="163"/>
      <c r="BJ877" s="163"/>
      <c r="BK877" s="163"/>
      <c r="BL877" s="163"/>
      <c r="BM877" s="163"/>
      <c r="BN877" s="163"/>
      <c r="BO877" s="163"/>
      <c r="BP877" s="163"/>
      <c r="BQ877" s="163"/>
      <c r="BR877" s="163"/>
      <c r="BS877" s="163"/>
      <c r="BT877" s="163"/>
      <c r="BU877" s="163"/>
      <c r="BV877" s="163"/>
      <c r="BW877" s="163"/>
      <c r="BX877" s="163"/>
      <c r="BY877" s="171"/>
    </row>
    <row r="878" spans="1:77" s="14" customFormat="1" x14ac:dyDescent="0.15">
      <c r="A878" s="151">
        <v>1203010023</v>
      </c>
      <c r="B878" s="152" t="s">
        <v>683</v>
      </c>
      <c r="C878" s="153" t="s">
        <v>89</v>
      </c>
      <c r="D878" s="153"/>
      <c r="E878" s="153" t="s">
        <v>78</v>
      </c>
      <c r="F878" s="153"/>
      <c r="G878" s="153"/>
      <c r="H878" s="153"/>
      <c r="I878" s="153"/>
      <c r="J878" s="162"/>
      <c r="K878" s="162"/>
      <c r="L878" s="162"/>
      <c r="M878" s="162"/>
      <c r="N878" s="162"/>
      <c r="O878" s="153" t="s">
        <v>306</v>
      </c>
      <c r="P878" s="163"/>
      <c r="Q878" s="163">
        <v>300</v>
      </c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163"/>
      <c r="AF878" s="163"/>
      <c r="AG878" s="163"/>
      <c r="AH878" s="163"/>
      <c r="AI878" s="163"/>
      <c r="AJ878" s="163"/>
      <c r="AK878" s="163"/>
      <c r="AL878" s="163"/>
      <c r="AM878" s="163"/>
      <c r="AN878" s="163"/>
      <c r="AO878" s="163"/>
      <c r="AP878" s="163"/>
      <c r="AQ878" s="163"/>
      <c r="AR878" s="163"/>
      <c r="AS878" s="163"/>
      <c r="AT878" s="163"/>
      <c r="AU878" s="163"/>
      <c r="AV878" s="163"/>
      <c r="AW878" s="163"/>
      <c r="AX878" s="163"/>
      <c r="AY878" s="163"/>
      <c r="AZ878" s="163"/>
      <c r="BA878" s="163"/>
      <c r="BB878" s="163"/>
      <c r="BC878" s="163"/>
      <c r="BD878" s="163"/>
      <c r="BE878" s="163"/>
      <c r="BF878" s="163"/>
      <c r="BG878" s="163"/>
      <c r="BH878" s="163"/>
      <c r="BI878" s="163"/>
      <c r="BJ878" s="163"/>
      <c r="BK878" s="163"/>
      <c r="BL878" s="163"/>
      <c r="BM878" s="163"/>
      <c r="BN878" s="163"/>
      <c r="BO878" s="163"/>
      <c r="BP878" s="163"/>
      <c r="BQ878" s="163"/>
      <c r="BR878" s="163"/>
      <c r="BS878" s="163"/>
      <c r="BT878" s="163"/>
      <c r="BU878" s="163"/>
      <c r="BV878" s="163"/>
      <c r="BW878" s="163"/>
      <c r="BX878" s="163"/>
      <c r="BY878" s="171"/>
    </row>
    <row r="879" spans="1:77" s="14" customFormat="1" x14ac:dyDescent="0.15">
      <c r="A879" s="151">
        <v>1203010033</v>
      </c>
      <c r="B879" s="152" t="s">
        <v>683</v>
      </c>
      <c r="C879" s="153" t="s">
        <v>89</v>
      </c>
      <c r="D879" s="153"/>
      <c r="E879" s="153" t="s">
        <v>78</v>
      </c>
      <c r="F879" s="153"/>
      <c r="G879" s="153"/>
      <c r="H879" s="153"/>
      <c r="I879" s="153"/>
      <c r="J879" s="162"/>
      <c r="K879" s="162"/>
      <c r="L879" s="162"/>
      <c r="M879" s="162"/>
      <c r="N879" s="162"/>
      <c r="O879" s="153" t="s">
        <v>306</v>
      </c>
      <c r="P879" s="163"/>
      <c r="Q879" s="163">
        <v>400</v>
      </c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  <c r="AF879" s="163"/>
      <c r="AG879" s="163"/>
      <c r="AH879" s="163"/>
      <c r="AI879" s="163"/>
      <c r="AJ879" s="163"/>
      <c r="AK879" s="163"/>
      <c r="AL879" s="163"/>
      <c r="AM879" s="163"/>
      <c r="AN879" s="163"/>
      <c r="AO879" s="163"/>
      <c r="AP879" s="163"/>
      <c r="AQ879" s="163"/>
      <c r="AR879" s="163"/>
      <c r="AS879" s="163"/>
      <c r="AT879" s="163"/>
      <c r="AU879" s="163"/>
      <c r="AV879" s="163"/>
      <c r="AW879" s="163"/>
      <c r="AX879" s="163"/>
      <c r="AY879" s="163"/>
      <c r="AZ879" s="163"/>
      <c r="BA879" s="163"/>
      <c r="BB879" s="163"/>
      <c r="BC879" s="163"/>
      <c r="BD879" s="163"/>
      <c r="BE879" s="163"/>
      <c r="BF879" s="163"/>
      <c r="BG879" s="163"/>
      <c r="BH879" s="163"/>
      <c r="BI879" s="163"/>
      <c r="BJ879" s="163"/>
      <c r="BK879" s="163"/>
      <c r="BL879" s="163"/>
      <c r="BM879" s="163"/>
      <c r="BN879" s="163"/>
      <c r="BO879" s="163"/>
      <c r="BP879" s="163"/>
      <c r="BQ879" s="163"/>
      <c r="BR879" s="163"/>
      <c r="BS879" s="163"/>
      <c r="BT879" s="163"/>
      <c r="BU879" s="163"/>
      <c r="BV879" s="163"/>
      <c r="BW879" s="163"/>
      <c r="BX879" s="163"/>
      <c r="BY879" s="171"/>
    </row>
    <row r="880" spans="1:77" s="14" customFormat="1" x14ac:dyDescent="0.15">
      <c r="A880" s="151">
        <v>1203010043</v>
      </c>
      <c r="B880" s="152" t="s">
        <v>683</v>
      </c>
      <c r="C880" s="153" t="s">
        <v>89</v>
      </c>
      <c r="D880" s="153"/>
      <c r="E880" s="153" t="s">
        <v>78</v>
      </c>
      <c r="F880" s="153"/>
      <c r="G880" s="153"/>
      <c r="H880" s="153"/>
      <c r="I880" s="153"/>
      <c r="J880" s="162"/>
      <c r="K880" s="162"/>
      <c r="L880" s="162"/>
      <c r="M880" s="162"/>
      <c r="N880" s="162"/>
      <c r="O880" s="153" t="s">
        <v>306</v>
      </c>
      <c r="P880" s="163"/>
      <c r="Q880" s="163">
        <v>500</v>
      </c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163"/>
      <c r="AF880" s="163"/>
      <c r="AG880" s="163"/>
      <c r="AH880" s="163"/>
      <c r="AI880" s="163"/>
      <c r="AJ880" s="163"/>
      <c r="AK880" s="163"/>
      <c r="AL880" s="163"/>
      <c r="AM880" s="163"/>
      <c r="AN880" s="163"/>
      <c r="AO880" s="163"/>
      <c r="AP880" s="163"/>
      <c r="AQ880" s="163"/>
      <c r="AR880" s="163"/>
      <c r="AS880" s="163"/>
      <c r="AT880" s="163"/>
      <c r="AU880" s="163"/>
      <c r="AV880" s="163"/>
      <c r="AW880" s="163"/>
      <c r="AX880" s="163"/>
      <c r="AY880" s="163"/>
      <c r="AZ880" s="163"/>
      <c r="BA880" s="163"/>
      <c r="BB880" s="163"/>
      <c r="BC880" s="163"/>
      <c r="BD880" s="163"/>
      <c r="BE880" s="163"/>
      <c r="BF880" s="163"/>
      <c r="BG880" s="163"/>
      <c r="BH880" s="163"/>
      <c r="BI880" s="163"/>
      <c r="BJ880" s="163"/>
      <c r="BK880" s="163"/>
      <c r="BL880" s="163"/>
      <c r="BM880" s="163"/>
      <c r="BN880" s="163"/>
      <c r="BO880" s="163"/>
      <c r="BP880" s="163"/>
      <c r="BQ880" s="163"/>
      <c r="BR880" s="163"/>
      <c r="BS880" s="163"/>
      <c r="BT880" s="163"/>
      <c r="BU880" s="163"/>
      <c r="BV880" s="163"/>
      <c r="BW880" s="163"/>
      <c r="BX880" s="163"/>
      <c r="BY880" s="171"/>
    </row>
    <row r="881" spans="1:77" s="14" customFormat="1" x14ac:dyDescent="0.15">
      <c r="A881" s="151">
        <v>1203010014</v>
      </c>
      <c r="B881" s="152" t="s">
        <v>683</v>
      </c>
      <c r="C881" s="153" t="s">
        <v>89</v>
      </c>
      <c r="D881" s="153"/>
      <c r="E881" s="153" t="s">
        <v>78</v>
      </c>
      <c r="F881" s="153"/>
      <c r="G881" s="153"/>
      <c r="H881" s="153"/>
      <c r="I881" s="153"/>
      <c r="J881" s="162"/>
      <c r="K881" s="162"/>
      <c r="L881" s="162"/>
      <c r="M881" s="162"/>
      <c r="N881" s="162"/>
      <c r="O881" s="153" t="s">
        <v>306</v>
      </c>
      <c r="P881" s="163"/>
      <c r="Q881" s="163">
        <v>70</v>
      </c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163"/>
      <c r="AF881" s="163"/>
      <c r="AG881" s="163"/>
      <c r="AH881" s="163"/>
      <c r="AI881" s="163"/>
      <c r="AJ881" s="163"/>
      <c r="AK881" s="163"/>
      <c r="AL881" s="163"/>
      <c r="AM881" s="163"/>
      <c r="AN881" s="163"/>
      <c r="AO881" s="163"/>
      <c r="AP881" s="163"/>
      <c r="AQ881" s="163"/>
      <c r="AR881" s="163"/>
      <c r="AS881" s="163"/>
      <c r="AT881" s="163"/>
      <c r="AU881" s="163"/>
      <c r="AV881" s="163"/>
      <c r="AW881" s="163"/>
      <c r="AX881" s="163"/>
      <c r="AY881" s="163"/>
      <c r="AZ881" s="163"/>
      <c r="BA881" s="163"/>
      <c r="BB881" s="163"/>
      <c r="BC881" s="163"/>
      <c r="BD881" s="163"/>
      <c r="BE881" s="163"/>
      <c r="BF881" s="163"/>
      <c r="BG881" s="163"/>
      <c r="BH881" s="163"/>
      <c r="BI881" s="163"/>
      <c r="BJ881" s="163"/>
      <c r="BK881" s="163"/>
      <c r="BL881" s="163"/>
      <c r="BM881" s="163"/>
      <c r="BN881" s="163"/>
      <c r="BO881" s="163"/>
      <c r="BP881" s="163"/>
      <c r="BQ881" s="163"/>
      <c r="BR881" s="163"/>
      <c r="BS881" s="163"/>
      <c r="BT881" s="163"/>
      <c r="BU881" s="163"/>
      <c r="BV881" s="163"/>
      <c r="BW881" s="163"/>
      <c r="BX881" s="163"/>
      <c r="BY881" s="171"/>
    </row>
    <row r="882" spans="1:77" s="14" customFormat="1" x14ac:dyDescent="0.15">
      <c r="A882" s="151">
        <v>1203010024</v>
      </c>
      <c r="B882" s="152" t="s">
        <v>683</v>
      </c>
      <c r="C882" s="153" t="s">
        <v>89</v>
      </c>
      <c r="D882" s="153"/>
      <c r="E882" s="153" t="s">
        <v>78</v>
      </c>
      <c r="F882" s="153"/>
      <c r="G882" s="153"/>
      <c r="H882" s="153"/>
      <c r="I882" s="153"/>
      <c r="J882" s="162"/>
      <c r="K882" s="162"/>
      <c r="L882" s="162"/>
      <c r="M882" s="162"/>
      <c r="N882" s="162"/>
      <c r="O882" s="153" t="s">
        <v>306</v>
      </c>
      <c r="P882" s="163"/>
      <c r="Q882" s="163">
        <v>100</v>
      </c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163"/>
      <c r="AF882" s="163"/>
      <c r="AG882" s="163"/>
      <c r="AH882" s="163"/>
      <c r="AI882" s="163"/>
      <c r="AJ882" s="163"/>
      <c r="AK882" s="163"/>
      <c r="AL882" s="163"/>
      <c r="AM882" s="163"/>
      <c r="AN882" s="163"/>
      <c r="AO882" s="163"/>
      <c r="AP882" s="163"/>
      <c r="AQ882" s="163"/>
      <c r="AR882" s="163"/>
      <c r="AS882" s="163"/>
      <c r="AT882" s="163"/>
      <c r="AU882" s="163"/>
      <c r="AV882" s="163"/>
      <c r="AW882" s="163"/>
      <c r="AX882" s="163"/>
      <c r="AY882" s="163"/>
      <c r="AZ882" s="163"/>
      <c r="BA882" s="163"/>
      <c r="BB882" s="163"/>
      <c r="BC882" s="163"/>
      <c r="BD882" s="163"/>
      <c r="BE882" s="163"/>
      <c r="BF882" s="163"/>
      <c r="BG882" s="163"/>
      <c r="BH882" s="163"/>
      <c r="BI882" s="163"/>
      <c r="BJ882" s="163"/>
      <c r="BK882" s="163"/>
      <c r="BL882" s="163"/>
      <c r="BM882" s="163"/>
      <c r="BN882" s="163"/>
      <c r="BO882" s="163"/>
      <c r="BP882" s="163"/>
      <c r="BQ882" s="163"/>
      <c r="BR882" s="163"/>
      <c r="BS882" s="163"/>
      <c r="BT882" s="163"/>
      <c r="BU882" s="163"/>
      <c r="BV882" s="163"/>
      <c r="BW882" s="163"/>
      <c r="BX882" s="163"/>
      <c r="BY882" s="171"/>
    </row>
    <row r="883" spans="1:77" s="14" customFormat="1" x14ac:dyDescent="0.15">
      <c r="A883" s="151">
        <v>1203010034</v>
      </c>
      <c r="B883" s="152" t="s">
        <v>683</v>
      </c>
      <c r="C883" s="153" t="s">
        <v>89</v>
      </c>
      <c r="D883" s="153"/>
      <c r="E883" s="153" t="s">
        <v>78</v>
      </c>
      <c r="F883" s="153"/>
      <c r="G883" s="153"/>
      <c r="H883" s="153"/>
      <c r="I883" s="153"/>
      <c r="J883" s="162"/>
      <c r="K883" s="162"/>
      <c r="L883" s="162"/>
      <c r="M883" s="162"/>
      <c r="N883" s="162"/>
      <c r="O883" s="153" t="s">
        <v>306</v>
      </c>
      <c r="P883" s="163"/>
      <c r="Q883" s="163">
        <v>130</v>
      </c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  <c r="AF883" s="163"/>
      <c r="AG883" s="163"/>
      <c r="AH883" s="163"/>
      <c r="AI883" s="163"/>
      <c r="AJ883" s="163"/>
      <c r="AK883" s="163"/>
      <c r="AL883" s="163"/>
      <c r="AM883" s="163"/>
      <c r="AN883" s="163"/>
      <c r="AO883" s="163"/>
      <c r="AP883" s="163"/>
      <c r="AQ883" s="163"/>
      <c r="AR883" s="163"/>
      <c r="AS883" s="163"/>
      <c r="AT883" s="163"/>
      <c r="AU883" s="163"/>
      <c r="AV883" s="163"/>
      <c r="AW883" s="163"/>
      <c r="AX883" s="163"/>
      <c r="AY883" s="163"/>
      <c r="AZ883" s="163"/>
      <c r="BA883" s="163"/>
      <c r="BB883" s="163"/>
      <c r="BC883" s="163"/>
      <c r="BD883" s="163"/>
      <c r="BE883" s="163"/>
      <c r="BF883" s="163"/>
      <c r="BG883" s="163"/>
      <c r="BH883" s="163"/>
      <c r="BI883" s="163"/>
      <c r="BJ883" s="163"/>
      <c r="BK883" s="163"/>
      <c r="BL883" s="163"/>
      <c r="BM883" s="163"/>
      <c r="BN883" s="163"/>
      <c r="BO883" s="163"/>
      <c r="BP883" s="163"/>
      <c r="BQ883" s="163"/>
      <c r="BR883" s="163"/>
      <c r="BS883" s="163"/>
      <c r="BT883" s="163"/>
      <c r="BU883" s="163"/>
      <c r="BV883" s="163"/>
      <c r="BW883" s="163"/>
      <c r="BX883" s="163"/>
      <c r="BY883" s="171"/>
    </row>
    <row r="884" spans="1:77" s="14" customFormat="1" x14ac:dyDescent="0.15">
      <c r="A884" s="151">
        <v>1203010044</v>
      </c>
      <c r="B884" s="152" t="s">
        <v>683</v>
      </c>
      <c r="C884" s="153" t="s">
        <v>89</v>
      </c>
      <c r="D884" s="153"/>
      <c r="E884" s="153" t="s">
        <v>78</v>
      </c>
      <c r="F884" s="153"/>
      <c r="G884" s="153"/>
      <c r="H884" s="153"/>
      <c r="I884" s="153"/>
      <c r="J884" s="162"/>
      <c r="K884" s="162"/>
      <c r="L884" s="162"/>
      <c r="M884" s="162"/>
      <c r="N884" s="162"/>
      <c r="O884" s="153" t="s">
        <v>306</v>
      </c>
      <c r="P884" s="163"/>
      <c r="Q884" s="163">
        <v>160</v>
      </c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  <c r="AF884" s="163"/>
      <c r="AG884" s="163"/>
      <c r="AH884" s="163"/>
      <c r="AI884" s="163"/>
      <c r="AJ884" s="163"/>
      <c r="AK884" s="163"/>
      <c r="AL884" s="163"/>
      <c r="AM884" s="163"/>
      <c r="AN884" s="163"/>
      <c r="AO884" s="163"/>
      <c r="AP884" s="163"/>
      <c r="AQ884" s="163"/>
      <c r="AR884" s="163"/>
      <c r="AS884" s="163"/>
      <c r="AT884" s="163"/>
      <c r="AU884" s="163"/>
      <c r="AV884" s="163"/>
      <c r="AW884" s="163"/>
      <c r="AX884" s="163"/>
      <c r="AY884" s="163"/>
      <c r="AZ884" s="163"/>
      <c r="BA884" s="163"/>
      <c r="BB884" s="163"/>
      <c r="BC884" s="163"/>
      <c r="BD884" s="163"/>
      <c r="BE884" s="163"/>
      <c r="BF884" s="163"/>
      <c r="BG884" s="163"/>
      <c r="BH884" s="163"/>
      <c r="BI884" s="163"/>
      <c r="BJ884" s="163"/>
      <c r="BK884" s="163"/>
      <c r="BL884" s="163"/>
      <c r="BM884" s="163"/>
      <c r="BN884" s="163"/>
      <c r="BO884" s="163"/>
      <c r="BP884" s="163"/>
      <c r="BQ884" s="163"/>
      <c r="BR884" s="163"/>
      <c r="BS884" s="163"/>
      <c r="BT884" s="163"/>
      <c r="BU884" s="163"/>
      <c r="BV884" s="163"/>
      <c r="BW884" s="163"/>
      <c r="BX884" s="163"/>
      <c r="BY884" s="171"/>
    </row>
    <row r="885" spans="1:77" s="14" customFormat="1" x14ac:dyDescent="0.15">
      <c r="A885" s="151">
        <v>1203020011</v>
      </c>
      <c r="B885" s="152" t="s">
        <v>684</v>
      </c>
      <c r="C885" s="153" t="s">
        <v>89</v>
      </c>
      <c r="D885" s="153"/>
      <c r="E885" s="153" t="s">
        <v>78</v>
      </c>
      <c r="F885" s="153"/>
      <c r="G885" s="153"/>
      <c r="H885" s="153"/>
      <c r="I885" s="153"/>
      <c r="J885" s="162"/>
      <c r="K885" s="162"/>
      <c r="L885" s="162"/>
      <c r="M885" s="162"/>
      <c r="N885" s="162"/>
      <c r="O885" s="153" t="s">
        <v>90</v>
      </c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>
        <v>1203020301</v>
      </c>
      <c r="AE885" s="163"/>
      <c r="AF885" s="163"/>
      <c r="AG885" s="163"/>
      <c r="AH885" s="163"/>
      <c r="AI885" s="163"/>
      <c r="AJ885" s="163"/>
      <c r="AK885" s="163"/>
      <c r="AL885" s="163"/>
      <c r="AM885" s="163"/>
      <c r="AN885" s="163"/>
      <c r="AO885" s="163"/>
      <c r="AP885" s="163"/>
      <c r="AQ885" s="163"/>
      <c r="AR885" s="163"/>
      <c r="AS885" s="163"/>
      <c r="AT885" s="163"/>
      <c r="AU885" s="163"/>
      <c r="AV885" s="163"/>
      <c r="AW885" s="163"/>
      <c r="AX885" s="163"/>
      <c r="AY885" s="163"/>
      <c r="AZ885" s="163"/>
      <c r="BA885" s="163"/>
      <c r="BB885" s="163"/>
      <c r="BC885" s="163"/>
      <c r="BD885" s="163"/>
      <c r="BE885" s="163"/>
      <c r="BF885" s="163"/>
      <c r="BG885" s="163"/>
      <c r="BH885" s="163"/>
      <c r="BI885" s="163"/>
      <c r="BJ885" s="163"/>
      <c r="BK885" s="163"/>
      <c r="BL885" s="163"/>
      <c r="BM885" s="163"/>
      <c r="BN885" s="163"/>
      <c r="BO885" s="163"/>
      <c r="BP885" s="163"/>
      <c r="BQ885" s="163"/>
      <c r="BR885" s="163"/>
      <c r="BS885" s="163"/>
      <c r="BT885" s="163"/>
      <c r="BU885" s="163"/>
      <c r="BV885" s="163"/>
      <c r="BW885" s="163"/>
      <c r="BX885" s="163"/>
      <c r="BY885" s="171"/>
    </row>
    <row r="886" spans="1:77" s="14" customFormat="1" x14ac:dyDescent="0.15">
      <c r="A886" s="151">
        <v>1203020021</v>
      </c>
      <c r="B886" s="152" t="s">
        <v>684</v>
      </c>
      <c r="C886" s="153" t="s">
        <v>89</v>
      </c>
      <c r="D886" s="153"/>
      <c r="E886" s="153" t="s">
        <v>78</v>
      </c>
      <c r="F886" s="153"/>
      <c r="G886" s="153"/>
      <c r="H886" s="153"/>
      <c r="I886" s="153"/>
      <c r="J886" s="162"/>
      <c r="K886" s="162"/>
      <c r="L886" s="162"/>
      <c r="M886" s="162"/>
      <c r="N886" s="162"/>
      <c r="O886" s="153" t="s">
        <v>90</v>
      </c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>
        <v>1203020302</v>
      </c>
      <c r="AE886" s="163"/>
      <c r="AF886" s="163"/>
      <c r="AG886" s="163"/>
      <c r="AH886" s="163"/>
      <c r="AI886" s="163"/>
      <c r="AJ886" s="163"/>
      <c r="AK886" s="163"/>
      <c r="AL886" s="163"/>
      <c r="AM886" s="163"/>
      <c r="AN886" s="163"/>
      <c r="AO886" s="163"/>
      <c r="AP886" s="163"/>
      <c r="AQ886" s="163"/>
      <c r="AR886" s="163"/>
      <c r="AS886" s="163"/>
      <c r="AT886" s="163"/>
      <c r="AU886" s="163"/>
      <c r="AV886" s="163"/>
      <c r="AW886" s="163"/>
      <c r="AX886" s="163"/>
      <c r="AY886" s="163"/>
      <c r="AZ886" s="163"/>
      <c r="BA886" s="163"/>
      <c r="BB886" s="163"/>
      <c r="BC886" s="163"/>
      <c r="BD886" s="163"/>
      <c r="BE886" s="163"/>
      <c r="BF886" s="163"/>
      <c r="BG886" s="163"/>
      <c r="BH886" s="163"/>
      <c r="BI886" s="163"/>
      <c r="BJ886" s="163"/>
      <c r="BK886" s="163"/>
      <c r="BL886" s="163"/>
      <c r="BM886" s="163"/>
      <c r="BN886" s="163"/>
      <c r="BO886" s="163"/>
      <c r="BP886" s="163"/>
      <c r="BQ886" s="163"/>
      <c r="BR886" s="163"/>
      <c r="BS886" s="163"/>
      <c r="BT886" s="163"/>
      <c r="BU886" s="163"/>
      <c r="BV886" s="163"/>
      <c r="BW886" s="163"/>
      <c r="BX886" s="163"/>
      <c r="BY886" s="171"/>
    </row>
    <row r="887" spans="1:77" s="14" customFormat="1" x14ac:dyDescent="0.15">
      <c r="A887" s="151">
        <v>1203020031</v>
      </c>
      <c r="B887" s="152" t="s">
        <v>684</v>
      </c>
      <c r="C887" s="153" t="s">
        <v>89</v>
      </c>
      <c r="D887" s="153"/>
      <c r="E887" s="153" t="s">
        <v>78</v>
      </c>
      <c r="F887" s="153"/>
      <c r="G887" s="153"/>
      <c r="H887" s="153"/>
      <c r="I887" s="153"/>
      <c r="J887" s="162"/>
      <c r="K887" s="162"/>
      <c r="L887" s="162"/>
      <c r="M887" s="162"/>
      <c r="N887" s="162"/>
      <c r="O887" s="153" t="s">
        <v>90</v>
      </c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>
        <v>1203020303</v>
      </c>
      <c r="AE887" s="163"/>
      <c r="AF887" s="163"/>
      <c r="AG887" s="163"/>
      <c r="AH887" s="163"/>
      <c r="AI887" s="163"/>
      <c r="AJ887" s="163"/>
      <c r="AK887" s="163"/>
      <c r="AL887" s="163"/>
      <c r="AM887" s="163"/>
      <c r="AN887" s="163"/>
      <c r="AO887" s="163"/>
      <c r="AP887" s="163"/>
      <c r="AQ887" s="163"/>
      <c r="AR887" s="163"/>
      <c r="AS887" s="163"/>
      <c r="AT887" s="163"/>
      <c r="AU887" s="163"/>
      <c r="AV887" s="163"/>
      <c r="AW887" s="163"/>
      <c r="AX887" s="163"/>
      <c r="AY887" s="163"/>
      <c r="AZ887" s="163"/>
      <c r="BA887" s="163"/>
      <c r="BB887" s="163"/>
      <c r="BC887" s="163"/>
      <c r="BD887" s="163"/>
      <c r="BE887" s="163"/>
      <c r="BF887" s="163"/>
      <c r="BG887" s="163"/>
      <c r="BH887" s="163"/>
      <c r="BI887" s="163"/>
      <c r="BJ887" s="163"/>
      <c r="BK887" s="163"/>
      <c r="BL887" s="163"/>
      <c r="BM887" s="163"/>
      <c r="BN887" s="163"/>
      <c r="BO887" s="163"/>
      <c r="BP887" s="163"/>
      <c r="BQ887" s="163"/>
      <c r="BR887" s="163"/>
      <c r="BS887" s="163"/>
      <c r="BT887" s="163"/>
      <c r="BU887" s="163"/>
      <c r="BV887" s="163"/>
      <c r="BW887" s="163"/>
      <c r="BX887" s="163"/>
      <c r="BY887" s="171"/>
    </row>
    <row r="888" spans="1:77" s="14" customFormat="1" x14ac:dyDescent="0.15">
      <c r="A888" s="151">
        <v>1203020041</v>
      </c>
      <c r="B888" s="152" t="s">
        <v>684</v>
      </c>
      <c r="C888" s="153" t="s">
        <v>89</v>
      </c>
      <c r="D888" s="153"/>
      <c r="E888" s="153" t="s">
        <v>78</v>
      </c>
      <c r="F888" s="153"/>
      <c r="G888" s="153"/>
      <c r="H888" s="153"/>
      <c r="I888" s="153"/>
      <c r="J888" s="162"/>
      <c r="K888" s="162"/>
      <c r="L888" s="162"/>
      <c r="M888" s="162"/>
      <c r="N888" s="162"/>
      <c r="O888" s="153" t="s">
        <v>90</v>
      </c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>
        <v>1203020304</v>
      </c>
      <c r="AE888" s="163"/>
      <c r="AF888" s="163"/>
      <c r="AG888" s="163"/>
      <c r="AH888" s="163"/>
      <c r="AI888" s="163"/>
      <c r="AJ888" s="163"/>
      <c r="AK888" s="163"/>
      <c r="AL888" s="163"/>
      <c r="AM888" s="163"/>
      <c r="AN888" s="163"/>
      <c r="AO888" s="163"/>
      <c r="AP888" s="163"/>
      <c r="AQ888" s="163"/>
      <c r="AR888" s="163"/>
      <c r="AS888" s="163"/>
      <c r="AT888" s="163"/>
      <c r="AU888" s="163"/>
      <c r="AV888" s="163"/>
      <c r="AW888" s="163"/>
      <c r="AX888" s="163"/>
      <c r="AY888" s="163"/>
      <c r="AZ888" s="163"/>
      <c r="BA888" s="163"/>
      <c r="BB888" s="163"/>
      <c r="BC888" s="163"/>
      <c r="BD888" s="163"/>
      <c r="BE888" s="163"/>
      <c r="BF888" s="163"/>
      <c r="BG888" s="163"/>
      <c r="BH888" s="163"/>
      <c r="BI888" s="163"/>
      <c r="BJ888" s="163"/>
      <c r="BK888" s="163"/>
      <c r="BL888" s="163"/>
      <c r="BM888" s="163"/>
      <c r="BN888" s="163"/>
      <c r="BO888" s="163"/>
      <c r="BP888" s="163"/>
      <c r="BQ888" s="163"/>
      <c r="BR888" s="163"/>
      <c r="BS888" s="163"/>
      <c r="BT888" s="163"/>
      <c r="BU888" s="163"/>
      <c r="BV888" s="163"/>
      <c r="BW888" s="163"/>
      <c r="BX888" s="163"/>
      <c r="BY888" s="171"/>
    </row>
    <row r="889" spans="1:77" s="14" customFormat="1" x14ac:dyDescent="0.15">
      <c r="A889" s="151">
        <v>1203020012</v>
      </c>
      <c r="B889" s="152" t="s">
        <v>685</v>
      </c>
      <c r="C889" s="153" t="s">
        <v>89</v>
      </c>
      <c r="D889" s="153"/>
      <c r="E889" s="153" t="s">
        <v>78</v>
      </c>
      <c r="F889" s="153"/>
      <c r="G889" s="153"/>
      <c r="H889" s="153"/>
      <c r="I889" s="153"/>
      <c r="J889" s="162"/>
      <c r="K889" s="162"/>
      <c r="L889" s="162"/>
      <c r="M889" s="162"/>
      <c r="N889" s="162"/>
      <c r="O889" s="153" t="s">
        <v>90</v>
      </c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>
        <v>1203020201</v>
      </c>
      <c r="AE889" s="163">
        <v>1</v>
      </c>
      <c r="AF889" s="163" t="s">
        <v>686</v>
      </c>
      <c r="AG889" s="163">
        <v>20000837</v>
      </c>
      <c r="AH889" s="163">
        <v>10000</v>
      </c>
      <c r="AI889" s="163">
        <v>200000</v>
      </c>
      <c r="AJ889" s="163"/>
      <c r="AK889" s="163"/>
      <c r="AL889" s="163"/>
      <c r="AM889" s="163"/>
      <c r="AN889" s="163"/>
      <c r="AO889" s="163"/>
      <c r="AP889" s="163"/>
      <c r="AQ889" s="163"/>
      <c r="AR889" s="163"/>
      <c r="AS889" s="163"/>
      <c r="AT889" s="163"/>
      <c r="AU889" s="163"/>
      <c r="AV889" s="163"/>
      <c r="AW889" s="163"/>
      <c r="AX889" s="163"/>
      <c r="AY889" s="163"/>
      <c r="AZ889" s="163"/>
      <c r="BA889" s="163"/>
      <c r="BB889" s="163"/>
      <c r="BC889" s="163"/>
      <c r="BD889" s="163"/>
      <c r="BE889" s="163"/>
      <c r="BF889" s="163"/>
      <c r="BG889" s="163"/>
      <c r="BH889" s="163"/>
      <c r="BI889" s="163"/>
      <c r="BJ889" s="163"/>
      <c r="BK889" s="163"/>
      <c r="BL889" s="163"/>
      <c r="BM889" s="163"/>
      <c r="BN889" s="163"/>
      <c r="BO889" s="163"/>
      <c r="BP889" s="163"/>
      <c r="BQ889" s="163"/>
      <c r="BR889" s="163"/>
      <c r="BS889" s="163"/>
      <c r="BT889" s="163"/>
      <c r="BU889" s="163"/>
      <c r="BV889" s="163"/>
      <c r="BW889" s="163"/>
      <c r="BX889" s="163"/>
      <c r="BY889" s="171"/>
    </row>
    <row r="890" spans="1:77" s="14" customFormat="1" x14ac:dyDescent="0.15">
      <c r="A890" s="151">
        <v>1203020022</v>
      </c>
      <c r="B890" s="152" t="s">
        <v>685</v>
      </c>
      <c r="C890" s="153" t="s">
        <v>89</v>
      </c>
      <c r="D890" s="153"/>
      <c r="E890" s="153" t="s">
        <v>78</v>
      </c>
      <c r="F890" s="153"/>
      <c r="G890" s="153"/>
      <c r="H890" s="153"/>
      <c r="I890" s="153"/>
      <c r="J890" s="162"/>
      <c r="K890" s="162"/>
      <c r="L890" s="162"/>
      <c r="M890" s="162"/>
      <c r="N890" s="162"/>
      <c r="O890" s="153" t="s">
        <v>90</v>
      </c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>
        <v>1203020202</v>
      </c>
      <c r="AE890" s="163">
        <v>1</v>
      </c>
      <c r="AF890" s="163" t="s">
        <v>686</v>
      </c>
      <c r="AG890" s="163">
        <v>20000837</v>
      </c>
      <c r="AH890" s="163">
        <v>10000</v>
      </c>
      <c r="AI890" s="163">
        <v>200000</v>
      </c>
      <c r="AJ890" s="163"/>
      <c r="AK890" s="163"/>
      <c r="AL890" s="163"/>
      <c r="AM890" s="163"/>
      <c r="AN890" s="163"/>
      <c r="AO890" s="163"/>
      <c r="AP890" s="163"/>
      <c r="AQ890" s="163"/>
      <c r="AR890" s="163"/>
      <c r="AS890" s="163"/>
      <c r="AT890" s="163"/>
      <c r="AU890" s="163"/>
      <c r="AV890" s="163"/>
      <c r="AW890" s="163"/>
      <c r="AX890" s="163"/>
      <c r="AY890" s="163"/>
      <c r="AZ890" s="163"/>
      <c r="BA890" s="163"/>
      <c r="BB890" s="163"/>
      <c r="BC890" s="163"/>
      <c r="BD890" s="163"/>
      <c r="BE890" s="163"/>
      <c r="BF890" s="163"/>
      <c r="BG890" s="163"/>
      <c r="BH890" s="163"/>
      <c r="BI890" s="163"/>
      <c r="BJ890" s="163"/>
      <c r="BK890" s="163"/>
      <c r="BL890" s="163"/>
      <c r="BM890" s="163"/>
      <c r="BN890" s="163"/>
      <c r="BO890" s="163"/>
      <c r="BP890" s="163"/>
      <c r="BQ890" s="163"/>
      <c r="BR890" s="163"/>
      <c r="BS890" s="163"/>
      <c r="BT890" s="163"/>
      <c r="BU890" s="163"/>
      <c r="BV890" s="163"/>
      <c r="BW890" s="163"/>
      <c r="BX890" s="163"/>
      <c r="BY890" s="171"/>
    </row>
    <row r="891" spans="1:77" s="14" customFormat="1" x14ac:dyDescent="0.15">
      <c r="A891" s="151">
        <v>1203020032</v>
      </c>
      <c r="B891" s="152" t="s">
        <v>685</v>
      </c>
      <c r="C891" s="153" t="s">
        <v>89</v>
      </c>
      <c r="D891" s="153"/>
      <c r="E891" s="153" t="s">
        <v>78</v>
      </c>
      <c r="F891" s="153"/>
      <c r="G891" s="153"/>
      <c r="H891" s="153"/>
      <c r="I891" s="153"/>
      <c r="J891" s="162"/>
      <c r="K891" s="162"/>
      <c r="L891" s="162"/>
      <c r="M891" s="162"/>
      <c r="N891" s="162"/>
      <c r="O891" s="153" t="s">
        <v>90</v>
      </c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>
        <v>1203020203</v>
      </c>
      <c r="AE891" s="163">
        <v>1</v>
      </c>
      <c r="AF891" s="163" t="s">
        <v>686</v>
      </c>
      <c r="AG891" s="163">
        <v>20000837</v>
      </c>
      <c r="AH891" s="163">
        <v>10000</v>
      </c>
      <c r="AI891" s="163">
        <v>200000</v>
      </c>
      <c r="AJ891" s="163"/>
      <c r="AK891" s="163"/>
      <c r="AL891" s="163"/>
      <c r="AM891" s="163"/>
      <c r="AN891" s="163"/>
      <c r="AO891" s="163"/>
      <c r="AP891" s="163"/>
      <c r="AQ891" s="163"/>
      <c r="AR891" s="163"/>
      <c r="AS891" s="163"/>
      <c r="AT891" s="163"/>
      <c r="AU891" s="163"/>
      <c r="AV891" s="163"/>
      <c r="AW891" s="163"/>
      <c r="AX891" s="163"/>
      <c r="AY891" s="163"/>
      <c r="AZ891" s="163"/>
      <c r="BA891" s="163"/>
      <c r="BB891" s="163"/>
      <c r="BC891" s="163"/>
      <c r="BD891" s="163"/>
      <c r="BE891" s="163"/>
      <c r="BF891" s="163"/>
      <c r="BG891" s="163"/>
      <c r="BH891" s="163"/>
      <c r="BI891" s="163"/>
      <c r="BJ891" s="163"/>
      <c r="BK891" s="163"/>
      <c r="BL891" s="163"/>
      <c r="BM891" s="163"/>
      <c r="BN891" s="163"/>
      <c r="BO891" s="163"/>
      <c r="BP891" s="163"/>
      <c r="BQ891" s="163"/>
      <c r="BR891" s="163"/>
      <c r="BS891" s="163"/>
      <c r="BT891" s="163"/>
      <c r="BU891" s="163"/>
      <c r="BV891" s="163"/>
      <c r="BW891" s="163"/>
      <c r="BX891" s="163"/>
      <c r="BY891" s="171"/>
    </row>
    <row r="892" spans="1:77" s="14" customFormat="1" x14ac:dyDescent="0.15">
      <c r="A892" s="151">
        <v>1203020042</v>
      </c>
      <c r="B892" s="152" t="s">
        <v>685</v>
      </c>
      <c r="C892" s="153" t="s">
        <v>89</v>
      </c>
      <c r="D892" s="153"/>
      <c r="E892" s="153" t="s">
        <v>78</v>
      </c>
      <c r="F892" s="153"/>
      <c r="G892" s="153"/>
      <c r="H892" s="153"/>
      <c r="I892" s="153"/>
      <c r="J892" s="162"/>
      <c r="K892" s="162"/>
      <c r="L892" s="162"/>
      <c r="M892" s="162"/>
      <c r="N892" s="162"/>
      <c r="O892" s="153" t="s">
        <v>90</v>
      </c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>
        <v>1203020204</v>
      </c>
      <c r="AE892" s="163">
        <v>1</v>
      </c>
      <c r="AF892" s="163" t="s">
        <v>686</v>
      </c>
      <c r="AG892" s="163">
        <v>20000837</v>
      </c>
      <c r="AH892" s="163">
        <v>10000</v>
      </c>
      <c r="AI892" s="163">
        <v>200000</v>
      </c>
      <c r="AJ892" s="163"/>
      <c r="AK892" s="163"/>
      <c r="AL892" s="163"/>
      <c r="AM892" s="163"/>
      <c r="AN892" s="163"/>
      <c r="AO892" s="163"/>
      <c r="AP892" s="163"/>
      <c r="AQ892" s="163"/>
      <c r="AR892" s="163"/>
      <c r="AS892" s="163"/>
      <c r="AT892" s="163"/>
      <c r="AU892" s="163"/>
      <c r="AV892" s="163"/>
      <c r="AW892" s="163"/>
      <c r="AX892" s="163"/>
      <c r="AY892" s="163"/>
      <c r="AZ892" s="163"/>
      <c r="BA892" s="163"/>
      <c r="BB892" s="163"/>
      <c r="BC892" s="163"/>
      <c r="BD892" s="163"/>
      <c r="BE892" s="163"/>
      <c r="BF892" s="163"/>
      <c r="BG892" s="163"/>
      <c r="BH892" s="163"/>
      <c r="BI892" s="163"/>
      <c r="BJ892" s="163"/>
      <c r="BK892" s="163"/>
      <c r="BL892" s="163"/>
      <c r="BM892" s="163"/>
      <c r="BN892" s="163"/>
      <c r="BO892" s="163"/>
      <c r="BP892" s="163"/>
      <c r="BQ892" s="163"/>
      <c r="BR892" s="163"/>
      <c r="BS892" s="163"/>
      <c r="BT892" s="163"/>
      <c r="BU892" s="163"/>
      <c r="BV892" s="163"/>
      <c r="BW892" s="163"/>
      <c r="BX892" s="163"/>
      <c r="BY892" s="171"/>
    </row>
    <row r="893" spans="1:77" s="14" customFormat="1" x14ac:dyDescent="0.15">
      <c r="A893" s="151">
        <v>1203040011</v>
      </c>
      <c r="B893" s="152" t="s">
        <v>687</v>
      </c>
      <c r="C893" s="153" t="s">
        <v>100</v>
      </c>
      <c r="D893" s="153"/>
      <c r="E893" s="153" t="s">
        <v>78</v>
      </c>
      <c r="F893" s="153"/>
      <c r="G893" s="153"/>
      <c r="H893" s="153"/>
      <c r="I893" s="153"/>
      <c r="J893" s="162"/>
      <c r="K893" s="162"/>
      <c r="L893" s="162"/>
      <c r="M893" s="162"/>
      <c r="N893" s="162"/>
      <c r="O893" s="153" t="s">
        <v>95</v>
      </c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163">
        <v>20000835</v>
      </c>
      <c r="AF893" s="163" t="s">
        <v>96</v>
      </c>
      <c r="AG893" s="163"/>
      <c r="AH893" s="163">
        <v>1</v>
      </c>
      <c r="AI893" s="163"/>
      <c r="AJ893" s="163"/>
      <c r="AK893" s="163"/>
      <c r="AL893" s="163"/>
      <c r="AM893" s="163"/>
      <c r="AN893" s="163"/>
      <c r="AO893" s="163"/>
      <c r="AP893" s="163"/>
      <c r="AQ893" s="163"/>
      <c r="AR893" s="163"/>
      <c r="AS893" s="163"/>
      <c r="AT893" s="163"/>
      <c r="AU893" s="163"/>
      <c r="AV893" s="163"/>
      <c r="AW893" s="163"/>
      <c r="AX893" s="163"/>
      <c r="AY893" s="163"/>
      <c r="AZ893" s="163"/>
      <c r="BA893" s="163"/>
      <c r="BB893" s="163"/>
      <c r="BC893" s="163"/>
      <c r="BD893" s="163"/>
      <c r="BE893" s="163"/>
      <c r="BF893" s="163"/>
      <c r="BG893" s="163"/>
      <c r="BH893" s="163"/>
      <c r="BI893" s="163"/>
      <c r="BJ893" s="163"/>
      <c r="BK893" s="163"/>
      <c r="BL893" s="163"/>
      <c r="BM893" s="163"/>
      <c r="BN893" s="163"/>
      <c r="BO893" s="163"/>
      <c r="BP893" s="163"/>
      <c r="BQ893" s="163"/>
      <c r="BR893" s="163"/>
      <c r="BS893" s="163"/>
      <c r="BT893" s="163"/>
      <c r="BU893" s="163"/>
      <c r="BV893" s="163"/>
      <c r="BW893" s="163"/>
      <c r="BX893" s="163"/>
      <c r="BY893" s="171"/>
    </row>
    <row r="894" spans="1:77" s="14" customFormat="1" x14ac:dyDescent="0.15">
      <c r="A894" s="151">
        <v>1203040021</v>
      </c>
      <c r="B894" s="152" t="s">
        <v>687</v>
      </c>
      <c r="C894" s="153" t="s">
        <v>100</v>
      </c>
      <c r="D894" s="153"/>
      <c r="E894" s="153" t="s">
        <v>78</v>
      </c>
      <c r="F894" s="153"/>
      <c r="G894" s="153"/>
      <c r="H894" s="153"/>
      <c r="I894" s="153"/>
      <c r="J894" s="162"/>
      <c r="K894" s="162"/>
      <c r="L894" s="162"/>
      <c r="M894" s="162"/>
      <c r="N894" s="162"/>
      <c r="O894" s="153" t="s">
        <v>95</v>
      </c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>
        <v>20000836</v>
      </c>
      <c r="AF894" s="163" t="s">
        <v>96</v>
      </c>
      <c r="AG894" s="163"/>
      <c r="AH894" s="163">
        <v>1</v>
      </c>
      <c r="AI894" s="163"/>
      <c r="AJ894" s="163"/>
      <c r="AK894" s="163"/>
      <c r="AL894" s="163"/>
      <c r="AM894" s="163"/>
      <c r="AN894" s="163"/>
      <c r="AO894" s="163"/>
      <c r="AP894" s="163"/>
      <c r="AQ894" s="163"/>
      <c r="AR894" s="163"/>
      <c r="AS894" s="163"/>
      <c r="AT894" s="163"/>
      <c r="AU894" s="163"/>
      <c r="AV894" s="163"/>
      <c r="AW894" s="163"/>
      <c r="AX894" s="163"/>
      <c r="AY894" s="163"/>
      <c r="AZ894" s="163"/>
      <c r="BA894" s="163"/>
      <c r="BB894" s="163"/>
      <c r="BC894" s="163"/>
      <c r="BD894" s="163"/>
      <c r="BE894" s="163"/>
      <c r="BF894" s="163"/>
      <c r="BG894" s="163"/>
      <c r="BH894" s="163"/>
      <c r="BI894" s="163"/>
      <c r="BJ894" s="163"/>
      <c r="BK894" s="163"/>
      <c r="BL894" s="163"/>
      <c r="BM894" s="163"/>
      <c r="BN894" s="163"/>
      <c r="BO894" s="163"/>
      <c r="BP894" s="163"/>
      <c r="BQ894" s="163"/>
      <c r="BR894" s="163"/>
      <c r="BS894" s="163"/>
      <c r="BT894" s="163"/>
      <c r="BU894" s="163"/>
      <c r="BV894" s="163"/>
      <c r="BW894" s="163"/>
      <c r="BX894" s="163"/>
      <c r="BY894" s="171"/>
    </row>
    <row r="895" spans="1:77" s="14" customFormat="1" x14ac:dyDescent="0.15">
      <c r="A895" s="151">
        <v>1203040012</v>
      </c>
      <c r="B895" s="152" t="s">
        <v>688</v>
      </c>
      <c r="C895" s="153" t="s">
        <v>100</v>
      </c>
      <c r="D895" s="153"/>
      <c r="E895" s="153" t="s">
        <v>78</v>
      </c>
      <c r="F895" s="153"/>
      <c r="G895" s="153"/>
      <c r="H895" s="153"/>
      <c r="I895" s="153"/>
      <c r="J895" s="162"/>
      <c r="K895" s="162"/>
      <c r="L895" s="162"/>
      <c r="M895" s="162"/>
      <c r="N895" s="162"/>
      <c r="O895" s="153" t="s">
        <v>95</v>
      </c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>
        <v>20000837</v>
      </c>
      <c r="AF895" s="163" t="s">
        <v>96</v>
      </c>
      <c r="AG895" s="163"/>
      <c r="AH895" s="163">
        <v>2</v>
      </c>
      <c r="AI895" s="163"/>
      <c r="AJ895" s="163"/>
      <c r="AK895" s="163"/>
      <c r="AL895" s="163"/>
      <c r="AM895" s="163"/>
      <c r="AN895" s="163"/>
      <c r="AO895" s="163"/>
      <c r="AP895" s="163"/>
      <c r="AQ895" s="163"/>
      <c r="AR895" s="163"/>
      <c r="AS895" s="163"/>
      <c r="AT895" s="163"/>
      <c r="AU895" s="163"/>
      <c r="AV895" s="163"/>
      <c r="AW895" s="163"/>
      <c r="AX895" s="163"/>
      <c r="AY895" s="163"/>
      <c r="AZ895" s="163"/>
      <c r="BA895" s="163"/>
      <c r="BB895" s="163"/>
      <c r="BC895" s="163"/>
      <c r="BD895" s="163"/>
      <c r="BE895" s="163"/>
      <c r="BF895" s="163"/>
      <c r="BG895" s="163"/>
      <c r="BH895" s="163"/>
      <c r="BI895" s="163"/>
      <c r="BJ895" s="163"/>
      <c r="BK895" s="163"/>
      <c r="BL895" s="163"/>
      <c r="BM895" s="163"/>
      <c r="BN895" s="163"/>
      <c r="BO895" s="163"/>
      <c r="BP895" s="163"/>
      <c r="BQ895" s="163"/>
      <c r="BR895" s="163"/>
      <c r="BS895" s="163"/>
      <c r="BT895" s="163"/>
      <c r="BU895" s="163"/>
      <c r="BV895" s="163"/>
      <c r="BW895" s="163"/>
      <c r="BX895" s="163"/>
      <c r="BY895" s="171"/>
    </row>
    <row r="896" spans="1:77" s="14" customFormat="1" x14ac:dyDescent="0.15">
      <c r="A896" s="151">
        <v>1203040022</v>
      </c>
      <c r="B896" s="152" t="s">
        <v>688</v>
      </c>
      <c r="C896" s="153" t="s">
        <v>100</v>
      </c>
      <c r="D896" s="153"/>
      <c r="E896" s="153" t="s">
        <v>78</v>
      </c>
      <c r="F896" s="153"/>
      <c r="G896" s="153"/>
      <c r="H896" s="153"/>
      <c r="I896" s="153"/>
      <c r="J896" s="162"/>
      <c r="K896" s="162"/>
      <c r="L896" s="162"/>
      <c r="M896" s="162"/>
      <c r="N896" s="162"/>
      <c r="O896" s="153" t="s">
        <v>95</v>
      </c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>
        <v>20000837</v>
      </c>
      <c r="AF896" s="163" t="s">
        <v>96</v>
      </c>
      <c r="AG896" s="163"/>
      <c r="AH896" s="163">
        <v>3</v>
      </c>
      <c r="AI896" s="163"/>
      <c r="AJ896" s="163"/>
      <c r="AK896" s="163"/>
      <c r="AL896" s="163"/>
      <c r="AM896" s="163"/>
      <c r="AN896" s="163"/>
      <c r="AO896" s="163"/>
      <c r="AP896" s="163"/>
      <c r="AQ896" s="163"/>
      <c r="AR896" s="163"/>
      <c r="AS896" s="163"/>
      <c r="AT896" s="163"/>
      <c r="AU896" s="163"/>
      <c r="AV896" s="163"/>
      <c r="AW896" s="163"/>
      <c r="AX896" s="163"/>
      <c r="AY896" s="163"/>
      <c r="AZ896" s="163"/>
      <c r="BA896" s="163"/>
      <c r="BB896" s="163"/>
      <c r="BC896" s="163"/>
      <c r="BD896" s="163"/>
      <c r="BE896" s="163"/>
      <c r="BF896" s="163"/>
      <c r="BG896" s="163"/>
      <c r="BH896" s="163"/>
      <c r="BI896" s="163"/>
      <c r="BJ896" s="163"/>
      <c r="BK896" s="163"/>
      <c r="BL896" s="163"/>
      <c r="BM896" s="163"/>
      <c r="BN896" s="163"/>
      <c r="BO896" s="163"/>
      <c r="BP896" s="163"/>
      <c r="BQ896" s="163"/>
      <c r="BR896" s="163"/>
      <c r="BS896" s="163"/>
      <c r="BT896" s="163"/>
      <c r="BU896" s="163"/>
      <c r="BV896" s="163"/>
      <c r="BW896" s="163"/>
      <c r="BX896" s="163"/>
      <c r="BY896" s="171"/>
    </row>
    <row r="897" spans="1:77" s="18" customFormat="1" x14ac:dyDescent="0.15">
      <c r="A897" s="148">
        <v>1408001011</v>
      </c>
      <c r="B897" s="158" t="s">
        <v>689</v>
      </c>
      <c r="C897" s="150" t="s">
        <v>77</v>
      </c>
      <c r="D897" s="150"/>
      <c r="E897" s="150" t="s">
        <v>78</v>
      </c>
      <c r="F897" s="150"/>
      <c r="G897" s="150"/>
      <c r="H897" s="150"/>
      <c r="I897" s="150"/>
      <c r="J897" s="166"/>
      <c r="K897" s="166"/>
      <c r="L897" s="166"/>
      <c r="M897" s="166"/>
      <c r="N897" s="166"/>
      <c r="O897" s="150" t="s">
        <v>79</v>
      </c>
      <c r="P897" s="167" t="s">
        <v>80</v>
      </c>
      <c r="Q897" s="167"/>
      <c r="R897" s="167">
        <v>10000</v>
      </c>
      <c r="S897" s="167"/>
      <c r="T897" s="167">
        <v>10000</v>
      </c>
      <c r="U897" s="167"/>
      <c r="V897" s="167" t="s">
        <v>101</v>
      </c>
      <c r="W897" s="167"/>
      <c r="X897" s="167"/>
      <c r="Y897" s="167"/>
      <c r="Z897" s="167"/>
      <c r="AA897" s="167"/>
      <c r="AB897" s="167"/>
      <c r="AC897" s="167"/>
      <c r="AD897" s="167"/>
      <c r="AE897" s="167"/>
      <c r="AF897" s="167"/>
      <c r="AG897" s="167"/>
      <c r="AH897" s="167"/>
      <c r="AI897" s="167"/>
      <c r="AJ897" s="167"/>
      <c r="AK897" s="167"/>
      <c r="AL897" s="167"/>
      <c r="AM897" s="167"/>
      <c r="AN897" s="167"/>
      <c r="AO897" s="167"/>
      <c r="AP897" s="167"/>
      <c r="AQ897" s="167"/>
      <c r="AR897" s="167"/>
      <c r="AS897" s="167"/>
      <c r="AT897" s="167"/>
      <c r="AU897" s="167"/>
      <c r="AV897" s="167"/>
      <c r="AW897" s="167"/>
      <c r="AX897" s="167"/>
      <c r="AY897" s="167"/>
      <c r="AZ897" s="167"/>
      <c r="BA897" s="167"/>
      <c r="BB897" s="167"/>
      <c r="BC897" s="167"/>
      <c r="BD897" s="167"/>
      <c r="BE897" s="167"/>
      <c r="BF897" s="167"/>
      <c r="BG897" s="167"/>
      <c r="BH897" s="167"/>
      <c r="BI897" s="167"/>
      <c r="BJ897" s="167"/>
      <c r="BK897" s="167"/>
      <c r="BL897" s="167"/>
      <c r="BM897" s="167"/>
      <c r="BN897" s="167"/>
      <c r="BO897" s="167"/>
      <c r="BP897" s="167"/>
      <c r="BQ897" s="167"/>
      <c r="BR897" s="167"/>
      <c r="BS897" s="167"/>
      <c r="BT897" s="167"/>
      <c r="BU897" s="167"/>
      <c r="BV897" s="167"/>
      <c r="BW897" s="167"/>
      <c r="BX897" s="167"/>
      <c r="BY897" s="175"/>
    </row>
    <row r="898" spans="1:77" s="18" customFormat="1" x14ac:dyDescent="0.15">
      <c r="A898" s="148">
        <v>1408001012</v>
      </c>
      <c r="B898" s="158" t="s">
        <v>690</v>
      </c>
      <c r="C898" s="150" t="s">
        <v>77</v>
      </c>
      <c r="D898" s="150"/>
      <c r="E898" s="150" t="s">
        <v>425</v>
      </c>
      <c r="F898" s="150">
        <v>40000</v>
      </c>
      <c r="G898" s="150">
        <v>1200</v>
      </c>
      <c r="H898" s="150"/>
      <c r="I898" s="150"/>
      <c r="J898" s="166"/>
      <c r="K898" s="166"/>
      <c r="L898" s="166"/>
      <c r="M898" s="166"/>
      <c r="N898" s="166"/>
      <c r="O898" s="150" t="s">
        <v>79</v>
      </c>
      <c r="P898" s="167" t="s">
        <v>80</v>
      </c>
      <c r="Q898" s="167"/>
      <c r="R898" s="167">
        <v>5000</v>
      </c>
      <c r="S898" s="167"/>
      <c r="T898" s="167"/>
      <c r="U898" s="167"/>
      <c r="V898" s="167" t="s">
        <v>101</v>
      </c>
      <c r="W898" s="167"/>
      <c r="X898" s="167"/>
      <c r="Y898" s="167"/>
      <c r="Z898" s="167"/>
      <c r="AA898" s="167"/>
      <c r="AB898" s="167"/>
      <c r="AC898" s="167"/>
      <c r="AD898" s="167"/>
      <c r="AE898" s="167"/>
      <c r="AF898" s="167"/>
      <c r="AG898" s="167"/>
      <c r="AH898" s="167"/>
      <c r="AI898" s="167"/>
      <c r="AJ898" s="167"/>
      <c r="AK898" s="167"/>
      <c r="AL898" s="167"/>
      <c r="AM898" s="167"/>
      <c r="AN898" s="167"/>
      <c r="AO898" s="167"/>
      <c r="AP898" s="167"/>
      <c r="AQ898" s="167"/>
      <c r="AR898" s="167"/>
      <c r="AS898" s="167"/>
      <c r="AT898" s="167"/>
      <c r="AU898" s="167"/>
      <c r="AV898" s="167"/>
      <c r="AW898" s="167"/>
      <c r="AX898" s="167"/>
      <c r="AY898" s="167"/>
      <c r="AZ898" s="167"/>
      <c r="BA898" s="167"/>
      <c r="BB898" s="167"/>
      <c r="BC898" s="167"/>
      <c r="BD898" s="167"/>
      <c r="BE898" s="167"/>
      <c r="BF898" s="167"/>
      <c r="BG898" s="167"/>
      <c r="BH898" s="167"/>
      <c r="BI898" s="167"/>
      <c r="BJ898" s="167"/>
      <c r="BK898" s="167"/>
      <c r="BL898" s="167"/>
      <c r="BM898" s="167"/>
      <c r="BN898" s="167"/>
      <c r="BO898" s="167"/>
      <c r="BP898" s="167"/>
      <c r="BQ898" s="167"/>
      <c r="BR898" s="167"/>
      <c r="BS898" s="167"/>
      <c r="BT898" s="167"/>
      <c r="BU898" s="167"/>
      <c r="BV898" s="167"/>
      <c r="BW898" s="167"/>
      <c r="BX898" s="167"/>
      <c r="BY898" s="175"/>
    </row>
    <row r="899" spans="1:77" s="18" customFormat="1" x14ac:dyDescent="0.15">
      <c r="A899" s="148">
        <v>1408002011</v>
      </c>
      <c r="B899" s="158" t="s">
        <v>691</v>
      </c>
      <c r="C899" s="150" t="s">
        <v>77</v>
      </c>
      <c r="D899" s="150"/>
      <c r="E899" s="150" t="s">
        <v>78</v>
      </c>
      <c r="F899" s="150"/>
      <c r="G899" s="150"/>
      <c r="H899" s="150"/>
      <c r="I899" s="150"/>
      <c r="J899" s="166"/>
      <c r="K899" s="166"/>
      <c r="L899" s="166"/>
      <c r="M899" s="166"/>
      <c r="N899" s="166"/>
      <c r="O899" s="150" t="s">
        <v>79</v>
      </c>
      <c r="P899" s="167" t="s">
        <v>80</v>
      </c>
      <c r="Q899" s="167"/>
      <c r="R899" s="167">
        <v>10000</v>
      </c>
      <c r="S899" s="167"/>
      <c r="T899" s="167">
        <v>10000</v>
      </c>
      <c r="U899" s="167"/>
      <c r="V899" s="167" t="s">
        <v>101</v>
      </c>
      <c r="W899" s="167"/>
      <c r="X899" s="167"/>
      <c r="Y899" s="167"/>
      <c r="Z899" s="167"/>
      <c r="AA899" s="167"/>
      <c r="AB899" s="167"/>
      <c r="AC899" s="167"/>
      <c r="AD899" s="167"/>
      <c r="AE899" s="167"/>
      <c r="AF899" s="167"/>
      <c r="AG899" s="167"/>
      <c r="AH899" s="167"/>
      <c r="AI899" s="167"/>
      <c r="AJ899" s="167"/>
      <c r="AK899" s="167"/>
      <c r="AL899" s="167"/>
      <c r="AM899" s="167"/>
      <c r="AN899" s="167"/>
      <c r="AO899" s="167"/>
      <c r="AP899" s="167"/>
      <c r="AQ899" s="167"/>
      <c r="AR899" s="167"/>
      <c r="AS899" s="167"/>
      <c r="AT899" s="167"/>
      <c r="AU899" s="167"/>
      <c r="AV899" s="167"/>
      <c r="AW899" s="167"/>
      <c r="AX899" s="167"/>
      <c r="AY899" s="167"/>
      <c r="AZ899" s="167"/>
      <c r="BA899" s="167"/>
      <c r="BB899" s="167"/>
      <c r="BC899" s="167"/>
      <c r="BD899" s="167"/>
      <c r="BE899" s="167"/>
      <c r="BF899" s="167"/>
      <c r="BG899" s="167"/>
      <c r="BH899" s="167"/>
      <c r="BI899" s="167"/>
      <c r="BJ899" s="167"/>
      <c r="BK899" s="167"/>
      <c r="BL899" s="167"/>
      <c r="BM899" s="167"/>
      <c r="BN899" s="167"/>
      <c r="BO899" s="167"/>
      <c r="BP899" s="167"/>
      <c r="BQ899" s="167"/>
      <c r="BR899" s="167"/>
      <c r="BS899" s="167"/>
      <c r="BT899" s="167"/>
      <c r="BU899" s="167"/>
      <c r="BV899" s="167"/>
      <c r="BW899" s="167"/>
      <c r="BX899" s="167"/>
      <c r="BY899" s="175"/>
    </row>
    <row r="900" spans="1:77" s="18" customFormat="1" x14ac:dyDescent="0.15">
      <c r="A900" s="148">
        <v>1408010011</v>
      </c>
      <c r="B900" s="158" t="s">
        <v>692</v>
      </c>
      <c r="C900" s="150" t="s">
        <v>100</v>
      </c>
      <c r="D900" s="150"/>
      <c r="E900" s="150" t="s">
        <v>85</v>
      </c>
      <c r="F900" s="150">
        <v>30000</v>
      </c>
      <c r="G900" s="150">
        <v>180000</v>
      </c>
      <c r="H900" s="150"/>
      <c r="I900" s="150"/>
      <c r="J900" s="166"/>
      <c r="K900" s="166"/>
      <c r="L900" s="166"/>
      <c r="M900" s="166" t="s">
        <v>101</v>
      </c>
      <c r="N900" s="166"/>
      <c r="O900" s="150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7"/>
      <c r="AF900" s="167"/>
      <c r="AG900" s="167"/>
      <c r="AH900" s="167"/>
      <c r="AI900" s="167"/>
      <c r="AJ900" s="167"/>
      <c r="AK900" s="167"/>
      <c r="AL900" s="167"/>
      <c r="AM900" s="167"/>
      <c r="AN900" s="167"/>
      <c r="AO900" s="167"/>
      <c r="AP900" s="167"/>
      <c r="AQ900" s="167"/>
      <c r="AR900" s="167"/>
      <c r="AS900" s="167"/>
      <c r="AT900" s="167"/>
      <c r="AU900" s="167"/>
      <c r="AV900" s="167"/>
      <c r="AW900" s="167"/>
      <c r="AX900" s="167"/>
      <c r="AY900" s="167"/>
      <c r="AZ900" s="167"/>
      <c r="BA900" s="167"/>
      <c r="BB900" s="167"/>
      <c r="BC900" s="167"/>
      <c r="BD900" s="167"/>
      <c r="BE900" s="167"/>
      <c r="BF900" s="167"/>
      <c r="BG900" s="167"/>
      <c r="BH900" s="167"/>
      <c r="BI900" s="167"/>
      <c r="BJ900" s="167"/>
      <c r="BK900" s="167"/>
      <c r="BL900" s="167"/>
      <c r="BM900" s="167"/>
      <c r="BN900" s="167"/>
      <c r="BO900" s="167"/>
      <c r="BP900" s="167"/>
      <c r="BQ900" s="167"/>
      <c r="BR900" s="167"/>
      <c r="BS900" s="167"/>
      <c r="BT900" s="167"/>
      <c r="BU900" s="167"/>
      <c r="BV900" s="167"/>
      <c r="BW900" s="167"/>
      <c r="BX900" s="167"/>
      <c r="BY900" s="175"/>
    </row>
    <row r="901" spans="1:77" s="18" customFormat="1" x14ac:dyDescent="0.15">
      <c r="A901" s="148">
        <v>1408010012</v>
      </c>
      <c r="B901" s="158" t="s">
        <v>693</v>
      </c>
      <c r="C901" s="150" t="s">
        <v>304</v>
      </c>
      <c r="D901" s="150"/>
      <c r="E901" s="150" t="s">
        <v>85</v>
      </c>
      <c r="F901" s="150">
        <v>30000</v>
      </c>
      <c r="G901" s="150">
        <v>100000</v>
      </c>
      <c r="H901" s="150"/>
      <c r="I901" s="150"/>
      <c r="J901" s="166"/>
      <c r="K901" s="166"/>
      <c r="L901" s="166"/>
      <c r="M901" s="166" t="s">
        <v>101</v>
      </c>
      <c r="N901" s="166"/>
      <c r="O901" s="150" t="s">
        <v>79</v>
      </c>
      <c r="P901" s="167" t="s">
        <v>80</v>
      </c>
      <c r="Q901" s="167">
        <v>120</v>
      </c>
      <c r="R901" s="185">
        <v>3500</v>
      </c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7"/>
      <c r="AF901" s="167"/>
      <c r="AG901" s="167"/>
      <c r="AH901" s="167"/>
      <c r="AI901" s="167"/>
      <c r="AJ901" s="167"/>
      <c r="AK901" s="167"/>
      <c r="AL901" s="167"/>
      <c r="AM901" s="167"/>
      <c r="AN901" s="148"/>
      <c r="AO901" s="148"/>
      <c r="AP901" s="148"/>
      <c r="AQ901" s="167"/>
      <c r="AR901" s="148"/>
      <c r="AS901" s="148"/>
      <c r="AT901" s="148"/>
      <c r="AU901" s="148"/>
      <c r="AV901" s="148"/>
      <c r="AW901" s="148"/>
      <c r="AX901" s="148"/>
      <c r="AY901" s="148"/>
      <c r="AZ901" s="167"/>
      <c r="BA901" s="167"/>
      <c r="BB901" s="167"/>
      <c r="BC901" s="167"/>
      <c r="BD901" s="167"/>
      <c r="BE901" s="167"/>
      <c r="BF901" s="167"/>
      <c r="BG901" s="167"/>
      <c r="BH901" s="167"/>
      <c r="BI901" s="167"/>
      <c r="BJ901" s="167"/>
      <c r="BK901" s="167"/>
      <c r="BL901" s="167"/>
      <c r="BM901" s="167"/>
      <c r="BN901" s="167"/>
      <c r="BO901" s="167"/>
      <c r="BP901" s="167"/>
      <c r="BQ901" s="167"/>
      <c r="BR901" s="167"/>
      <c r="BS901" s="167"/>
      <c r="BT901" s="167"/>
      <c r="BU901" s="167"/>
      <c r="BV901" s="167"/>
      <c r="BW901" s="167"/>
      <c r="BX901" s="167"/>
      <c r="BY901" s="175"/>
    </row>
    <row r="902" spans="1:77" s="18" customFormat="1" x14ac:dyDescent="0.15">
      <c r="A902" s="148">
        <v>1408010022</v>
      </c>
      <c r="B902" s="158" t="s">
        <v>693</v>
      </c>
      <c r="C902" s="150" t="s">
        <v>304</v>
      </c>
      <c r="D902" s="150"/>
      <c r="E902" s="150" t="s">
        <v>85</v>
      </c>
      <c r="F902" s="150">
        <v>30000</v>
      </c>
      <c r="G902" s="150">
        <v>100000</v>
      </c>
      <c r="H902" s="150"/>
      <c r="I902" s="150"/>
      <c r="J902" s="166"/>
      <c r="K902" s="166"/>
      <c r="L902" s="166"/>
      <c r="M902" s="166" t="s">
        <v>101</v>
      </c>
      <c r="N902" s="166"/>
      <c r="O902" s="150" t="s">
        <v>79</v>
      </c>
      <c r="P902" s="167" t="s">
        <v>80</v>
      </c>
      <c r="Q902" s="167">
        <v>180</v>
      </c>
      <c r="R902" s="185">
        <v>3500</v>
      </c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7"/>
      <c r="AF902" s="167"/>
      <c r="AG902" s="167"/>
      <c r="AH902" s="167"/>
      <c r="AI902" s="167"/>
      <c r="AJ902" s="167"/>
      <c r="AK902" s="167"/>
      <c r="AL902" s="167"/>
      <c r="AM902" s="167"/>
      <c r="AN902" s="148"/>
      <c r="AO902" s="148"/>
      <c r="AP902" s="148"/>
      <c r="AQ902" s="167"/>
      <c r="AR902" s="148"/>
      <c r="AS902" s="148"/>
      <c r="AT902" s="148"/>
      <c r="AU902" s="148"/>
      <c r="AV902" s="148"/>
      <c r="AW902" s="148"/>
      <c r="AX902" s="148"/>
      <c r="AY902" s="148"/>
      <c r="AZ902" s="167"/>
      <c r="BA902" s="167"/>
      <c r="BB902" s="167"/>
      <c r="BC902" s="167"/>
      <c r="BD902" s="167"/>
      <c r="BE902" s="167"/>
      <c r="BF902" s="167"/>
      <c r="BG902" s="167"/>
      <c r="BH902" s="167"/>
      <c r="BI902" s="167"/>
      <c r="BJ902" s="167"/>
      <c r="BK902" s="167"/>
      <c r="BL902" s="167"/>
      <c r="BM902" s="167"/>
      <c r="BN902" s="167"/>
      <c r="BO902" s="167"/>
      <c r="BP902" s="167"/>
      <c r="BQ902" s="167"/>
      <c r="BR902" s="167"/>
      <c r="BS902" s="167"/>
      <c r="BT902" s="167"/>
      <c r="BU902" s="167"/>
      <c r="BV902" s="167"/>
      <c r="BW902" s="167"/>
      <c r="BX902" s="167"/>
      <c r="BY902" s="175"/>
    </row>
    <row r="903" spans="1:77" s="18" customFormat="1" x14ac:dyDescent="0.15">
      <c r="A903" s="148">
        <v>1408010032</v>
      </c>
      <c r="B903" s="158" t="s">
        <v>693</v>
      </c>
      <c r="C903" s="150" t="s">
        <v>304</v>
      </c>
      <c r="D903" s="150"/>
      <c r="E903" s="150" t="s">
        <v>85</v>
      </c>
      <c r="F903" s="150">
        <v>30000</v>
      </c>
      <c r="G903" s="150">
        <v>100000</v>
      </c>
      <c r="H903" s="150"/>
      <c r="I903" s="150"/>
      <c r="J903" s="166"/>
      <c r="K903" s="166"/>
      <c r="L903" s="166"/>
      <c r="M903" s="166" t="s">
        <v>101</v>
      </c>
      <c r="N903" s="166"/>
      <c r="O903" s="150" t="s">
        <v>79</v>
      </c>
      <c r="P903" s="167" t="s">
        <v>80</v>
      </c>
      <c r="Q903" s="167">
        <v>240</v>
      </c>
      <c r="R903" s="185">
        <v>3500</v>
      </c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7"/>
      <c r="AF903" s="167"/>
      <c r="AG903" s="167"/>
      <c r="AH903" s="167"/>
      <c r="AI903" s="167"/>
      <c r="AJ903" s="167"/>
      <c r="AK903" s="167"/>
      <c r="AL903" s="167"/>
      <c r="AM903" s="167"/>
      <c r="AN903" s="148"/>
      <c r="AO903" s="148"/>
      <c r="AP903" s="148"/>
      <c r="AQ903" s="167"/>
      <c r="AR903" s="148"/>
      <c r="AS903" s="148"/>
      <c r="AT903" s="148"/>
      <c r="AU903" s="148"/>
      <c r="AV903" s="148"/>
      <c r="AW903" s="148"/>
      <c r="AX903" s="148"/>
      <c r="AY903" s="148"/>
      <c r="AZ903" s="167"/>
      <c r="BA903" s="167"/>
      <c r="BB903" s="167"/>
      <c r="BC903" s="167"/>
      <c r="BD903" s="167"/>
      <c r="BE903" s="167"/>
      <c r="BF903" s="167"/>
      <c r="BG903" s="167"/>
      <c r="BH903" s="167"/>
      <c r="BI903" s="167"/>
      <c r="BJ903" s="167"/>
      <c r="BK903" s="167"/>
      <c r="BL903" s="167"/>
      <c r="BM903" s="167"/>
      <c r="BN903" s="167"/>
      <c r="BO903" s="167"/>
      <c r="BP903" s="167"/>
      <c r="BQ903" s="167"/>
      <c r="BR903" s="167"/>
      <c r="BS903" s="167"/>
      <c r="BT903" s="167"/>
      <c r="BU903" s="167"/>
      <c r="BV903" s="167"/>
      <c r="BW903" s="167"/>
      <c r="BX903" s="167"/>
      <c r="BY903" s="175"/>
    </row>
    <row r="904" spans="1:77" s="18" customFormat="1" x14ac:dyDescent="0.15">
      <c r="A904" s="148">
        <v>1408010042</v>
      </c>
      <c r="B904" s="158" t="s">
        <v>693</v>
      </c>
      <c r="C904" s="150" t="s">
        <v>304</v>
      </c>
      <c r="D904" s="150"/>
      <c r="E904" s="150" t="s">
        <v>85</v>
      </c>
      <c r="F904" s="150">
        <v>30000</v>
      </c>
      <c r="G904" s="150">
        <v>100000</v>
      </c>
      <c r="H904" s="150"/>
      <c r="I904" s="150"/>
      <c r="J904" s="166"/>
      <c r="K904" s="166"/>
      <c r="L904" s="166"/>
      <c r="M904" s="166" t="s">
        <v>101</v>
      </c>
      <c r="N904" s="166"/>
      <c r="O904" s="150" t="s">
        <v>79</v>
      </c>
      <c r="P904" s="167" t="s">
        <v>80</v>
      </c>
      <c r="Q904" s="167">
        <v>300</v>
      </c>
      <c r="R904" s="185">
        <v>3500</v>
      </c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7"/>
      <c r="AF904" s="167"/>
      <c r="AG904" s="167"/>
      <c r="AH904" s="167"/>
      <c r="AI904" s="167"/>
      <c r="AJ904" s="167"/>
      <c r="AK904" s="167"/>
      <c r="AL904" s="167"/>
      <c r="AM904" s="167"/>
      <c r="AN904" s="148"/>
      <c r="AO904" s="148"/>
      <c r="AP904" s="148"/>
      <c r="AQ904" s="167"/>
      <c r="AR904" s="148"/>
      <c r="AS904" s="148"/>
      <c r="AT904" s="148"/>
      <c r="AU904" s="148"/>
      <c r="AV904" s="148"/>
      <c r="AW904" s="148"/>
      <c r="AX904" s="148"/>
      <c r="AY904" s="148"/>
      <c r="AZ904" s="167"/>
      <c r="BA904" s="167"/>
      <c r="BB904" s="167"/>
      <c r="BC904" s="167"/>
      <c r="BD904" s="167"/>
      <c r="BE904" s="167"/>
      <c r="BF904" s="167"/>
      <c r="BG904" s="167"/>
      <c r="BH904" s="167"/>
      <c r="BI904" s="167"/>
      <c r="BJ904" s="167"/>
      <c r="BK904" s="167"/>
      <c r="BL904" s="167"/>
      <c r="BM904" s="167"/>
      <c r="BN904" s="167"/>
      <c r="BO904" s="167"/>
      <c r="BP904" s="167"/>
      <c r="BQ904" s="167"/>
      <c r="BR904" s="167"/>
      <c r="BS904" s="167"/>
      <c r="BT904" s="167"/>
      <c r="BU904" s="167"/>
      <c r="BV904" s="167"/>
      <c r="BW904" s="167"/>
      <c r="BX904" s="167"/>
      <c r="BY904" s="175"/>
    </row>
    <row r="905" spans="1:77" s="18" customFormat="1" x14ac:dyDescent="0.15">
      <c r="A905" s="148">
        <v>1408010013</v>
      </c>
      <c r="B905" s="158" t="s">
        <v>694</v>
      </c>
      <c r="C905" s="150" t="s">
        <v>100</v>
      </c>
      <c r="D905" s="150"/>
      <c r="E905" s="150" t="s">
        <v>83</v>
      </c>
      <c r="F905" s="150">
        <v>30000</v>
      </c>
      <c r="G905" s="150"/>
      <c r="H905" s="150"/>
      <c r="I905" s="150"/>
      <c r="J905" s="166"/>
      <c r="K905" s="166"/>
      <c r="L905" s="166"/>
      <c r="M905" s="166" t="s">
        <v>101</v>
      </c>
      <c r="N905" s="166" t="s">
        <v>850</v>
      </c>
      <c r="O905" s="150" t="s">
        <v>79</v>
      </c>
      <c r="P905" s="167" t="s">
        <v>80</v>
      </c>
      <c r="Q905" s="167">
        <v>120</v>
      </c>
      <c r="R905" s="185">
        <v>3500</v>
      </c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7"/>
      <c r="AF905" s="167"/>
      <c r="AG905" s="167"/>
      <c r="AH905" s="167"/>
      <c r="AI905" s="167"/>
      <c r="AJ905" s="167" t="s">
        <v>90</v>
      </c>
      <c r="AK905" s="167"/>
      <c r="AL905" s="167"/>
      <c r="AM905" s="167"/>
      <c r="AN905" s="148"/>
      <c r="AO905" s="148"/>
      <c r="AP905" s="148"/>
      <c r="AQ905" s="167"/>
      <c r="AR905" s="148"/>
      <c r="AS905" s="148"/>
      <c r="AT905" s="148"/>
      <c r="AU905" s="148"/>
      <c r="AV905" s="148"/>
      <c r="AW905" s="148"/>
      <c r="AX905" s="148">
        <v>1408010401</v>
      </c>
      <c r="AY905" s="148">
        <v>1408010401</v>
      </c>
      <c r="AZ905" s="167"/>
      <c r="BA905" s="167"/>
      <c r="BB905" s="167"/>
      <c r="BC905" s="167"/>
      <c r="BD905" s="167"/>
      <c r="BE905" s="167"/>
      <c r="BF905" s="167"/>
      <c r="BG905" s="167"/>
      <c r="BH905" s="167"/>
      <c r="BI905" s="167"/>
      <c r="BJ905" s="167"/>
      <c r="BK905" s="167"/>
      <c r="BL905" s="167"/>
      <c r="BM905" s="167"/>
      <c r="BN905" s="167"/>
      <c r="BO905" s="167"/>
      <c r="BP905" s="167"/>
      <c r="BQ905" s="167"/>
      <c r="BR905" s="167"/>
      <c r="BS905" s="167"/>
      <c r="BT905" s="167"/>
      <c r="BU905" s="167"/>
      <c r="BV905" s="167"/>
      <c r="BW905" s="167"/>
      <c r="BX905" s="167"/>
      <c r="BY905" s="175"/>
    </row>
    <row r="906" spans="1:77" s="18" customFormat="1" x14ac:dyDescent="0.15">
      <c r="A906" s="148">
        <v>1408010023</v>
      </c>
      <c r="B906" s="158" t="s">
        <v>694</v>
      </c>
      <c r="C906" s="150" t="s">
        <v>100</v>
      </c>
      <c r="D906" s="150"/>
      <c r="E906" s="150" t="s">
        <v>83</v>
      </c>
      <c r="F906" s="150">
        <v>30000</v>
      </c>
      <c r="G906" s="150"/>
      <c r="H906" s="150"/>
      <c r="I906" s="150"/>
      <c r="J906" s="166"/>
      <c r="K906" s="166"/>
      <c r="L906" s="166"/>
      <c r="M906" s="166" t="s">
        <v>101</v>
      </c>
      <c r="N906" s="166" t="s">
        <v>850</v>
      </c>
      <c r="O906" s="150" t="s">
        <v>79</v>
      </c>
      <c r="P906" s="167" t="s">
        <v>80</v>
      </c>
      <c r="Q906" s="167">
        <v>180</v>
      </c>
      <c r="R906" s="185">
        <v>3500</v>
      </c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7"/>
      <c r="AF906" s="167"/>
      <c r="AG906" s="167"/>
      <c r="AH906" s="167"/>
      <c r="AI906" s="167"/>
      <c r="AJ906" s="167" t="s">
        <v>90</v>
      </c>
      <c r="AK906" s="167"/>
      <c r="AL906" s="167"/>
      <c r="AM906" s="167"/>
      <c r="AN906" s="148"/>
      <c r="AO906" s="148"/>
      <c r="AP906" s="148"/>
      <c r="AQ906" s="167"/>
      <c r="AR906" s="148"/>
      <c r="AS906" s="148"/>
      <c r="AT906" s="148"/>
      <c r="AU906" s="148"/>
      <c r="AV906" s="148"/>
      <c r="AW906" s="148"/>
      <c r="AX906" s="148">
        <v>1408010402</v>
      </c>
      <c r="AY906" s="148">
        <v>1408010402</v>
      </c>
      <c r="AZ906" s="167"/>
      <c r="BA906" s="167"/>
      <c r="BB906" s="167"/>
      <c r="BC906" s="167"/>
      <c r="BD906" s="167"/>
      <c r="BE906" s="167"/>
      <c r="BF906" s="167"/>
      <c r="BG906" s="167"/>
      <c r="BH906" s="167"/>
      <c r="BI906" s="167"/>
      <c r="BJ906" s="167"/>
      <c r="BK906" s="167"/>
      <c r="BL906" s="167"/>
      <c r="BM906" s="167"/>
      <c r="BN906" s="167"/>
      <c r="BO906" s="167"/>
      <c r="BP906" s="167"/>
      <c r="BQ906" s="167"/>
      <c r="BR906" s="167"/>
      <c r="BS906" s="167"/>
      <c r="BT906" s="167"/>
      <c r="BU906" s="167"/>
      <c r="BV906" s="167"/>
      <c r="BW906" s="167"/>
      <c r="BX906" s="167"/>
      <c r="BY906" s="175"/>
    </row>
    <row r="907" spans="1:77" s="18" customFormat="1" x14ac:dyDescent="0.15">
      <c r="A907" s="148">
        <v>1408010033</v>
      </c>
      <c r="B907" s="158" t="s">
        <v>694</v>
      </c>
      <c r="C907" s="150" t="s">
        <v>100</v>
      </c>
      <c r="D907" s="150"/>
      <c r="E907" s="150" t="s">
        <v>83</v>
      </c>
      <c r="F907" s="150">
        <v>30000</v>
      </c>
      <c r="G907" s="150"/>
      <c r="H907" s="150"/>
      <c r="I907" s="150"/>
      <c r="J907" s="166"/>
      <c r="K907" s="166"/>
      <c r="L907" s="166"/>
      <c r="M907" s="166" t="s">
        <v>101</v>
      </c>
      <c r="N907" s="166" t="s">
        <v>850</v>
      </c>
      <c r="O907" s="150" t="s">
        <v>79</v>
      </c>
      <c r="P907" s="167" t="s">
        <v>80</v>
      </c>
      <c r="Q907" s="167">
        <v>240</v>
      </c>
      <c r="R907" s="185">
        <v>3500</v>
      </c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7"/>
      <c r="AF907" s="167"/>
      <c r="AG907" s="167"/>
      <c r="AH907" s="167"/>
      <c r="AI907" s="167"/>
      <c r="AJ907" s="167" t="s">
        <v>90</v>
      </c>
      <c r="AK907" s="167"/>
      <c r="AL907" s="167"/>
      <c r="AM907" s="167"/>
      <c r="AN907" s="148"/>
      <c r="AO907" s="148"/>
      <c r="AP907" s="148"/>
      <c r="AQ907" s="167"/>
      <c r="AR907" s="148"/>
      <c r="AS907" s="148"/>
      <c r="AT907" s="148"/>
      <c r="AU907" s="148"/>
      <c r="AV907" s="148"/>
      <c r="AW907" s="148"/>
      <c r="AX907" s="148">
        <v>1408010403</v>
      </c>
      <c r="AY907" s="148">
        <v>1408010403</v>
      </c>
      <c r="AZ907" s="167"/>
      <c r="BA907" s="167"/>
      <c r="BB907" s="167"/>
      <c r="BC907" s="167"/>
      <c r="BD907" s="167"/>
      <c r="BE907" s="167"/>
      <c r="BF907" s="167"/>
      <c r="BG907" s="167"/>
      <c r="BH907" s="167"/>
      <c r="BI907" s="167"/>
      <c r="BJ907" s="167"/>
      <c r="BK907" s="167"/>
      <c r="BL907" s="167"/>
      <c r="BM907" s="167"/>
      <c r="BN907" s="167"/>
      <c r="BO907" s="167"/>
      <c r="BP907" s="167"/>
      <c r="BQ907" s="167"/>
      <c r="BR907" s="167"/>
      <c r="BS907" s="167"/>
      <c r="BT907" s="167"/>
      <c r="BU907" s="167"/>
      <c r="BV907" s="167"/>
      <c r="BW907" s="167"/>
      <c r="BX907" s="167"/>
      <c r="BY907" s="175"/>
    </row>
    <row r="908" spans="1:77" s="18" customFormat="1" x14ac:dyDescent="0.15">
      <c r="A908" s="148">
        <v>1408010043</v>
      </c>
      <c r="B908" s="158" t="s">
        <v>694</v>
      </c>
      <c r="C908" s="150" t="s">
        <v>100</v>
      </c>
      <c r="D908" s="150"/>
      <c r="E908" s="150" t="s">
        <v>83</v>
      </c>
      <c r="F908" s="150">
        <v>30000</v>
      </c>
      <c r="G908" s="150"/>
      <c r="H908" s="150"/>
      <c r="I908" s="150"/>
      <c r="J908" s="166"/>
      <c r="K908" s="166"/>
      <c r="L908" s="166"/>
      <c r="M908" s="166" t="s">
        <v>101</v>
      </c>
      <c r="N908" s="166" t="s">
        <v>850</v>
      </c>
      <c r="O908" s="150" t="s">
        <v>79</v>
      </c>
      <c r="P908" s="167" t="s">
        <v>80</v>
      </c>
      <c r="Q908" s="167">
        <v>300</v>
      </c>
      <c r="R908" s="185">
        <v>3500</v>
      </c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7"/>
      <c r="AF908" s="167"/>
      <c r="AG908" s="167"/>
      <c r="AH908" s="167"/>
      <c r="AI908" s="167"/>
      <c r="AJ908" s="167" t="s">
        <v>90</v>
      </c>
      <c r="AK908" s="167"/>
      <c r="AL908" s="167"/>
      <c r="AM908" s="167"/>
      <c r="AN908" s="148"/>
      <c r="AO908" s="148"/>
      <c r="AP908" s="148"/>
      <c r="AQ908" s="167"/>
      <c r="AR908" s="148"/>
      <c r="AS908" s="148"/>
      <c r="AT908" s="148"/>
      <c r="AU908" s="148"/>
      <c r="AV908" s="148"/>
      <c r="AW908" s="148"/>
      <c r="AX908" s="148">
        <v>1408010404</v>
      </c>
      <c r="AY908" s="148">
        <v>1408010404</v>
      </c>
      <c r="AZ908" s="167"/>
      <c r="BA908" s="167"/>
      <c r="BB908" s="167"/>
      <c r="BC908" s="167"/>
      <c r="BD908" s="167"/>
      <c r="BE908" s="167"/>
      <c r="BF908" s="167"/>
      <c r="BG908" s="167"/>
      <c r="BH908" s="167"/>
      <c r="BI908" s="167"/>
      <c r="BJ908" s="167"/>
      <c r="BK908" s="167"/>
      <c r="BL908" s="167"/>
      <c r="BM908" s="167"/>
      <c r="BN908" s="167"/>
      <c r="BO908" s="167"/>
      <c r="BP908" s="167"/>
      <c r="BQ908" s="167"/>
      <c r="BR908" s="167"/>
      <c r="BS908" s="167"/>
      <c r="BT908" s="167"/>
      <c r="BU908" s="167"/>
      <c r="BV908" s="167"/>
      <c r="BW908" s="167"/>
      <c r="BX908" s="167"/>
      <c r="BY908" s="175"/>
    </row>
    <row r="909" spans="1:77" s="18" customFormat="1" x14ac:dyDescent="0.15">
      <c r="A909" s="148">
        <v>1408010014</v>
      </c>
      <c r="B909" s="158" t="s">
        <v>695</v>
      </c>
      <c r="C909" s="150" t="s">
        <v>100</v>
      </c>
      <c r="D909" s="150"/>
      <c r="E909" s="150" t="s">
        <v>83</v>
      </c>
      <c r="F909" s="150">
        <v>50000</v>
      </c>
      <c r="G909" s="150"/>
      <c r="H909" s="150"/>
      <c r="I909" s="150"/>
      <c r="J909" s="166"/>
      <c r="K909" s="166"/>
      <c r="L909" s="166"/>
      <c r="M909" s="166" t="s">
        <v>101</v>
      </c>
      <c r="N909" s="166" t="s">
        <v>850</v>
      </c>
      <c r="O909" s="150" t="s">
        <v>79</v>
      </c>
      <c r="P909" s="167" t="s">
        <v>80</v>
      </c>
      <c r="Q909" s="167">
        <v>120</v>
      </c>
      <c r="R909" s="185">
        <v>3500</v>
      </c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7"/>
      <c r="AF909" s="167"/>
      <c r="AG909" s="167"/>
      <c r="AH909" s="167"/>
      <c r="AI909" s="167"/>
      <c r="AJ909" s="167" t="s">
        <v>90</v>
      </c>
      <c r="AK909" s="167"/>
      <c r="AL909" s="167"/>
      <c r="AM909" s="167"/>
      <c r="AN909" s="148"/>
      <c r="AO909" s="148"/>
      <c r="AP909" s="148"/>
      <c r="AQ909" s="167"/>
      <c r="AR909" s="148"/>
      <c r="AS909" s="148"/>
      <c r="AT909" s="148"/>
      <c r="AU909" s="148"/>
      <c r="AV909" s="148"/>
      <c r="AW909" s="148"/>
      <c r="AX909" s="148">
        <v>1408010301</v>
      </c>
      <c r="AY909" s="148">
        <v>1408010201</v>
      </c>
      <c r="AZ909" s="167"/>
      <c r="BA909" s="167"/>
      <c r="BB909" s="167"/>
      <c r="BC909" s="167"/>
      <c r="BD909" s="167"/>
      <c r="BE909" s="167"/>
      <c r="BF909" s="167"/>
      <c r="BG909" s="167"/>
      <c r="BH909" s="167"/>
      <c r="BI909" s="167"/>
      <c r="BJ909" s="167"/>
      <c r="BK909" s="167"/>
      <c r="BL909" s="167"/>
      <c r="BM909" s="167"/>
      <c r="BN909" s="167"/>
      <c r="BO909" s="167"/>
      <c r="BP909" s="167"/>
      <c r="BQ909" s="167"/>
      <c r="BR909" s="167"/>
      <c r="BS909" s="167"/>
      <c r="BT909" s="167"/>
      <c r="BU909" s="167"/>
      <c r="BV909" s="167"/>
      <c r="BW909" s="167"/>
      <c r="BX909" s="167"/>
      <c r="BY909" s="175"/>
    </row>
    <row r="910" spans="1:77" s="18" customFormat="1" x14ac:dyDescent="0.15">
      <c r="A910" s="148">
        <v>1408010024</v>
      </c>
      <c r="B910" s="158" t="s">
        <v>695</v>
      </c>
      <c r="C910" s="150" t="s">
        <v>100</v>
      </c>
      <c r="D910" s="150"/>
      <c r="E910" s="150" t="s">
        <v>83</v>
      </c>
      <c r="F910" s="150">
        <v>50000</v>
      </c>
      <c r="G910" s="150"/>
      <c r="H910" s="150"/>
      <c r="I910" s="150"/>
      <c r="J910" s="166"/>
      <c r="K910" s="166"/>
      <c r="L910" s="166"/>
      <c r="M910" s="166" t="s">
        <v>101</v>
      </c>
      <c r="N910" s="166" t="s">
        <v>850</v>
      </c>
      <c r="O910" s="150" t="s">
        <v>79</v>
      </c>
      <c r="P910" s="167" t="s">
        <v>80</v>
      </c>
      <c r="Q910" s="167">
        <v>180</v>
      </c>
      <c r="R910" s="185">
        <v>3500</v>
      </c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7"/>
      <c r="AF910" s="167"/>
      <c r="AG910" s="167"/>
      <c r="AH910" s="167"/>
      <c r="AI910" s="167"/>
      <c r="AJ910" s="167" t="s">
        <v>90</v>
      </c>
      <c r="AK910" s="167"/>
      <c r="AL910" s="167"/>
      <c r="AM910" s="167"/>
      <c r="AN910" s="148"/>
      <c r="AO910" s="148"/>
      <c r="AP910" s="148"/>
      <c r="AQ910" s="167"/>
      <c r="AR910" s="148"/>
      <c r="AS910" s="148"/>
      <c r="AT910" s="148"/>
      <c r="AU910" s="148"/>
      <c r="AV910" s="148"/>
      <c r="AW910" s="148"/>
      <c r="AX910" s="148">
        <v>1408010302</v>
      </c>
      <c r="AY910" s="148">
        <v>1408010202</v>
      </c>
      <c r="AZ910" s="167"/>
      <c r="BA910" s="167"/>
      <c r="BB910" s="167"/>
      <c r="BC910" s="167"/>
      <c r="BD910" s="167"/>
      <c r="BE910" s="167"/>
      <c r="BF910" s="167"/>
      <c r="BG910" s="167"/>
      <c r="BH910" s="167"/>
      <c r="BI910" s="167"/>
      <c r="BJ910" s="167"/>
      <c r="BK910" s="167"/>
      <c r="BL910" s="167"/>
      <c r="BM910" s="167"/>
      <c r="BN910" s="167"/>
      <c r="BO910" s="167"/>
      <c r="BP910" s="167"/>
      <c r="BQ910" s="167"/>
      <c r="BR910" s="167"/>
      <c r="BS910" s="167"/>
      <c r="BT910" s="167"/>
      <c r="BU910" s="167"/>
      <c r="BV910" s="167"/>
      <c r="BW910" s="167"/>
      <c r="BX910" s="167"/>
      <c r="BY910" s="175"/>
    </row>
    <row r="911" spans="1:77" s="18" customFormat="1" x14ac:dyDescent="0.15">
      <c r="A911" s="148">
        <v>1408010034</v>
      </c>
      <c r="B911" s="158" t="s">
        <v>695</v>
      </c>
      <c r="C911" s="150" t="s">
        <v>100</v>
      </c>
      <c r="D911" s="150"/>
      <c r="E911" s="150" t="s">
        <v>83</v>
      </c>
      <c r="F911" s="150">
        <v>50000</v>
      </c>
      <c r="G911" s="150"/>
      <c r="H911" s="150"/>
      <c r="I911" s="150"/>
      <c r="J911" s="166"/>
      <c r="K911" s="166"/>
      <c r="L911" s="166"/>
      <c r="M911" s="166" t="s">
        <v>101</v>
      </c>
      <c r="N911" s="166" t="s">
        <v>850</v>
      </c>
      <c r="O911" s="150" t="s">
        <v>79</v>
      </c>
      <c r="P911" s="167" t="s">
        <v>80</v>
      </c>
      <c r="Q911" s="167">
        <v>240</v>
      </c>
      <c r="R911" s="185">
        <v>3500</v>
      </c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7"/>
      <c r="AF911" s="167"/>
      <c r="AG911" s="167"/>
      <c r="AH911" s="167"/>
      <c r="AI911" s="167"/>
      <c r="AJ911" s="167" t="s">
        <v>90</v>
      </c>
      <c r="AK911" s="167"/>
      <c r="AL911" s="167"/>
      <c r="AM911" s="167"/>
      <c r="AN911" s="148"/>
      <c r="AO911" s="148"/>
      <c r="AP911" s="148"/>
      <c r="AQ911" s="167"/>
      <c r="AR911" s="148"/>
      <c r="AS911" s="148"/>
      <c r="AT911" s="148"/>
      <c r="AU911" s="148"/>
      <c r="AV911" s="148"/>
      <c r="AW911" s="148"/>
      <c r="AX911" s="148">
        <v>1408010303</v>
      </c>
      <c r="AY911" s="148">
        <v>1408010203</v>
      </c>
      <c r="AZ911" s="167"/>
      <c r="BA911" s="167"/>
      <c r="BB911" s="167"/>
      <c r="BC911" s="167"/>
      <c r="BD911" s="167"/>
      <c r="BE911" s="167"/>
      <c r="BF911" s="167"/>
      <c r="BG911" s="167"/>
      <c r="BH911" s="167"/>
      <c r="BI911" s="167"/>
      <c r="BJ911" s="167"/>
      <c r="BK911" s="167"/>
      <c r="BL911" s="167"/>
      <c r="BM911" s="167"/>
      <c r="BN911" s="167"/>
      <c r="BO911" s="167"/>
      <c r="BP911" s="167"/>
      <c r="BQ911" s="167"/>
      <c r="BR911" s="167"/>
      <c r="BS911" s="167"/>
      <c r="BT911" s="167"/>
      <c r="BU911" s="167"/>
      <c r="BV911" s="167"/>
      <c r="BW911" s="167"/>
      <c r="BX911" s="167"/>
      <c r="BY911" s="175"/>
    </row>
    <row r="912" spans="1:77" s="18" customFormat="1" x14ac:dyDescent="0.15">
      <c r="A912" s="148">
        <v>1408010044</v>
      </c>
      <c r="B912" s="158" t="s">
        <v>695</v>
      </c>
      <c r="C912" s="150" t="s">
        <v>100</v>
      </c>
      <c r="D912" s="150"/>
      <c r="E912" s="150" t="s">
        <v>83</v>
      </c>
      <c r="F912" s="150">
        <v>50000</v>
      </c>
      <c r="G912" s="150"/>
      <c r="H912" s="150"/>
      <c r="I912" s="150"/>
      <c r="J912" s="166"/>
      <c r="K912" s="166"/>
      <c r="L912" s="166"/>
      <c r="M912" s="166" t="s">
        <v>101</v>
      </c>
      <c r="N912" s="166" t="s">
        <v>850</v>
      </c>
      <c r="O912" s="150" t="s">
        <v>79</v>
      </c>
      <c r="P912" s="167" t="s">
        <v>80</v>
      </c>
      <c r="Q912" s="167">
        <v>300</v>
      </c>
      <c r="R912" s="185">
        <v>3500</v>
      </c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7"/>
      <c r="AF912" s="167"/>
      <c r="AG912" s="167"/>
      <c r="AH912" s="167"/>
      <c r="AI912" s="167"/>
      <c r="AJ912" s="167" t="s">
        <v>90</v>
      </c>
      <c r="AK912" s="167"/>
      <c r="AL912" s="167"/>
      <c r="AM912" s="167"/>
      <c r="AN912" s="148"/>
      <c r="AO912" s="148"/>
      <c r="AP912" s="148"/>
      <c r="AQ912" s="167"/>
      <c r="AR912" s="148"/>
      <c r="AS912" s="148"/>
      <c r="AT912" s="148"/>
      <c r="AU912" s="148"/>
      <c r="AV912" s="148"/>
      <c r="AW912" s="148"/>
      <c r="AX912" s="148">
        <v>1408010304</v>
      </c>
      <c r="AY912" s="148">
        <v>1408010204</v>
      </c>
      <c r="AZ912" s="167"/>
      <c r="BA912" s="167"/>
      <c r="BB912" s="167"/>
      <c r="BC912" s="167"/>
      <c r="BD912" s="167"/>
      <c r="BE912" s="167"/>
      <c r="BF912" s="167"/>
      <c r="BG912" s="167"/>
      <c r="BH912" s="167"/>
      <c r="BI912" s="167"/>
      <c r="BJ912" s="167"/>
      <c r="BK912" s="167"/>
      <c r="BL912" s="167"/>
      <c r="BM912" s="167"/>
      <c r="BN912" s="167"/>
      <c r="BO912" s="167"/>
      <c r="BP912" s="167"/>
      <c r="BQ912" s="167"/>
      <c r="BR912" s="167"/>
      <c r="BS912" s="167"/>
      <c r="BT912" s="167"/>
      <c r="BU912" s="167"/>
      <c r="BV912" s="167"/>
      <c r="BW912" s="167"/>
      <c r="BX912" s="167"/>
      <c r="BY912" s="175"/>
    </row>
    <row r="913" spans="1:77" s="18" customFormat="1" x14ac:dyDescent="0.15">
      <c r="A913" s="148">
        <v>1408020011</v>
      </c>
      <c r="B913" s="158" t="s">
        <v>696</v>
      </c>
      <c r="C913" s="150" t="s">
        <v>89</v>
      </c>
      <c r="D913" s="150"/>
      <c r="E913" s="150" t="s">
        <v>78</v>
      </c>
      <c r="F913" s="150"/>
      <c r="G913" s="150"/>
      <c r="H913" s="150"/>
      <c r="I913" s="150"/>
      <c r="J913" s="166"/>
      <c r="K913" s="166"/>
      <c r="L913" s="166"/>
      <c r="M913" s="166" t="s">
        <v>101</v>
      </c>
      <c r="N913" s="166"/>
      <c r="O913" s="150" t="s">
        <v>90</v>
      </c>
      <c r="P913" s="167"/>
      <c r="Q913" s="167"/>
      <c r="R913" s="185"/>
      <c r="S913" s="167"/>
      <c r="T913" s="167"/>
      <c r="U913" s="167"/>
      <c r="V913" s="167"/>
      <c r="W913" s="148"/>
      <c r="X913" s="148"/>
      <c r="Y913" s="148"/>
      <c r="Z913" s="148"/>
      <c r="AA913" s="167"/>
      <c r="AB913" s="167"/>
      <c r="AC913" s="167"/>
      <c r="AD913" s="167">
        <v>1408020201</v>
      </c>
      <c r="AE913" s="167"/>
      <c r="AF913" s="167"/>
      <c r="AG913" s="167"/>
      <c r="AH913" s="167"/>
      <c r="AI913" s="167"/>
      <c r="AJ913" s="167" t="s">
        <v>90</v>
      </c>
      <c r="AK913" s="167"/>
      <c r="AL913" s="167"/>
      <c r="AM913" s="167"/>
      <c r="AN913" s="167"/>
      <c r="AO913" s="167"/>
      <c r="AP913" s="167"/>
      <c r="AQ913" s="167"/>
      <c r="AR913" s="167"/>
      <c r="AS913" s="167"/>
      <c r="AT913" s="167"/>
      <c r="AU913" s="167"/>
      <c r="AV913" s="167"/>
      <c r="AW913" s="167"/>
      <c r="AX913" s="148"/>
      <c r="AY913" s="148">
        <v>1408020101</v>
      </c>
      <c r="AZ913" s="167"/>
      <c r="BA913" s="167"/>
      <c r="BB913" s="167"/>
      <c r="BC913" s="167"/>
      <c r="BD913" s="167"/>
      <c r="BE913" s="167"/>
      <c r="BF913" s="167"/>
      <c r="BG913" s="167"/>
      <c r="BH913" s="167"/>
      <c r="BI913" s="167"/>
      <c r="BJ913" s="167"/>
      <c r="BK913" s="167"/>
      <c r="BL913" s="167"/>
      <c r="BM913" s="167"/>
      <c r="BN913" s="167"/>
      <c r="BO913" s="167"/>
      <c r="BP913" s="167"/>
      <c r="BQ913" s="167"/>
      <c r="BR913" s="167"/>
      <c r="BS913" s="167"/>
      <c r="BT913" s="167"/>
      <c r="BU913" s="167"/>
      <c r="BV913" s="167"/>
      <c r="BW913" s="167"/>
      <c r="BX913" s="167"/>
      <c r="BY913" s="175"/>
    </row>
    <row r="914" spans="1:77" s="18" customFormat="1" x14ac:dyDescent="0.15">
      <c r="A914" s="148">
        <v>1408020021</v>
      </c>
      <c r="B914" s="158" t="s">
        <v>696</v>
      </c>
      <c r="C914" s="150" t="s">
        <v>89</v>
      </c>
      <c r="D914" s="150"/>
      <c r="E914" s="150" t="s">
        <v>78</v>
      </c>
      <c r="F914" s="150"/>
      <c r="G914" s="150"/>
      <c r="H914" s="150"/>
      <c r="I914" s="150"/>
      <c r="J914" s="166"/>
      <c r="K914" s="166"/>
      <c r="L914" s="166"/>
      <c r="M914" s="166" t="s">
        <v>101</v>
      </c>
      <c r="N914" s="166"/>
      <c r="O914" s="150" t="s">
        <v>90</v>
      </c>
      <c r="P914" s="167"/>
      <c r="Q914" s="167"/>
      <c r="R914" s="185"/>
      <c r="S914" s="167"/>
      <c r="T914" s="167"/>
      <c r="U914" s="167"/>
      <c r="V914" s="167"/>
      <c r="W914" s="148"/>
      <c r="X914" s="148"/>
      <c r="Y914" s="148"/>
      <c r="Z914" s="148"/>
      <c r="AA914" s="167"/>
      <c r="AB914" s="167"/>
      <c r="AC914" s="167"/>
      <c r="AD914" s="167">
        <v>1408020201</v>
      </c>
      <c r="AE914" s="167"/>
      <c r="AF914" s="167"/>
      <c r="AG914" s="167"/>
      <c r="AH914" s="167"/>
      <c r="AI914" s="167"/>
      <c r="AJ914" s="167" t="s">
        <v>90</v>
      </c>
      <c r="AK914" s="167"/>
      <c r="AL914" s="167"/>
      <c r="AM914" s="167"/>
      <c r="AN914" s="167"/>
      <c r="AO914" s="167"/>
      <c r="AP914" s="167"/>
      <c r="AQ914" s="167"/>
      <c r="AR914" s="167"/>
      <c r="AS914" s="167"/>
      <c r="AT914" s="167"/>
      <c r="AU914" s="167"/>
      <c r="AV914" s="167"/>
      <c r="AW914" s="167"/>
      <c r="AX914" s="148"/>
      <c r="AY914" s="148">
        <v>1408020102</v>
      </c>
      <c r="AZ914" s="167"/>
      <c r="BA914" s="167"/>
      <c r="BB914" s="167"/>
      <c r="BC914" s="167"/>
      <c r="BD914" s="167"/>
      <c r="BE914" s="167"/>
      <c r="BF914" s="167"/>
      <c r="BG914" s="167"/>
      <c r="BH914" s="167"/>
      <c r="BI914" s="167"/>
      <c r="BJ914" s="167"/>
      <c r="BK914" s="167"/>
      <c r="BL914" s="167"/>
      <c r="BM914" s="167"/>
      <c r="BN914" s="167"/>
      <c r="BO914" s="167"/>
      <c r="BP914" s="167"/>
      <c r="BQ914" s="167"/>
      <c r="BR914" s="167"/>
      <c r="BS914" s="167"/>
      <c r="BT914" s="167"/>
      <c r="BU914" s="167"/>
      <c r="BV914" s="167"/>
      <c r="BW914" s="167"/>
      <c r="BX914" s="167"/>
      <c r="BY914" s="175"/>
    </row>
    <row r="915" spans="1:77" s="18" customFormat="1" x14ac:dyDescent="0.15">
      <c r="A915" s="148">
        <v>1408020031</v>
      </c>
      <c r="B915" s="158" t="s">
        <v>696</v>
      </c>
      <c r="C915" s="150" t="s">
        <v>89</v>
      </c>
      <c r="D915" s="150"/>
      <c r="E915" s="150" t="s">
        <v>78</v>
      </c>
      <c r="F915" s="150"/>
      <c r="G915" s="150"/>
      <c r="H915" s="150"/>
      <c r="I915" s="150"/>
      <c r="J915" s="166"/>
      <c r="K915" s="166"/>
      <c r="L915" s="166"/>
      <c r="M915" s="166" t="s">
        <v>101</v>
      </c>
      <c r="N915" s="166"/>
      <c r="O915" s="150" t="s">
        <v>90</v>
      </c>
      <c r="P915" s="167"/>
      <c r="Q915" s="167"/>
      <c r="R915" s="185"/>
      <c r="S915" s="167"/>
      <c r="T915" s="167"/>
      <c r="U915" s="167"/>
      <c r="V915" s="167"/>
      <c r="W915" s="148"/>
      <c r="X915" s="148"/>
      <c r="Y915" s="148"/>
      <c r="Z915" s="148"/>
      <c r="AA915" s="167"/>
      <c r="AB915" s="167"/>
      <c r="AC915" s="167"/>
      <c r="AD915" s="167">
        <v>1408020201</v>
      </c>
      <c r="AE915" s="167"/>
      <c r="AF915" s="167"/>
      <c r="AG915" s="167"/>
      <c r="AH915" s="167"/>
      <c r="AI915" s="167"/>
      <c r="AJ915" s="167" t="s">
        <v>90</v>
      </c>
      <c r="AK915" s="167"/>
      <c r="AL915" s="167"/>
      <c r="AM915" s="167"/>
      <c r="AN915" s="167"/>
      <c r="AO915" s="167"/>
      <c r="AP915" s="167"/>
      <c r="AQ915" s="167"/>
      <c r="AR915" s="167"/>
      <c r="AS915" s="167"/>
      <c r="AT915" s="167"/>
      <c r="AU915" s="167"/>
      <c r="AV915" s="167"/>
      <c r="AW915" s="167"/>
      <c r="AX915" s="148"/>
      <c r="AY915" s="148">
        <v>1408020103</v>
      </c>
      <c r="AZ915" s="167"/>
      <c r="BA915" s="167"/>
      <c r="BB915" s="167"/>
      <c r="BC915" s="167"/>
      <c r="BD915" s="167"/>
      <c r="BE915" s="167"/>
      <c r="BF915" s="167"/>
      <c r="BG915" s="167"/>
      <c r="BH915" s="167"/>
      <c r="BI915" s="167"/>
      <c r="BJ915" s="167"/>
      <c r="BK915" s="167"/>
      <c r="BL915" s="167"/>
      <c r="BM915" s="167"/>
      <c r="BN915" s="167"/>
      <c r="BO915" s="167"/>
      <c r="BP915" s="167"/>
      <c r="BQ915" s="167"/>
      <c r="BR915" s="167"/>
      <c r="BS915" s="167"/>
      <c r="BT915" s="167"/>
      <c r="BU915" s="167"/>
      <c r="BV915" s="167"/>
      <c r="BW915" s="167"/>
      <c r="BX915" s="167"/>
      <c r="BY915" s="175"/>
    </row>
    <row r="916" spans="1:77" s="18" customFormat="1" x14ac:dyDescent="0.15">
      <c r="A916" s="148">
        <v>1408020041</v>
      </c>
      <c r="B916" s="158" t="s">
        <v>696</v>
      </c>
      <c r="C916" s="150" t="s">
        <v>89</v>
      </c>
      <c r="D916" s="150"/>
      <c r="E916" s="150" t="s">
        <v>78</v>
      </c>
      <c r="F916" s="150"/>
      <c r="G916" s="150"/>
      <c r="H916" s="150"/>
      <c r="I916" s="150"/>
      <c r="J916" s="166"/>
      <c r="K916" s="166"/>
      <c r="L916" s="166"/>
      <c r="M916" s="166" t="s">
        <v>101</v>
      </c>
      <c r="N916" s="166"/>
      <c r="O916" s="150" t="s">
        <v>90</v>
      </c>
      <c r="P916" s="167"/>
      <c r="Q916" s="167"/>
      <c r="R916" s="185"/>
      <c r="S916" s="167"/>
      <c r="T916" s="167"/>
      <c r="U916" s="167"/>
      <c r="V916" s="167"/>
      <c r="W916" s="148"/>
      <c r="X916" s="148"/>
      <c r="Y916" s="148"/>
      <c r="Z916" s="148"/>
      <c r="AA916" s="167"/>
      <c r="AB916" s="167"/>
      <c r="AC916" s="167"/>
      <c r="AD916" s="167">
        <v>1408020201</v>
      </c>
      <c r="AE916" s="167"/>
      <c r="AF916" s="167"/>
      <c r="AG916" s="167"/>
      <c r="AH916" s="167"/>
      <c r="AI916" s="167"/>
      <c r="AJ916" s="167" t="s">
        <v>90</v>
      </c>
      <c r="AK916" s="167"/>
      <c r="AL916" s="167"/>
      <c r="AM916" s="167"/>
      <c r="AN916" s="167"/>
      <c r="AO916" s="167"/>
      <c r="AP916" s="167"/>
      <c r="AQ916" s="167"/>
      <c r="AR916" s="167"/>
      <c r="AS916" s="167"/>
      <c r="AT916" s="167"/>
      <c r="AU916" s="167"/>
      <c r="AV916" s="167"/>
      <c r="AW916" s="167"/>
      <c r="AX916" s="148"/>
      <c r="AY916" s="148">
        <v>1408020104</v>
      </c>
      <c r="AZ916" s="167"/>
      <c r="BA916" s="167"/>
      <c r="BB916" s="167"/>
      <c r="BC916" s="167"/>
      <c r="BD916" s="167"/>
      <c r="BE916" s="167"/>
      <c r="BF916" s="167"/>
      <c r="BG916" s="167"/>
      <c r="BH916" s="167"/>
      <c r="BI916" s="167"/>
      <c r="BJ916" s="167"/>
      <c r="BK916" s="167"/>
      <c r="BL916" s="167"/>
      <c r="BM916" s="167"/>
      <c r="BN916" s="167"/>
      <c r="BO916" s="167"/>
      <c r="BP916" s="167"/>
      <c r="BQ916" s="167"/>
      <c r="BR916" s="167"/>
      <c r="BS916" s="167"/>
      <c r="BT916" s="167"/>
      <c r="BU916" s="167"/>
      <c r="BV916" s="167"/>
      <c r="BW916" s="167"/>
      <c r="BX916" s="167"/>
      <c r="BY916" s="175"/>
    </row>
    <row r="917" spans="1:77" x14ac:dyDescent="0.15">
      <c r="A917" s="148">
        <v>1408020012</v>
      </c>
      <c r="B917" s="149" t="s">
        <v>697</v>
      </c>
      <c r="C917" s="150" t="s">
        <v>100</v>
      </c>
      <c r="D917" s="148"/>
      <c r="E917" s="150" t="s">
        <v>83</v>
      </c>
      <c r="F917" s="150">
        <v>60000</v>
      </c>
      <c r="G917" s="148"/>
      <c r="H917" s="148"/>
      <c r="I917" s="148"/>
      <c r="J917" s="161"/>
      <c r="K917" s="166"/>
      <c r="L917" s="166"/>
      <c r="M917" s="166" t="s">
        <v>101</v>
      </c>
      <c r="N917" s="166" t="s">
        <v>850</v>
      </c>
      <c r="O917" s="148" t="s">
        <v>79</v>
      </c>
      <c r="P917" s="167" t="s">
        <v>80</v>
      </c>
      <c r="Q917" s="148">
        <v>120</v>
      </c>
      <c r="R917" s="148">
        <v>2000</v>
      </c>
      <c r="S917" s="148"/>
      <c r="T917" s="148"/>
      <c r="U917" s="148"/>
      <c r="V917" s="148"/>
      <c r="W917" s="148" t="s">
        <v>573</v>
      </c>
      <c r="X917" s="148">
        <v>10000</v>
      </c>
      <c r="Y917" s="148">
        <v>30</v>
      </c>
      <c r="Z917" s="148"/>
      <c r="AA917" s="148"/>
      <c r="AB917" s="148"/>
      <c r="AC917" s="148"/>
      <c r="AD917" s="148"/>
      <c r="AE917" s="148"/>
      <c r="AF917" s="148"/>
      <c r="AG917" s="148"/>
      <c r="AH917" s="148"/>
      <c r="AI917" s="148"/>
      <c r="AJ917" s="167"/>
      <c r="AK917" s="148"/>
      <c r="AL917" s="148"/>
      <c r="AM917" s="148"/>
      <c r="AN917" s="148"/>
      <c r="AO917" s="148"/>
      <c r="AP917" s="148"/>
      <c r="AQ917" s="148"/>
      <c r="AR917" s="148"/>
      <c r="AS917" s="148"/>
      <c r="AT917" s="148"/>
      <c r="AU917" s="148"/>
      <c r="AV917" s="148"/>
      <c r="AW917" s="148"/>
      <c r="AX917" s="148"/>
      <c r="AY917" s="148"/>
      <c r="AZ917" s="148"/>
      <c r="BA917" s="148"/>
      <c r="BB917" s="148"/>
      <c r="BC917" s="148"/>
      <c r="BD917" s="148"/>
      <c r="BE917" s="148"/>
      <c r="BF917" s="148"/>
      <c r="BG917" s="148"/>
      <c r="BH917" s="148"/>
      <c r="BI917" s="148"/>
      <c r="BJ917" s="148"/>
      <c r="BK917" s="148"/>
      <c r="BL917" s="148"/>
      <c r="BM917" s="148"/>
      <c r="BN917" s="148"/>
      <c r="BO917" s="148"/>
      <c r="BP917" s="148"/>
      <c r="BQ917" s="148"/>
      <c r="BR917" s="148"/>
      <c r="BS917" s="148"/>
      <c r="BT917" s="148"/>
      <c r="BU917" s="148"/>
      <c r="BV917" s="148"/>
      <c r="BW917" s="148"/>
      <c r="BX917" s="148"/>
      <c r="BY917" s="148"/>
    </row>
    <row r="918" spans="1:77" x14ac:dyDescent="0.15">
      <c r="A918" s="148">
        <v>1408020022</v>
      </c>
      <c r="B918" s="149" t="s">
        <v>697</v>
      </c>
      <c r="C918" s="150" t="s">
        <v>100</v>
      </c>
      <c r="D918" s="148"/>
      <c r="E918" s="150" t="s">
        <v>83</v>
      </c>
      <c r="F918" s="150">
        <v>60000</v>
      </c>
      <c r="G918" s="148"/>
      <c r="H918" s="148"/>
      <c r="I918" s="148"/>
      <c r="J918" s="161"/>
      <c r="K918" s="166"/>
      <c r="L918" s="166"/>
      <c r="M918" s="166" t="s">
        <v>101</v>
      </c>
      <c r="N918" s="166" t="s">
        <v>850</v>
      </c>
      <c r="O918" s="148" t="s">
        <v>79</v>
      </c>
      <c r="P918" s="167" t="s">
        <v>80</v>
      </c>
      <c r="Q918" s="148">
        <v>160</v>
      </c>
      <c r="R918" s="148">
        <v>2000</v>
      </c>
      <c r="S918" s="148"/>
      <c r="T918" s="148"/>
      <c r="U918" s="148"/>
      <c r="V918" s="148"/>
      <c r="W918" s="148" t="s">
        <v>573</v>
      </c>
      <c r="X918" s="148">
        <v>10000</v>
      </c>
      <c r="Y918" s="148">
        <v>40</v>
      </c>
      <c r="Z918" s="148"/>
      <c r="AA918" s="148"/>
      <c r="AB918" s="148"/>
      <c r="AC918" s="148"/>
      <c r="AD918" s="148"/>
      <c r="AE918" s="148"/>
      <c r="AF918" s="148"/>
      <c r="AG918" s="148"/>
      <c r="AH918" s="148"/>
      <c r="AI918" s="148"/>
      <c r="AJ918" s="167"/>
      <c r="AK918" s="148"/>
      <c r="AL918" s="148"/>
      <c r="AM918" s="148"/>
      <c r="AN918" s="148"/>
      <c r="AO918" s="148"/>
      <c r="AP918" s="148"/>
      <c r="AQ918" s="148"/>
      <c r="AR918" s="148"/>
      <c r="AS918" s="148"/>
      <c r="AT918" s="148"/>
      <c r="AU918" s="148"/>
      <c r="AV918" s="148"/>
      <c r="AW918" s="148"/>
      <c r="AX918" s="148"/>
      <c r="AY918" s="148"/>
      <c r="AZ918" s="148"/>
      <c r="BA918" s="148"/>
      <c r="BB918" s="148"/>
      <c r="BC918" s="148"/>
      <c r="BD918" s="148"/>
      <c r="BE918" s="148"/>
      <c r="BF918" s="148"/>
      <c r="BG918" s="148"/>
      <c r="BH918" s="148"/>
      <c r="BI918" s="148"/>
      <c r="BJ918" s="148"/>
      <c r="BK918" s="148"/>
      <c r="BL918" s="148"/>
      <c r="BM918" s="148"/>
      <c r="BN918" s="148"/>
      <c r="BO918" s="148"/>
      <c r="BP918" s="148"/>
      <c r="BQ918" s="148"/>
      <c r="BR918" s="148"/>
      <c r="BS918" s="148"/>
      <c r="BT918" s="148"/>
      <c r="BU918" s="148"/>
      <c r="BV918" s="148"/>
      <c r="BW918" s="148"/>
      <c r="BX918" s="148"/>
      <c r="BY918" s="148"/>
    </row>
    <row r="919" spans="1:77" x14ac:dyDescent="0.15">
      <c r="A919" s="148">
        <v>1408020032</v>
      </c>
      <c r="B919" s="149" t="s">
        <v>697</v>
      </c>
      <c r="C919" s="150" t="s">
        <v>100</v>
      </c>
      <c r="D919" s="148"/>
      <c r="E919" s="150" t="s">
        <v>83</v>
      </c>
      <c r="F919" s="150">
        <v>60000</v>
      </c>
      <c r="G919" s="148"/>
      <c r="H919" s="148"/>
      <c r="I919" s="148"/>
      <c r="J919" s="161"/>
      <c r="K919" s="166"/>
      <c r="L919" s="166"/>
      <c r="M919" s="166" t="s">
        <v>101</v>
      </c>
      <c r="N919" s="166" t="s">
        <v>850</v>
      </c>
      <c r="O919" s="148" t="s">
        <v>79</v>
      </c>
      <c r="P919" s="167" t="s">
        <v>80</v>
      </c>
      <c r="Q919" s="148">
        <v>200</v>
      </c>
      <c r="R919" s="148">
        <v>2000</v>
      </c>
      <c r="S919" s="148"/>
      <c r="T919" s="148"/>
      <c r="U919" s="148"/>
      <c r="V919" s="148"/>
      <c r="W919" s="148" t="s">
        <v>573</v>
      </c>
      <c r="X919" s="148">
        <v>10000</v>
      </c>
      <c r="Y919" s="148">
        <v>50</v>
      </c>
      <c r="Z919" s="148"/>
      <c r="AA919" s="148"/>
      <c r="AB919" s="148"/>
      <c r="AC919" s="148"/>
      <c r="AD919" s="148"/>
      <c r="AE919" s="148"/>
      <c r="AF919" s="148"/>
      <c r="AG919" s="148"/>
      <c r="AH919" s="148"/>
      <c r="AI919" s="148"/>
      <c r="AJ919" s="167"/>
      <c r="AK919" s="148"/>
      <c r="AL919" s="148"/>
      <c r="AM919" s="148"/>
      <c r="AN919" s="148"/>
      <c r="AO919" s="148"/>
      <c r="AP919" s="148"/>
      <c r="AQ919" s="148"/>
      <c r="AR919" s="148"/>
      <c r="AS919" s="148"/>
      <c r="AT919" s="148"/>
      <c r="AU919" s="148"/>
      <c r="AV919" s="148"/>
      <c r="AW919" s="148"/>
      <c r="AX919" s="148"/>
      <c r="AY919" s="148"/>
      <c r="AZ919" s="148"/>
      <c r="BA919" s="148"/>
      <c r="BB919" s="148"/>
      <c r="BC919" s="148"/>
      <c r="BD919" s="148"/>
      <c r="BE919" s="148"/>
      <c r="BF919" s="148"/>
      <c r="BG919" s="148"/>
      <c r="BH919" s="148"/>
      <c r="BI919" s="148"/>
      <c r="BJ919" s="148"/>
      <c r="BK919" s="148"/>
      <c r="BL919" s="148"/>
      <c r="BM919" s="148"/>
      <c r="BN919" s="148"/>
      <c r="BO919" s="148"/>
      <c r="BP919" s="148"/>
      <c r="BQ919" s="148"/>
      <c r="BR919" s="148"/>
      <c r="BS919" s="148"/>
      <c r="BT919" s="148"/>
      <c r="BU919" s="148"/>
      <c r="BV919" s="148"/>
      <c r="BW919" s="148"/>
      <c r="BX919" s="148"/>
      <c r="BY919" s="148"/>
    </row>
    <row r="920" spans="1:77" x14ac:dyDescent="0.15">
      <c r="A920" s="148">
        <v>1408020042</v>
      </c>
      <c r="B920" s="149" t="s">
        <v>697</v>
      </c>
      <c r="C920" s="150" t="s">
        <v>100</v>
      </c>
      <c r="D920" s="148"/>
      <c r="E920" s="150" t="s">
        <v>83</v>
      </c>
      <c r="F920" s="150">
        <v>60000</v>
      </c>
      <c r="G920" s="148"/>
      <c r="H920" s="148"/>
      <c r="I920" s="148"/>
      <c r="J920" s="161"/>
      <c r="K920" s="166"/>
      <c r="L920" s="166"/>
      <c r="M920" s="166" t="s">
        <v>101</v>
      </c>
      <c r="N920" s="166" t="s">
        <v>850</v>
      </c>
      <c r="O920" s="148" t="s">
        <v>79</v>
      </c>
      <c r="P920" s="167" t="s">
        <v>80</v>
      </c>
      <c r="Q920" s="148">
        <v>240</v>
      </c>
      <c r="R920" s="148">
        <v>2000</v>
      </c>
      <c r="S920" s="148"/>
      <c r="T920" s="148"/>
      <c r="U920" s="148"/>
      <c r="V920" s="148"/>
      <c r="W920" s="148" t="s">
        <v>573</v>
      </c>
      <c r="X920" s="148">
        <v>10000</v>
      </c>
      <c r="Y920" s="148">
        <v>60</v>
      </c>
      <c r="Z920" s="148"/>
      <c r="AA920" s="148"/>
      <c r="AB920" s="148"/>
      <c r="AC920" s="148"/>
      <c r="AD920" s="148"/>
      <c r="AE920" s="148"/>
      <c r="AF920" s="148"/>
      <c r="AG920" s="148"/>
      <c r="AH920" s="148"/>
      <c r="AI920" s="148"/>
      <c r="AJ920" s="167"/>
      <c r="AK920" s="148"/>
      <c r="AL920" s="148"/>
      <c r="AM920" s="148"/>
      <c r="AN920" s="148"/>
      <c r="AO920" s="148"/>
      <c r="AP920" s="148"/>
      <c r="AQ920" s="148"/>
      <c r="AR920" s="148"/>
      <c r="AS920" s="148"/>
      <c r="AT920" s="148"/>
      <c r="AU920" s="148"/>
      <c r="AV920" s="148"/>
      <c r="AW920" s="148"/>
      <c r="AX920" s="148"/>
      <c r="AY920" s="148"/>
      <c r="AZ920" s="148"/>
      <c r="BA920" s="148"/>
      <c r="BB920" s="148"/>
      <c r="BC920" s="148"/>
      <c r="BD920" s="148"/>
      <c r="BE920" s="148"/>
      <c r="BF920" s="148"/>
      <c r="BG920" s="148"/>
      <c r="BH920" s="148"/>
      <c r="BI920" s="148"/>
      <c r="BJ920" s="148"/>
      <c r="BK920" s="148"/>
      <c r="BL920" s="148"/>
      <c r="BM920" s="148"/>
      <c r="BN920" s="148"/>
      <c r="BO920" s="148"/>
      <c r="BP920" s="148"/>
      <c r="BQ920" s="148"/>
      <c r="BR920" s="148"/>
      <c r="BS920" s="148"/>
      <c r="BT920" s="148"/>
      <c r="BU920" s="148"/>
      <c r="BV920" s="148"/>
      <c r="BW920" s="148"/>
      <c r="BX920" s="148"/>
      <c r="BY920" s="148"/>
    </row>
    <row r="921" spans="1:77" x14ac:dyDescent="0.15">
      <c r="A921" s="148">
        <v>1408020013</v>
      </c>
      <c r="B921" s="149" t="s">
        <v>698</v>
      </c>
      <c r="C921" s="150" t="s">
        <v>89</v>
      </c>
      <c r="D921" s="148"/>
      <c r="E921" s="150" t="s">
        <v>78</v>
      </c>
      <c r="F921" s="150"/>
      <c r="G921" s="148"/>
      <c r="H921" s="148"/>
      <c r="I921" s="148"/>
      <c r="J921" s="161"/>
      <c r="K921" s="166"/>
      <c r="L921" s="166"/>
      <c r="M921" s="166" t="s">
        <v>101</v>
      </c>
      <c r="N921" s="166"/>
      <c r="O921" s="148" t="s">
        <v>491</v>
      </c>
      <c r="P921" s="167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  <c r="AC921" s="148"/>
      <c r="AD921" s="148"/>
      <c r="AE921" s="148" t="s">
        <v>308</v>
      </c>
      <c r="AF921" s="148">
        <v>-10000</v>
      </c>
      <c r="AG921" s="148"/>
      <c r="AH921" s="148"/>
      <c r="AI921" s="148"/>
      <c r="AJ921" s="167"/>
      <c r="AK921" s="148"/>
      <c r="AL921" s="148"/>
      <c r="AM921" s="148"/>
      <c r="AN921" s="148"/>
      <c r="AO921" s="148"/>
      <c r="AP921" s="148"/>
      <c r="AQ921" s="148"/>
      <c r="AR921" s="148"/>
      <c r="AS921" s="148"/>
      <c r="AT921" s="148"/>
      <c r="AU921" s="148"/>
      <c r="AV921" s="148"/>
      <c r="AW921" s="148"/>
      <c r="AX921" s="148"/>
      <c r="AY921" s="148"/>
      <c r="AZ921" s="148"/>
      <c r="BA921" s="148"/>
      <c r="BB921" s="148"/>
      <c r="BC921" s="148"/>
      <c r="BD921" s="148"/>
      <c r="BE921" s="148"/>
      <c r="BF921" s="148"/>
      <c r="BG921" s="148"/>
      <c r="BH921" s="148"/>
      <c r="BI921" s="148"/>
      <c r="BJ921" s="148"/>
      <c r="BK921" s="148"/>
      <c r="BL921" s="148"/>
      <c r="BM921" s="148"/>
      <c r="BN921" s="148"/>
      <c r="BO921" s="148"/>
      <c r="BP921" s="148"/>
      <c r="BQ921" s="148"/>
      <c r="BR921" s="148"/>
      <c r="BS921" s="148"/>
      <c r="BT921" s="148"/>
      <c r="BU921" s="148"/>
      <c r="BV921" s="148"/>
      <c r="BW921" s="148"/>
      <c r="BX921" s="148"/>
      <c r="BY921" s="170"/>
    </row>
    <row r="922" spans="1:77" x14ac:dyDescent="0.15">
      <c r="A922" s="148">
        <v>1408021011</v>
      </c>
      <c r="B922" s="149" t="s">
        <v>699</v>
      </c>
      <c r="C922" s="150" t="s">
        <v>89</v>
      </c>
      <c r="D922" s="148"/>
      <c r="E922" s="150" t="s">
        <v>78</v>
      </c>
      <c r="F922" s="150"/>
      <c r="G922" s="148"/>
      <c r="H922" s="148"/>
      <c r="I922" s="148"/>
      <c r="J922" s="161"/>
      <c r="K922" s="166"/>
      <c r="L922" s="166"/>
      <c r="M922" s="166" t="s">
        <v>101</v>
      </c>
      <c r="N922" s="166"/>
      <c r="O922" s="148" t="s">
        <v>491</v>
      </c>
      <c r="P922" s="167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  <c r="AC922" s="148"/>
      <c r="AD922" s="148"/>
      <c r="AE922" s="148" t="s">
        <v>171</v>
      </c>
      <c r="AF922" s="148">
        <v>1</v>
      </c>
      <c r="AG922" s="148"/>
      <c r="AH922" s="148"/>
      <c r="AI922" s="148"/>
      <c r="AJ922" s="167"/>
      <c r="AK922" s="148"/>
      <c r="AL922" s="148"/>
      <c r="AM922" s="148"/>
      <c r="AN922" s="148"/>
      <c r="AO922" s="148"/>
      <c r="AP922" s="148"/>
      <c r="AQ922" s="148"/>
      <c r="AR922" s="148"/>
      <c r="AS922" s="148"/>
      <c r="AT922" s="148"/>
      <c r="AU922" s="148"/>
      <c r="AV922" s="148"/>
      <c r="AW922" s="148"/>
      <c r="AX922" s="148"/>
      <c r="AY922" s="148"/>
      <c r="AZ922" s="148"/>
      <c r="BA922" s="148"/>
      <c r="BB922" s="148"/>
      <c r="BC922" s="148"/>
      <c r="BD922" s="148"/>
      <c r="BE922" s="148"/>
      <c r="BF922" s="148"/>
      <c r="BG922" s="148"/>
      <c r="BH922" s="148"/>
      <c r="BI922" s="148"/>
      <c r="BJ922" s="148"/>
      <c r="BK922" s="148"/>
      <c r="BL922" s="148"/>
      <c r="BM922" s="148"/>
      <c r="BN922" s="148"/>
      <c r="BO922" s="148"/>
      <c r="BP922" s="148"/>
      <c r="BQ922" s="148"/>
      <c r="BR922" s="148"/>
      <c r="BS922" s="148"/>
      <c r="BT922" s="148"/>
      <c r="BU922" s="148"/>
      <c r="BV922" s="148"/>
      <c r="BW922" s="148"/>
      <c r="BX922" s="148"/>
      <c r="BY922" s="170"/>
    </row>
    <row r="923" spans="1:77" s="18" customFormat="1" x14ac:dyDescent="0.15">
      <c r="A923" s="148">
        <v>1408030011</v>
      </c>
      <c r="B923" s="158" t="s">
        <v>700</v>
      </c>
      <c r="C923" s="150" t="s">
        <v>100</v>
      </c>
      <c r="D923" s="150"/>
      <c r="E923" s="150" t="s">
        <v>83</v>
      </c>
      <c r="F923" s="150">
        <v>300000</v>
      </c>
      <c r="G923" s="150"/>
      <c r="H923" s="150"/>
      <c r="I923" s="150"/>
      <c r="J923" s="166"/>
      <c r="K923" s="166"/>
      <c r="L923" s="166"/>
      <c r="M923" s="166" t="s">
        <v>101</v>
      </c>
      <c r="N923" s="166"/>
      <c r="O923" s="150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7"/>
      <c r="AF923" s="167"/>
      <c r="AG923" s="167"/>
      <c r="AH923" s="167"/>
      <c r="AI923" s="167"/>
      <c r="AJ923" s="167"/>
      <c r="AK923" s="167"/>
      <c r="AL923" s="167"/>
      <c r="AM923" s="167"/>
      <c r="AN923" s="167"/>
      <c r="AO923" s="167"/>
      <c r="AP923" s="167"/>
      <c r="AQ923" s="167"/>
      <c r="AR923" s="167"/>
      <c r="AS923" s="167"/>
      <c r="AT923" s="167"/>
      <c r="AU923" s="167"/>
      <c r="AV923" s="167"/>
      <c r="AW923" s="167"/>
      <c r="AX923" s="167"/>
      <c r="AY923" s="167"/>
      <c r="AZ923" s="167"/>
      <c r="BA923" s="167"/>
      <c r="BB923" s="167"/>
      <c r="BC923" s="167"/>
      <c r="BD923" s="167"/>
      <c r="BE923" s="167"/>
      <c r="BF923" s="167"/>
      <c r="BG923" s="167"/>
      <c r="BH923" s="167"/>
      <c r="BI923" s="167"/>
      <c r="BJ923" s="167"/>
      <c r="BK923" s="167"/>
      <c r="BL923" s="167"/>
      <c r="BM923" s="167"/>
      <c r="BN923" s="167"/>
      <c r="BO923" s="167"/>
      <c r="BP923" s="167"/>
      <c r="BQ923" s="167"/>
      <c r="BR923" s="167"/>
      <c r="BS923" s="167"/>
      <c r="BT923" s="167"/>
      <c r="BU923" s="167"/>
      <c r="BV923" s="167"/>
      <c r="BW923" s="167"/>
      <c r="BX923" s="167"/>
      <c r="BY923" s="175"/>
    </row>
    <row r="924" spans="1:77" s="18" customFormat="1" x14ac:dyDescent="0.15">
      <c r="A924" s="148">
        <v>1408030012</v>
      </c>
      <c r="B924" s="158" t="s">
        <v>701</v>
      </c>
      <c r="C924" s="150" t="s">
        <v>511</v>
      </c>
      <c r="D924" s="150"/>
      <c r="E924" s="150" t="s">
        <v>78</v>
      </c>
      <c r="F924" s="150"/>
      <c r="G924" s="150"/>
      <c r="H924" s="150"/>
      <c r="I924" s="150"/>
      <c r="J924" s="166"/>
      <c r="K924" s="166"/>
      <c r="L924" s="166"/>
      <c r="M924" s="166" t="s">
        <v>101</v>
      </c>
      <c r="N924" s="166" t="s">
        <v>850</v>
      </c>
      <c r="O924" s="150" t="s">
        <v>79</v>
      </c>
      <c r="P924" s="167" t="s">
        <v>80</v>
      </c>
      <c r="Q924" s="167">
        <v>280</v>
      </c>
      <c r="R924" s="167">
        <v>3000</v>
      </c>
      <c r="S924" s="167"/>
      <c r="T924" s="167"/>
      <c r="U924" s="167"/>
      <c r="V924" s="167"/>
      <c r="W924" s="167"/>
      <c r="X924" s="193"/>
      <c r="Y924" s="167"/>
      <c r="Z924" s="167"/>
      <c r="AA924" s="167" t="s">
        <v>702</v>
      </c>
      <c r="AB924" s="167"/>
      <c r="AC924" s="194"/>
      <c r="AD924" s="195"/>
      <c r="AE924" s="167"/>
      <c r="AF924" s="167"/>
      <c r="AG924" s="167"/>
      <c r="AH924" s="167"/>
      <c r="AI924" s="167"/>
      <c r="AJ924" s="167" t="s">
        <v>90</v>
      </c>
      <c r="AK924" s="167"/>
      <c r="AL924" s="167"/>
      <c r="AM924" s="167"/>
      <c r="AN924" s="167"/>
      <c r="AO924" s="167"/>
      <c r="AP924" s="167"/>
      <c r="AQ924" s="167"/>
      <c r="AR924" s="167"/>
      <c r="AS924" s="167"/>
      <c r="AT924" s="167"/>
      <c r="AU924" s="167"/>
      <c r="AV924" s="167"/>
      <c r="AW924" s="167"/>
      <c r="AX924" s="167"/>
      <c r="AY924" s="167">
        <v>1408030201</v>
      </c>
      <c r="AZ924" s="167"/>
      <c r="BA924" s="167"/>
      <c r="BB924" s="167"/>
      <c r="BC924" s="167"/>
      <c r="BD924" s="167"/>
      <c r="BE924" s="167" t="s">
        <v>90</v>
      </c>
      <c r="BF924" s="167"/>
      <c r="BG924" s="167"/>
      <c r="BH924" s="167"/>
      <c r="BI924" s="167"/>
      <c r="BJ924" s="167"/>
      <c r="BK924" s="167"/>
      <c r="BL924" s="167"/>
      <c r="BM924" s="167"/>
      <c r="BN924" s="167"/>
      <c r="BO924" s="167"/>
      <c r="BP924" s="167"/>
      <c r="BQ924" s="167"/>
      <c r="BR924" s="167"/>
      <c r="BS924" s="167"/>
      <c r="BT924" s="167"/>
      <c r="BU924" s="167"/>
      <c r="BV924" s="167"/>
      <c r="BW924" s="167"/>
      <c r="BX924" s="167"/>
      <c r="BY924" s="175"/>
    </row>
    <row r="925" spans="1:77" s="18" customFormat="1" x14ac:dyDescent="0.15">
      <c r="A925" s="148">
        <v>1408030022</v>
      </c>
      <c r="B925" s="158" t="s">
        <v>701</v>
      </c>
      <c r="C925" s="150" t="s">
        <v>511</v>
      </c>
      <c r="D925" s="150"/>
      <c r="E925" s="150" t="s">
        <v>78</v>
      </c>
      <c r="F925" s="150"/>
      <c r="G925" s="150"/>
      <c r="H925" s="150"/>
      <c r="I925" s="150"/>
      <c r="J925" s="166"/>
      <c r="K925" s="166"/>
      <c r="L925" s="166"/>
      <c r="M925" s="166" t="s">
        <v>101</v>
      </c>
      <c r="N925" s="166" t="s">
        <v>850</v>
      </c>
      <c r="O925" s="150" t="s">
        <v>79</v>
      </c>
      <c r="P925" s="167" t="s">
        <v>80</v>
      </c>
      <c r="Q925" s="167">
        <v>400</v>
      </c>
      <c r="R925" s="167">
        <v>3000</v>
      </c>
      <c r="S925" s="167"/>
      <c r="T925" s="167"/>
      <c r="U925" s="167"/>
      <c r="V925" s="167"/>
      <c r="W925" s="167"/>
      <c r="X925" s="193"/>
      <c r="Y925" s="167"/>
      <c r="Z925" s="167"/>
      <c r="AA925" s="167"/>
      <c r="AB925" s="167"/>
      <c r="AC925" s="196"/>
      <c r="AD925" s="175"/>
      <c r="AE925" s="167"/>
      <c r="AF925" s="167"/>
      <c r="AG925" s="167"/>
      <c r="AH925" s="167"/>
      <c r="AI925" s="167"/>
      <c r="AJ925" s="167" t="s">
        <v>90</v>
      </c>
      <c r="AK925" s="167"/>
      <c r="AL925" s="167"/>
      <c r="AM925" s="167"/>
      <c r="AN925" s="167"/>
      <c r="AO925" s="167"/>
      <c r="AP925" s="167"/>
      <c r="AQ925" s="167"/>
      <c r="AR925" s="167"/>
      <c r="AS925" s="167"/>
      <c r="AT925" s="167"/>
      <c r="AU925" s="167"/>
      <c r="AV925" s="167"/>
      <c r="AW925" s="167"/>
      <c r="AX925" s="167"/>
      <c r="AY925" s="167">
        <v>1408030202</v>
      </c>
      <c r="AZ925" s="167"/>
      <c r="BA925" s="167"/>
      <c r="BB925" s="167"/>
      <c r="BC925" s="167"/>
      <c r="BD925" s="167"/>
      <c r="BE925" s="167" t="s">
        <v>90</v>
      </c>
      <c r="BF925" s="167"/>
      <c r="BG925" s="167"/>
      <c r="BH925" s="167"/>
      <c r="BI925" s="167"/>
      <c r="BJ925" s="167"/>
      <c r="BK925" s="167"/>
      <c r="BL925" s="167"/>
      <c r="BM925" s="167"/>
      <c r="BN925" s="167"/>
      <c r="BO925" s="167"/>
      <c r="BP925" s="167"/>
      <c r="BQ925" s="167"/>
      <c r="BR925" s="167"/>
      <c r="BS925" s="167"/>
      <c r="BT925" s="167"/>
      <c r="BU925" s="167"/>
      <c r="BV925" s="167"/>
      <c r="BW925" s="167"/>
      <c r="BX925" s="167"/>
      <c r="BY925" s="175"/>
    </row>
    <row r="926" spans="1:77" s="18" customFormat="1" x14ac:dyDescent="0.15">
      <c r="A926" s="148">
        <v>1408030013</v>
      </c>
      <c r="B926" s="158" t="s">
        <v>703</v>
      </c>
      <c r="C926" s="150" t="s">
        <v>304</v>
      </c>
      <c r="D926" s="150"/>
      <c r="E926" s="150" t="s">
        <v>78</v>
      </c>
      <c r="F926" s="150"/>
      <c r="G926" s="150"/>
      <c r="H926" s="150"/>
      <c r="I926" s="150"/>
      <c r="J926" s="166"/>
      <c r="K926" s="166"/>
      <c r="L926" s="166"/>
      <c r="M926" s="166" t="s">
        <v>101</v>
      </c>
      <c r="N926" s="166"/>
      <c r="O926" s="150" t="s">
        <v>79</v>
      </c>
      <c r="P926" s="167" t="s">
        <v>80</v>
      </c>
      <c r="Q926" s="167">
        <v>280</v>
      </c>
      <c r="R926" s="167">
        <v>3000</v>
      </c>
      <c r="S926" s="167"/>
      <c r="T926" s="167"/>
      <c r="U926" s="167"/>
      <c r="V926" s="167"/>
      <c r="W926" s="167"/>
      <c r="X926" s="193"/>
      <c r="Y926" s="167"/>
      <c r="Z926" s="167"/>
      <c r="AA926" s="167"/>
      <c r="AB926" s="167"/>
      <c r="AC926" s="196"/>
      <c r="AD926" s="175"/>
      <c r="AE926" s="167"/>
      <c r="AF926" s="167"/>
      <c r="AG926" s="167"/>
      <c r="AH926" s="167"/>
      <c r="AI926" s="167"/>
      <c r="AJ926" s="167" t="s">
        <v>90</v>
      </c>
      <c r="AK926" s="167"/>
      <c r="AL926" s="167"/>
      <c r="AM926" s="167"/>
      <c r="AN926" s="167"/>
      <c r="AO926" s="167"/>
      <c r="AP926" s="167"/>
      <c r="AQ926" s="167"/>
      <c r="AR926" s="167"/>
      <c r="AS926" s="167"/>
      <c r="AT926" s="167"/>
      <c r="AU926" s="167"/>
      <c r="AV926" s="167"/>
      <c r="AW926" s="167"/>
      <c r="AX926" s="167">
        <v>1408030401</v>
      </c>
      <c r="AY926" s="167">
        <v>1408030401</v>
      </c>
      <c r="AZ926" s="167"/>
      <c r="BA926" s="167"/>
      <c r="BB926" s="167"/>
      <c r="BC926" s="167"/>
      <c r="BD926" s="167"/>
      <c r="BE926" s="167" t="s">
        <v>90</v>
      </c>
      <c r="BF926" s="167"/>
      <c r="BG926" s="167"/>
      <c r="BH926" s="167"/>
      <c r="BI926" s="167"/>
      <c r="BJ926" s="167"/>
      <c r="BK926" s="167"/>
      <c r="BL926" s="167"/>
      <c r="BM926" s="167"/>
      <c r="BN926" s="167"/>
      <c r="BO926" s="167"/>
      <c r="BP926" s="167"/>
      <c r="BQ926" s="167"/>
      <c r="BR926" s="167"/>
      <c r="BS926" s="167">
        <v>1408030301</v>
      </c>
      <c r="BT926" s="167"/>
      <c r="BU926" s="167"/>
      <c r="BV926" s="167"/>
      <c r="BW926" s="167"/>
      <c r="BX926" s="167"/>
      <c r="BY926" s="175"/>
    </row>
    <row r="927" spans="1:77" s="18" customFormat="1" x14ac:dyDescent="0.15">
      <c r="A927" s="148">
        <v>1408030023</v>
      </c>
      <c r="B927" s="158" t="s">
        <v>703</v>
      </c>
      <c r="C927" s="150" t="s">
        <v>304</v>
      </c>
      <c r="D927" s="150"/>
      <c r="E927" s="150" t="s">
        <v>78</v>
      </c>
      <c r="F927" s="150"/>
      <c r="G927" s="150"/>
      <c r="H927" s="150"/>
      <c r="I927" s="150"/>
      <c r="J927" s="166"/>
      <c r="K927" s="166"/>
      <c r="L927" s="166"/>
      <c r="M927" s="166" t="s">
        <v>101</v>
      </c>
      <c r="N927" s="166"/>
      <c r="O927" s="150" t="s">
        <v>79</v>
      </c>
      <c r="P927" s="167" t="s">
        <v>80</v>
      </c>
      <c r="Q927" s="167">
        <v>400</v>
      </c>
      <c r="R927" s="167">
        <v>3000</v>
      </c>
      <c r="S927" s="167"/>
      <c r="T927" s="167"/>
      <c r="U927" s="167"/>
      <c r="V927" s="167"/>
      <c r="W927" s="167"/>
      <c r="X927" s="193"/>
      <c r="Y927" s="167"/>
      <c r="Z927" s="167"/>
      <c r="AA927" s="167"/>
      <c r="AB927" s="167"/>
      <c r="AC927" s="196"/>
      <c r="AD927" s="175"/>
      <c r="AE927" s="167"/>
      <c r="AF927" s="167"/>
      <c r="AG927" s="167"/>
      <c r="AH927" s="167"/>
      <c r="AI927" s="167"/>
      <c r="AJ927" s="167" t="s">
        <v>90</v>
      </c>
      <c r="AK927" s="167"/>
      <c r="AL927" s="167"/>
      <c r="AM927" s="167"/>
      <c r="AN927" s="167"/>
      <c r="AO927" s="167"/>
      <c r="AP927" s="167"/>
      <c r="AQ927" s="167"/>
      <c r="AR927" s="167"/>
      <c r="AS927" s="167"/>
      <c r="AT927" s="167"/>
      <c r="AU927" s="167"/>
      <c r="AV927" s="167"/>
      <c r="AW927" s="167"/>
      <c r="AX927" s="167">
        <v>1408030401</v>
      </c>
      <c r="AY927" s="167">
        <v>1408030401</v>
      </c>
      <c r="AZ927" s="167"/>
      <c r="BA927" s="167"/>
      <c r="BB927" s="167"/>
      <c r="BC927" s="167"/>
      <c r="BD927" s="167"/>
      <c r="BE927" s="167" t="s">
        <v>90</v>
      </c>
      <c r="BF927" s="167"/>
      <c r="BG927" s="167"/>
      <c r="BH927" s="167"/>
      <c r="BI927" s="167"/>
      <c r="BJ927" s="167"/>
      <c r="BK927" s="167"/>
      <c r="BL927" s="167"/>
      <c r="BM927" s="167"/>
      <c r="BN927" s="167"/>
      <c r="BO927" s="167"/>
      <c r="BP927" s="167"/>
      <c r="BQ927" s="167"/>
      <c r="BR927" s="167"/>
      <c r="BS927" s="167">
        <v>1408030302</v>
      </c>
      <c r="BT927" s="167"/>
      <c r="BU927" s="167"/>
      <c r="BV927" s="167"/>
      <c r="BW927" s="167"/>
      <c r="BX927" s="167"/>
      <c r="BY927" s="175"/>
    </row>
    <row r="928" spans="1:77" s="18" customFormat="1" x14ac:dyDescent="0.15">
      <c r="A928" s="148">
        <v>1408030014</v>
      </c>
      <c r="B928" s="158" t="s">
        <v>704</v>
      </c>
      <c r="C928" s="150" t="s">
        <v>89</v>
      </c>
      <c r="D928" s="150"/>
      <c r="E928" s="150" t="s">
        <v>78</v>
      </c>
      <c r="F928" s="150"/>
      <c r="G928" s="150"/>
      <c r="H928" s="150"/>
      <c r="I928" s="150"/>
      <c r="J928" s="166"/>
      <c r="K928" s="166"/>
      <c r="L928" s="166"/>
      <c r="M928" s="166" t="s">
        <v>101</v>
      </c>
      <c r="N928" s="166"/>
      <c r="O928" s="167" t="s">
        <v>95</v>
      </c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7">
        <v>20000838</v>
      </c>
      <c r="AF928" s="163" t="s">
        <v>96</v>
      </c>
      <c r="AG928" s="167"/>
      <c r="AH928" s="167">
        <v>1</v>
      </c>
      <c r="AI928" s="167"/>
      <c r="BA928" s="167"/>
      <c r="BB928" s="167"/>
      <c r="BC928" s="167"/>
      <c r="BD928" s="167"/>
      <c r="BE928" s="167"/>
      <c r="BF928" s="167"/>
      <c r="BG928" s="167"/>
      <c r="BH928" s="167"/>
      <c r="BI928" s="167"/>
      <c r="BJ928" s="167"/>
      <c r="BK928" s="167"/>
      <c r="BL928" s="167"/>
      <c r="BM928" s="167"/>
      <c r="BN928" s="167"/>
      <c r="BO928" s="167"/>
      <c r="BP928" s="167"/>
      <c r="BQ928" s="167"/>
      <c r="BR928" s="167"/>
      <c r="BS928" s="167"/>
      <c r="BT928" s="167"/>
      <c r="BU928" s="167"/>
      <c r="BV928" s="167"/>
      <c r="BW928" s="167"/>
      <c r="BX928" s="167"/>
      <c r="BY928" s="175"/>
    </row>
    <row r="929" spans="1:77" s="18" customFormat="1" x14ac:dyDescent="0.15">
      <c r="A929" s="148">
        <v>1408030015</v>
      </c>
      <c r="B929" s="158" t="s">
        <v>705</v>
      </c>
      <c r="C929" s="150" t="s">
        <v>89</v>
      </c>
      <c r="D929" s="150"/>
      <c r="E929" s="150" t="s">
        <v>78</v>
      </c>
      <c r="F929" s="150"/>
      <c r="G929" s="150"/>
      <c r="H929" s="150"/>
      <c r="I929" s="150"/>
      <c r="J929" s="166"/>
      <c r="K929" s="166"/>
      <c r="L929" s="166"/>
      <c r="M929" s="166" t="s">
        <v>101</v>
      </c>
      <c r="N929" s="166"/>
      <c r="O929" s="150" t="s">
        <v>90</v>
      </c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>
        <v>1408030101</v>
      </c>
      <c r="AE929" s="167"/>
      <c r="AF929" s="167"/>
      <c r="AG929" s="167"/>
      <c r="AH929" s="167"/>
      <c r="AI929" s="167"/>
      <c r="AJ929" s="167"/>
      <c r="AK929" s="167"/>
      <c r="AL929" s="167"/>
      <c r="AM929" s="167"/>
      <c r="AN929" s="167"/>
      <c r="AO929" s="167"/>
      <c r="AP929" s="167"/>
      <c r="AQ929" s="167"/>
      <c r="AR929" s="167"/>
      <c r="AS929" s="167"/>
      <c r="AT929" s="167"/>
      <c r="AU929" s="167"/>
      <c r="AV929" s="167"/>
      <c r="AW929" s="167"/>
      <c r="AX929" s="167"/>
      <c r="AY929" s="167"/>
      <c r="AZ929" s="167"/>
      <c r="BA929" s="167"/>
      <c r="BB929" s="167"/>
      <c r="BC929" s="167"/>
      <c r="BD929" s="167"/>
      <c r="BE929" s="167"/>
      <c r="BF929" s="167"/>
      <c r="BG929" s="167"/>
      <c r="BH929" s="167"/>
      <c r="BI929" s="167"/>
      <c r="BJ929" s="167"/>
      <c r="BK929" s="167"/>
      <c r="BL929" s="167"/>
      <c r="BM929" s="167"/>
      <c r="BN929" s="167"/>
      <c r="BO929" s="167"/>
      <c r="BP929" s="167"/>
      <c r="BQ929" s="167"/>
      <c r="BR929" s="167"/>
      <c r="BS929" s="167"/>
      <c r="BT929" s="167"/>
      <c r="BU929" s="167"/>
      <c r="BV929" s="167"/>
      <c r="BW929" s="167"/>
      <c r="BX929" s="167"/>
      <c r="BY929" s="175"/>
    </row>
    <row r="930" spans="1:77" s="18" customFormat="1" x14ac:dyDescent="0.15">
      <c r="A930" s="148">
        <v>1408030025</v>
      </c>
      <c r="B930" s="158" t="s">
        <v>705</v>
      </c>
      <c r="C930" s="150" t="s">
        <v>89</v>
      </c>
      <c r="D930" s="150"/>
      <c r="E930" s="150" t="s">
        <v>78</v>
      </c>
      <c r="F930" s="150"/>
      <c r="G930" s="150"/>
      <c r="H930" s="150"/>
      <c r="I930" s="150"/>
      <c r="J930" s="166"/>
      <c r="K930" s="166"/>
      <c r="L930" s="166"/>
      <c r="M930" s="166" t="s">
        <v>101</v>
      </c>
      <c r="N930" s="166"/>
      <c r="O930" s="150" t="s">
        <v>90</v>
      </c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>
        <v>1408030102</v>
      </c>
      <c r="AE930" s="167"/>
      <c r="AF930" s="167"/>
      <c r="AG930" s="167"/>
      <c r="AH930" s="167"/>
      <c r="AI930" s="167"/>
      <c r="AJ930" s="167"/>
      <c r="AK930" s="167"/>
      <c r="AL930" s="167"/>
      <c r="AM930" s="167"/>
      <c r="AN930" s="167"/>
      <c r="AO930" s="167"/>
      <c r="AP930" s="167"/>
      <c r="AQ930" s="167"/>
      <c r="AR930" s="167"/>
      <c r="AS930" s="167"/>
      <c r="AT930" s="167"/>
      <c r="AU930" s="167"/>
      <c r="AV930" s="167"/>
      <c r="AW930" s="167"/>
      <c r="AX930" s="167"/>
      <c r="AY930" s="167"/>
      <c r="AZ930" s="167"/>
      <c r="BA930" s="167"/>
      <c r="BB930" s="167"/>
      <c r="BC930" s="167"/>
      <c r="BD930" s="167"/>
      <c r="BE930" s="167"/>
      <c r="BF930" s="167"/>
      <c r="BG930" s="167"/>
      <c r="BH930" s="167"/>
      <c r="BI930" s="167"/>
      <c r="BJ930" s="167"/>
      <c r="BK930" s="167"/>
      <c r="BL930" s="167"/>
      <c r="BM930" s="167"/>
      <c r="BN930" s="167"/>
      <c r="BO930" s="167"/>
      <c r="BP930" s="167"/>
      <c r="BQ930" s="167"/>
      <c r="BR930" s="167"/>
      <c r="BS930" s="167"/>
      <c r="BT930" s="167"/>
      <c r="BU930" s="167"/>
      <c r="BV930" s="167"/>
      <c r="BW930" s="167"/>
      <c r="BX930" s="167"/>
      <c r="BY930" s="175"/>
    </row>
    <row r="931" spans="1:77" s="18" customFormat="1" x14ac:dyDescent="0.15">
      <c r="A931" s="148">
        <v>1408030016</v>
      </c>
      <c r="B931" s="158" t="s">
        <v>706</v>
      </c>
      <c r="C931" s="150" t="s">
        <v>89</v>
      </c>
      <c r="D931" s="150"/>
      <c r="E931" s="150" t="s">
        <v>78</v>
      </c>
      <c r="F931" s="150"/>
      <c r="G931" s="150"/>
      <c r="H931" s="150"/>
      <c r="I931" s="150"/>
      <c r="J931" s="166"/>
      <c r="K931" s="166"/>
      <c r="L931" s="166"/>
      <c r="M931" s="166" t="s">
        <v>101</v>
      </c>
      <c r="N931" s="166"/>
      <c r="O931" s="150" t="s">
        <v>277</v>
      </c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7">
        <v>14080301</v>
      </c>
      <c r="AF931" s="167"/>
      <c r="AG931" s="167"/>
      <c r="AH931" s="167"/>
      <c r="AI931" s="167"/>
      <c r="BA931" s="167"/>
      <c r="BB931" s="167"/>
      <c r="BC931" s="167"/>
      <c r="BD931" s="167"/>
      <c r="BE931" s="167"/>
      <c r="BF931" s="167"/>
      <c r="BG931" s="167"/>
      <c r="BH931" s="167"/>
      <c r="BI931" s="167"/>
      <c r="BJ931" s="167"/>
      <c r="BK931" s="167"/>
      <c r="BL931" s="167"/>
      <c r="BM931" s="167"/>
      <c r="BN931" s="167"/>
      <c r="BO931" s="167"/>
      <c r="BP931" s="167"/>
      <c r="BQ931" s="167"/>
      <c r="BR931" s="167"/>
      <c r="BS931" s="167"/>
      <c r="BT931" s="167"/>
      <c r="BU931" s="167"/>
      <c r="BV931" s="167"/>
      <c r="BW931" s="167"/>
      <c r="BX931" s="167"/>
      <c r="BY931" s="175"/>
    </row>
    <row r="932" spans="1:77" s="18" customFormat="1" x14ac:dyDescent="0.15">
      <c r="A932" s="148">
        <v>1408100011</v>
      </c>
      <c r="B932" s="158" t="s">
        <v>707</v>
      </c>
      <c r="C932" s="150" t="s">
        <v>100</v>
      </c>
      <c r="D932" s="150"/>
      <c r="E932" s="150" t="s">
        <v>83</v>
      </c>
      <c r="F932" s="150">
        <v>50000</v>
      </c>
      <c r="G932" s="150"/>
      <c r="H932" s="150"/>
      <c r="I932" s="150"/>
      <c r="J932" s="166"/>
      <c r="K932" s="166"/>
      <c r="L932" s="166"/>
      <c r="M932" s="166" t="s">
        <v>101</v>
      </c>
      <c r="N932" s="166" t="s">
        <v>850</v>
      </c>
      <c r="O932" s="150" t="s">
        <v>79</v>
      </c>
      <c r="P932" s="167" t="s">
        <v>80</v>
      </c>
      <c r="Q932" s="167">
        <v>105</v>
      </c>
      <c r="R932" s="167">
        <v>2250</v>
      </c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E932" s="167"/>
      <c r="AF932" s="167"/>
      <c r="AG932" s="167"/>
      <c r="AH932" s="167"/>
      <c r="AI932" s="167"/>
      <c r="AJ932" s="167"/>
      <c r="AK932" s="167"/>
      <c r="AL932" s="167"/>
      <c r="AM932" s="167"/>
      <c r="AN932" s="167"/>
      <c r="AO932" s="167"/>
      <c r="AP932" s="167"/>
      <c r="AQ932" s="167"/>
      <c r="AR932" s="167"/>
      <c r="AS932" s="167"/>
      <c r="AT932" s="167"/>
      <c r="AU932" s="167"/>
      <c r="AV932" s="167"/>
      <c r="AW932" s="167"/>
      <c r="AX932" s="167"/>
      <c r="AY932" s="167"/>
      <c r="AZ932" s="167"/>
      <c r="BA932" s="167"/>
      <c r="BB932" s="167"/>
      <c r="BC932" s="167"/>
      <c r="BD932" s="167"/>
      <c r="BE932" s="167"/>
      <c r="BF932" s="167"/>
      <c r="BG932" s="167"/>
      <c r="BH932" s="167"/>
      <c r="BI932" s="167"/>
      <c r="BJ932" s="167"/>
      <c r="BK932" s="167"/>
      <c r="BL932" s="167"/>
      <c r="BM932" s="167"/>
      <c r="BN932" s="167"/>
      <c r="BO932" s="167"/>
      <c r="BP932" s="167"/>
      <c r="BQ932" s="167"/>
      <c r="BR932" s="167"/>
      <c r="BS932" s="167"/>
      <c r="BT932" s="167"/>
      <c r="BU932" s="167"/>
      <c r="BV932" s="167"/>
      <c r="BW932" s="167"/>
      <c r="BX932" s="167"/>
      <c r="BY932" s="175"/>
    </row>
    <row r="933" spans="1:77" s="18" customFormat="1" x14ac:dyDescent="0.15">
      <c r="A933" s="148">
        <v>1408100021</v>
      </c>
      <c r="B933" s="158" t="s">
        <v>707</v>
      </c>
      <c r="C933" s="150" t="s">
        <v>100</v>
      </c>
      <c r="D933" s="150"/>
      <c r="E933" s="150" t="s">
        <v>83</v>
      </c>
      <c r="F933" s="150">
        <v>50000</v>
      </c>
      <c r="G933" s="150"/>
      <c r="H933" s="150"/>
      <c r="I933" s="150"/>
      <c r="J933" s="166"/>
      <c r="K933" s="166"/>
      <c r="L933" s="166"/>
      <c r="M933" s="166" t="s">
        <v>101</v>
      </c>
      <c r="N933" s="166" t="s">
        <v>850</v>
      </c>
      <c r="O933" s="150" t="s">
        <v>79</v>
      </c>
      <c r="P933" s="167" t="s">
        <v>80</v>
      </c>
      <c r="Q933" s="167">
        <v>150</v>
      </c>
      <c r="R933" s="167">
        <v>2250</v>
      </c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7"/>
      <c r="AF933" s="167"/>
      <c r="AG933" s="167"/>
      <c r="AH933" s="167"/>
      <c r="AI933" s="167"/>
      <c r="AJ933" s="167"/>
      <c r="AK933" s="167"/>
      <c r="AL933" s="167"/>
      <c r="AM933" s="167"/>
      <c r="AN933" s="167"/>
      <c r="AO933" s="167"/>
      <c r="AP933" s="167"/>
      <c r="AQ933" s="167"/>
      <c r="AR933" s="167"/>
      <c r="AS933" s="167"/>
      <c r="AT933" s="167"/>
      <c r="AU933" s="167"/>
      <c r="AV933" s="167"/>
      <c r="AW933" s="167"/>
      <c r="AX933" s="167"/>
      <c r="AY933" s="167"/>
      <c r="AZ933" s="167"/>
      <c r="BA933" s="167"/>
      <c r="BB933" s="167"/>
      <c r="BC933" s="167"/>
      <c r="BD933" s="167"/>
      <c r="BE933" s="167"/>
      <c r="BF933" s="167"/>
      <c r="BG933" s="167"/>
      <c r="BH933" s="167"/>
      <c r="BI933" s="167"/>
      <c r="BJ933" s="167"/>
      <c r="BK933" s="167"/>
      <c r="BL933" s="167"/>
      <c r="BM933" s="167"/>
      <c r="BN933" s="167"/>
      <c r="BO933" s="167"/>
      <c r="BP933" s="167"/>
      <c r="BQ933" s="167"/>
      <c r="BR933" s="167"/>
      <c r="BS933" s="167"/>
      <c r="BT933" s="167"/>
      <c r="BU933" s="167"/>
      <c r="BV933" s="167"/>
      <c r="BW933" s="167"/>
      <c r="BX933" s="167"/>
      <c r="BY933" s="175"/>
    </row>
    <row r="934" spans="1:77" s="18" customFormat="1" x14ac:dyDescent="0.15">
      <c r="A934" s="148">
        <v>1408040011</v>
      </c>
      <c r="B934" s="158" t="s">
        <v>708</v>
      </c>
      <c r="C934" s="150" t="s">
        <v>89</v>
      </c>
      <c r="D934" s="150"/>
      <c r="E934" s="150" t="s">
        <v>78</v>
      </c>
      <c r="F934" s="150"/>
      <c r="G934" s="150"/>
      <c r="H934" s="150"/>
      <c r="I934" s="150"/>
      <c r="J934" s="166"/>
      <c r="K934" s="166"/>
      <c r="L934" s="166"/>
      <c r="M934" s="166" t="s">
        <v>101</v>
      </c>
      <c r="N934" s="166"/>
      <c r="O934" s="150" t="s">
        <v>90</v>
      </c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>
        <v>1408040101</v>
      </c>
      <c r="AE934" s="167"/>
      <c r="AF934" s="167"/>
      <c r="AG934" s="167"/>
      <c r="AH934" s="167"/>
      <c r="AI934" s="167"/>
      <c r="AJ934" s="167"/>
      <c r="AK934" s="167"/>
      <c r="AL934" s="167"/>
      <c r="AM934" s="167"/>
      <c r="AN934" s="167"/>
      <c r="AO934" s="167"/>
      <c r="AP934" s="167"/>
      <c r="AQ934" s="167"/>
      <c r="AR934" s="167"/>
      <c r="AS934" s="167"/>
      <c r="AT934" s="167"/>
      <c r="AU934" s="167"/>
      <c r="AV934" s="167"/>
      <c r="AW934" s="167"/>
      <c r="AX934" s="167"/>
      <c r="AY934" s="167"/>
      <c r="AZ934" s="167"/>
      <c r="BA934" s="167"/>
      <c r="BB934" s="167"/>
      <c r="BC934" s="167"/>
      <c r="BD934" s="167"/>
      <c r="BE934" s="167"/>
      <c r="BF934" s="167"/>
      <c r="BG934" s="167"/>
      <c r="BH934" s="167"/>
      <c r="BI934" s="167"/>
      <c r="BJ934" s="167"/>
      <c r="BK934" s="167"/>
      <c r="BL934" s="167"/>
      <c r="BM934" s="167"/>
      <c r="BN934" s="167"/>
      <c r="BO934" s="167"/>
      <c r="BP934" s="167"/>
      <c r="BQ934" s="167"/>
      <c r="BR934" s="167"/>
      <c r="BS934" s="167"/>
      <c r="BT934" s="167"/>
      <c r="BU934" s="167"/>
      <c r="BV934" s="167"/>
      <c r="BW934" s="167"/>
      <c r="BX934" s="167"/>
      <c r="BY934" s="175"/>
    </row>
    <row r="935" spans="1:77" s="18" customFormat="1" x14ac:dyDescent="0.15">
      <c r="A935" s="148">
        <v>1408040021</v>
      </c>
      <c r="B935" s="158" t="s">
        <v>708</v>
      </c>
      <c r="C935" s="150" t="s">
        <v>89</v>
      </c>
      <c r="D935" s="150"/>
      <c r="E935" s="150" t="s">
        <v>78</v>
      </c>
      <c r="F935" s="150"/>
      <c r="G935" s="150"/>
      <c r="H935" s="150"/>
      <c r="I935" s="150"/>
      <c r="J935" s="166"/>
      <c r="K935" s="166"/>
      <c r="L935" s="166"/>
      <c r="M935" s="166" t="s">
        <v>101</v>
      </c>
      <c r="N935" s="166"/>
      <c r="O935" s="150" t="s">
        <v>90</v>
      </c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>
        <v>1408040102</v>
      </c>
      <c r="AE935" s="167"/>
      <c r="AF935" s="167"/>
      <c r="AG935" s="167"/>
      <c r="AH935" s="167"/>
      <c r="AI935" s="167"/>
      <c r="AJ935" s="167"/>
      <c r="AK935" s="167"/>
      <c r="AL935" s="167"/>
      <c r="AM935" s="167"/>
      <c r="AN935" s="167"/>
      <c r="AO935" s="167"/>
      <c r="AP935" s="167"/>
      <c r="AQ935" s="167"/>
      <c r="AR935" s="167"/>
      <c r="AS935" s="167"/>
      <c r="AT935" s="167"/>
      <c r="AU935" s="167"/>
      <c r="AV935" s="167"/>
      <c r="AW935" s="167"/>
      <c r="AX935" s="167"/>
      <c r="AY935" s="167"/>
      <c r="AZ935" s="167"/>
      <c r="BA935" s="167"/>
      <c r="BB935" s="167"/>
      <c r="BC935" s="167"/>
      <c r="BD935" s="167"/>
      <c r="BE935" s="167"/>
      <c r="BF935" s="167"/>
      <c r="BG935" s="167"/>
      <c r="BH935" s="167"/>
      <c r="BI935" s="167"/>
      <c r="BJ935" s="167"/>
      <c r="BK935" s="167"/>
      <c r="BL935" s="167"/>
      <c r="BM935" s="167"/>
      <c r="BN935" s="167"/>
      <c r="BO935" s="167"/>
      <c r="BP935" s="167"/>
      <c r="BQ935" s="167"/>
      <c r="BR935" s="167"/>
      <c r="BS935" s="167"/>
      <c r="BT935" s="167"/>
      <c r="BU935" s="167"/>
      <c r="BV935" s="167"/>
      <c r="BW935" s="167"/>
      <c r="BX935" s="167"/>
      <c r="BY935" s="175"/>
    </row>
    <row r="936" spans="1:77" s="18" customFormat="1" x14ac:dyDescent="0.15">
      <c r="A936" s="148">
        <v>1408040031</v>
      </c>
      <c r="B936" s="158" t="s">
        <v>708</v>
      </c>
      <c r="C936" s="150" t="s">
        <v>89</v>
      </c>
      <c r="D936" s="150"/>
      <c r="E936" s="150" t="s">
        <v>78</v>
      </c>
      <c r="F936" s="150"/>
      <c r="G936" s="150"/>
      <c r="H936" s="150"/>
      <c r="I936" s="150"/>
      <c r="J936" s="166"/>
      <c r="K936" s="166"/>
      <c r="L936" s="166"/>
      <c r="M936" s="166" t="s">
        <v>101</v>
      </c>
      <c r="N936" s="166"/>
      <c r="O936" s="150" t="s">
        <v>90</v>
      </c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>
        <v>1408040103</v>
      </c>
      <c r="AE936" s="167"/>
      <c r="AF936" s="167"/>
      <c r="AG936" s="167"/>
      <c r="AH936" s="167"/>
      <c r="AI936" s="167"/>
      <c r="AJ936" s="167"/>
      <c r="AK936" s="167"/>
      <c r="AL936" s="167"/>
      <c r="AM936" s="167"/>
      <c r="AN936" s="167"/>
      <c r="AO936" s="167"/>
      <c r="AP936" s="167"/>
      <c r="AQ936" s="167"/>
      <c r="AR936" s="167"/>
      <c r="AS936" s="167"/>
      <c r="AT936" s="167"/>
      <c r="AU936" s="167"/>
      <c r="AV936" s="167"/>
      <c r="AW936" s="167"/>
      <c r="AX936" s="167"/>
      <c r="AY936" s="167"/>
      <c r="AZ936" s="167"/>
      <c r="BA936" s="167"/>
      <c r="BB936" s="167"/>
      <c r="BC936" s="167"/>
      <c r="BD936" s="167"/>
      <c r="BE936" s="167"/>
      <c r="BF936" s="167"/>
      <c r="BG936" s="167"/>
      <c r="BH936" s="167"/>
      <c r="BI936" s="167"/>
      <c r="BJ936" s="167"/>
      <c r="BK936" s="167"/>
      <c r="BL936" s="167"/>
      <c r="BM936" s="167"/>
      <c r="BN936" s="167"/>
      <c r="BO936" s="167"/>
      <c r="BP936" s="167"/>
      <c r="BQ936" s="167"/>
      <c r="BR936" s="167"/>
      <c r="BS936" s="167"/>
      <c r="BT936" s="167"/>
      <c r="BU936" s="167"/>
      <c r="BV936" s="167"/>
      <c r="BW936" s="167"/>
      <c r="BX936" s="167"/>
      <c r="BY936" s="175"/>
    </row>
    <row r="937" spans="1:77" s="14" customFormat="1" x14ac:dyDescent="0.15">
      <c r="A937" s="151">
        <v>1411001011</v>
      </c>
      <c r="B937" s="152" t="s">
        <v>709</v>
      </c>
      <c r="C937" s="153" t="s">
        <v>77</v>
      </c>
      <c r="D937" s="153"/>
      <c r="E937" s="153" t="s">
        <v>78</v>
      </c>
      <c r="F937" s="153"/>
      <c r="G937" s="153"/>
      <c r="H937" s="153"/>
      <c r="I937" s="153"/>
      <c r="J937" s="162"/>
      <c r="K937" s="162"/>
      <c r="L937" s="162"/>
      <c r="M937" s="162"/>
      <c r="N937" s="162"/>
      <c r="O937" s="153" t="s">
        <v>79</v>
      </c>
      <c r="P937" s="163" t="s">
        <v>80</v>
      </c>
      <c r="Q937" s="163"/>
      <c r="R937" s="163">
        <v>10000</v>
      </c>
      <c r="S937" s="163"/>
      <c r="T937" s="163">
        <v>10000</v>
      </c>
      <c r="U937" s="163"/>
      <c r="V937" s="163" t="s">
        <v>101</v>
      </c>
      <c r="W937" s="163"/>
      <c r="X937" s="163"/>
      <c r="Y937" s="163"/>
      <c r="Z937" s="163"/>
      <c r="AA937" s="163"/>
      <c r="AB937" s="163"/>
      <c r="AC937" s="163"/>
      <c r="AD937" s="163"/>
      <c r="AE937" s="163"/>
      <c r="AF937" s="163"/>
      <c r="AG937" s="163"/>
      <c r="AH937" s="163"/>
      <c r="AI937" s="163"/>
      <c r="AJ937" s="163"/>
      <c r="AK937" s="163"/>
      <c r="AL937" s="163"/>
      <c r="AM937" s="163"/>
      <c r="AN937" s="163"/>
      <c r="AO937" s="163"/>
      <c r="AP937" s="163"/>
      <c r="AQ937" s="163"/>
      <c r="AR937" s="163"/>
      <c r="AS937" s="163"/>
      <c r="AT937" s="163"/>
      <c r="AU937" s="163"/>
      <c r="AV937" s="163"/>
      <c r="AW937" s="163"/>
      <c r="AX937" s="163"/>
      <c r="AY937" s="163"/>
      <c r="AZ937" s="163"/>
      <c r="BA937" s="163"/>
      <c r="BB937" s="163"/>
      <c r="BC937" s="163"/>
      <c r="BD937" s="163"/>
      <c r="BE937" s="163"/>
      <c r="BF937" s="163"/>
      <c r="BG937" s="163"/>
      <c r="BH937" s="163"/>
      <c r="BI937" s="163"/>
      <c r="BJ937" s="163"/>
      <c r="BK937" s="163"/>
      <c r="BL937" s="163"/>
      <c r="BM937" s="163"/>
      <c r="BN937" s="163"/>
      <c r="BO937" s="163"/>
      <c r="BP937" s="163"/>
      <c r="BQ937" s="163"/>
      <c r="BR937" s="163"/>
      <c r="BS937" s="163"/>
      <c r="BT937" s="163"/>
      <c r="BU937" s="163"/>
      <c r="BV937" s="163"/>
      <c r="BW937" s="163"/>
      <c r="BX937" s="163"/>
      <c r="BY937" s="171"/>
    </row>
    <row r="938" spans="1:77" s="14" customFormat="1" x14ac:dyDescent="0.15">
      <c r="A938" s="151">
        <v>1411001012</v>
      </c>
      <c r="B938" s="152" t="s">
        <v>710</v>
      </c>
      <c r="C938" s="153" t="s">
        <v>77</v>
      </c>
      <c r="D938" s="153"/>
      <c r="E938" s="153" t="s">
        <v>425</v>
      </c>
      <c r="F938" s="153">
        <v>50000</v>
      </c>
      <c r="G938" s="153">
        <v>1200</v>
      </c>
      <c r="H938" s="153"/>
      <c r="I938" s="153"/>
      <c r="J938" s="162"/>
      <c r="K938" s="162"/>
      <c r="L938" s="162"/>
      <c r="M938" s="162" t="s">
        <v>101</v>
      </c>
      <c r="N938" s="162"/>
      <c r="O938" s="153" t="s">
        <v>79</v>
      </c>
      <c r="P938" s="163" t="s">
        <v>80</v>
      </c>
      <c r="Q938" s="163"/>
      <c r="R938" s="163">
        <v>5000</v>
      </c>
      <c r="S938" s="163"/>
      <c r="T938" s="163"/>
      <c r="U938" s="163"/>
      <c r="V938" s="163" t="s">
        <v>101</v>
      </c>
      <c r="W938" s="163"/>
      <c r="X938" s="163"/>
      <c r="Y938" s="163"/>
      <c r="Z938" s="163"/>
      <c r="AA938" s="163"/>
      <c r="AB938" s="163"/>
      <c r="AC938" s="163"/>
      <c r="AD938" s="163"/>
      <c r="AE938" s="163"/>
      <c r="AF938" s="163"/>
      <c r="AG938" s="163"/>
      <c r="AH938" s="163"/>
      <c r="AI938" s="163"/>
      <c r="AJ938" s="163"/>
      <c r="AK938" s="163"/>
      <c r="AL938" s="163"/>
      <c r="AM938" s="163"/>
      <c r="AN938" s="163"/>
      <c r="AO938" s="163"/>
      <c r="AP938" s="163"/>
      <c r="AQ938" s="163"/>
      <c r="AR938" s="163"/>
      <c r="AS938" s="163"/>
      <c r="AT938" s="163"/>
      <c r="AU938" s="163"/>
      <c r="AV938" s="163"/>
      <c r="AW938" s="163"/>
      <c r="AX938" s="163"/>
      <c r="AY938" s="163"/>
      <c r="AZ938" s="163"/>
      <c r="BA938" s="163"/>
      <c r="BB938" s="163"/>
      <c r="BC938" s="163"/>
      <c r="BD938" s="163"/>
      <c r="BE938" s="163"/>
      <c r="BF938" s="163"/>
      <c r="BG938" s="163"/>
      <c r="BH938" s="163"/>
      <c r="BI938" s="163"/>
      <c r="BJ938" s="163"/>
      <c r="BK938" s="163"/>
      <c r="BL938" s="163"/>
      <c r="BM938" s="163"/>
      <c r="BN938" s="163"/>
      <c r="BO938" s="163"/>
      <c r="BP938" s="163"/>
      <c r="BQ938" s="163"/>
      <c r="BR938" s="163"/>
      <c r="BS938" s="163"/>
      <c r="BT938" s="163"/>
      <c r="BU938" s="163"/>
      <c r="BV938" s="163"/>
      <c r="BW938" s="163"/>
      <c r="BX938" s="163"/>
      <c r="BY938" s="171"/>
    </row>
    <row r="939" spans="1:77" s="14" customFormat="1" x14ac:dyDescent="0.15">
      <c r="A939" s="151">
        <v>1411001013</v>
      </c>
      <c r="B939" s="152" t="s">
        <v>711</v>
      </c>
      <c r="C939" s="153" t="s">
        <v>89</v>
      </c>
      <c r="D939" s="153"/>
      <c r="E939" s="153" t="s">
        <v>78</v>
      </c>
      <c r="F939" s="153"/>
      <c r="G939" s="153"/>
      <c r="H939" s="153"/>
      <c r="I939" s="153"/>
      <c r="J939" s="162"/>
      <c r="K939" s="162"/>
      <c r="L939" s="162"/>
      <c r="M939" s="162"/>
      <c r="N939" s="162"/>
      <c r="O939" s="153" t="s">
        <v>90</v>
      </c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>
        <v>1411001101</v>
      </c>
      <c r="AE939" s="163"/>
      <c r="AF939" s="163"/>
      <c r="AG939" s="163"/>
      <c r="AH939" s="163"/>
      <c r="AI939" s="163"/>
      <c r="AJ939" s="163"/>
      <c r="AK939" s="163"/>
      <c r="AL939" s="163"/>
      <c r="AM939" s="163"/>
      <c r="AN939" s="163"/>
      <c r="AO939" s="163"/>
      <c r="AP939" s="163"/>
      <c r="AQ939" s="163"/>
      <c r="AR939" s="163"/>
      <c r="AS939" s="163"/>
      <c r="AT939" s="163"/>
      <c r="AU939" s="163"/>
      <c r="AV939" s="163"/>
      <c r="AW939" s="163"/>
      <c r="AX939" s="163"/>
      <c r="AY939" s="163"/>
      <c r="AZ939" s="163"/>
      <c r="BA939" s="163"/>
      <c r="BB939" s="163"/>
      <c r="BC939" s="163"/>
      <c r="BD939" s="163"/>
      <c r="BE939" s="163"/>
      <c r="BF939" s="163"/>
      <c r="BG939" s="163"/>
      <c r="BH939" s="163"/>
      <c r="BI939" s="163"/>
      <c r="BJ939" s="163"/>
      <c r="BK939" s="163"/>
      <c r="BL939" s="163"/>
      <c r="BM939" s="163"/>
      <c r="BN939" s="163"/>
      <c r="BO939" s="163"/>
      <c r="BP939" s="163"/>
      <c r="BQ939" s="163"/>
      <c r="BR939" s="163"/>
      <c r="BS939" s="163"/>
      <c r="BT939" s="163"/>
      <c r="BU939" s="163"/>
      <c r="BV939" s="163"/>
      <c r="BW939" s="163"/>
      <c r="BX939" s="163"/>
      <c r="BY939" s="171"/>
    </row>
    <row r="940" spans="1:77" s="14" customFormat="1" x14ac:dyDescent="0.15">
      <c r="A940" s="151">
        <v>1411001014</v>
      </c>
      <c r="B940" s="152" t="s">
        <v>712</v>
      </c>
      <c r="C940" s="153" t="s">
        <v>89</v>
      </c>
      <c r="D940" s="153"/>
      <c r="E940" s="153" t="s">
        <v>78</v>
      </c>
      <c r="F940" s="153"/>
      <c r="G940" s="153"/>
      <c r="H940" s="153"/>
      <c r="I940" s="153"/>
      <c r="J940" s="162"/>
      <c r="K940" s="162"/>
      <c r="L940" s="162"/>
      <c r="M940" s="162"/>
      <c r="N940" s="162"/>
      <c r="O940" s="153" t="s">
        <v>713</v>
      </c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  <c r="AC940" s="163"/>
      <c r="AD940" s="163"/>
      <c r="AE940" s="163">
        <v>14110011</v>
      </c>
      <c r="AF940" s="163"/>
      <c r="AG940" s="163"/>
      <c r="AH940" s="163"/>
      <c r="AI940" s="163"/>
      <c r="AJ940" s="163"/>
      <c r="AK940" s="163"/>
      <c r="AL940" s="163"/>
      <c r="AM940" s="163"/>
      <c r="AN940" s="163"/>
      <c r="AO940" s="163"/>
      <c r="AP940" s="163"/>
      <c r="AQ940" s="163"/>
      <c r="AR940" s="163"/>
      <c r="AS940" s="163"/>
      <c r="AT940" s="163"/>
      <c r="AU940" s="163"/>
      <c r="AV940" s="163"/>
      <c r="AW940" s="163"/>
      <c r="AX940" s="163"/>
      <c r="AY940" s="163"/>
      <c r="AZ940" s="163"/>
      <c r="BA940" s="163"/>
      <c r="BB940" s="163"/>
      <c r="BC940" s="163"/>
      <c r="BD940" s="163"/>
      <c r="BE940" s="163"/>
      <c r="BF940" s="163"/>
      <c r="BG940" s="163"/>
      <c r="BH940" s="163"/>
      <c r="BI940" s="163"/>
      <c r="BJ940" s="163"/>
      <c r="BK940" s="163"/>
      <c r="BL940" s="163"/>
      <c r="BM940" s="163"/>
      <c r="BN940" s="163"/>
      <c r="BO940" s="163"/>
      <c r="BP940" s="163"/>
      <c r="BQ940" s="163"/>
      <c r="BR940" s="163"/>
      <c r="BS940" s="163"/>
      <c r="BT940" s="163"/>
      <c r="BU940" s="163"/>
      <c r="BV940" s="163"/>
      <c r="BW940" s="163"/>
      <c r="BX940" s="163"/>
      <c r="BY940" s="171"/>
    </row>
    <row r="941" spans="1:77" s="14" customFormat="1" x14ac:dyDescent="0.15">
      <c r="A941" s="151">
        <v>1411002011</v>
      </c>
      <c r="B941" s="152" t="s">
        <v>714</v>
      </c>
      <c r="C941" s="153" t="s">
        <v>77</v>
      </c>
      <c r="D941" s="153"/>
      <c r="E941" s="153" t="s">
        <v>78</v>
      </c>
      <c r="F941" s="153"/>
      <c r="G941" s="153"/>
      <c r="H941" s="153"/>
      <c r="I941" s="153"/>
      <c r="J941" s="162"/>
      <c r="K941" s="162"/>
      <c r="L941" s="162"/>
      <c r="M941" s="162"/>
      <c r="N941" s="162"/>
      <c r="O941" s="153" t="s">
        <v>79</v>
      </c>
      <c r="P941" s="163" t="s">
        <v>80</v>
      </c>
      <c r="Q941" s="163"/>
      <c r="R941" s="163">
        <v>10000</v>
      </c>
      <c r="S941" s="163"/>
      <c r="T941" s="163">
        <v>10000</v>
      </c>
      <c r="U941" s="163"/>
      <c r="V941" s="163" t="s">
        <v>101</v>
      </c>
      <c r="W941" s="163"/>
      <c r="X941" s="163"/>
      <c r="Y941" s="163"/>
      <c r="Z941" s="163"/>
      <c r="AA941" s="163"/>
      <c r="AB941" s="163"/>
      <c r="AC941" s="163"/>
      <c r="AD941" s="163"/>
      <c r="AE941" s="163"/>
      <c r="AF941" s="163"/>
      <c r="AG941" s="163"/>
      <c r="AH941" s="163"/>
      <c r="AI941" s="163"/>
      <c r="AJ941" s="163"/>
      <c r="AK941" s="163"/>
      <c r="AL941" s="163"/>
      <c r="AM941" s="163"/>
      <c r="AN941" s="163"/>
      <c r="AO941" s="163"/>
      <c r="AP941" s="163"/>
      <c r="AQ941" s="163"/>
      <c r="AR941" s="163"/>
      <c r="AS941" s="163"/>
      <c r="AT941" s="163"/>
      <c r="AU941" s="163"/>
      <c r="AV941" s="163"/>
      <c r="AW941" s="163"/>
      <c r="AX941" s="163"/>
      <c r="AY941" s="163"/>
      <c r="AZ941" s="163"/>
      <c r="BA941" s="163"/>
      <c r="BB941" s="163"/>
      <c r="BC941" s="163"/>
      <c r="BD941" s="163"/>
      <c r="BE941" s="163"/>
      <c r="BF941" s="163"/>
      <c r="BG941" s="163"/>
      <c r="BH941" s="163"/>
      <c r="BI941" s="163"/>
      <c r="BJ941" s="163"/>
      <c r="BK941" s="163"/>
      <c r="BL941" s="163"/>
      <c r="BM941" s="163"/>
      <c r="BN941" s="163"/>
      <c r="BO941" s="163"/>
      <c r="BP941" s="163"/>
      <c r="BQ941" s="163"/>
      <c r="BR941" s="163"/>
      <c r="BS941" s="163"/>
      <c r="BT941" s="163"/>
      <c r="BU941" s="163"/>
      <c r="BV941" s="163"/>
      <c r="BW941" s="163"/>
      <c r="BX941" s="163"/>
      <c r="BY941" s="171"/>
    </row>
    <row r="942" spans="1:77" s="14" customFormat="1" x14ac:dyDescent="0.15">
      <c r="A942" s="151">
        <v>1411003011</v>
      </c>
      <c r="B942" s="152" t="s">
        <v>715</v>
      </c>
      <c r="C942" s="153" t="s">
        <v>77</v>
      </c>
      <c r="D942" s="153"/>
      <c r="E942" s="153" t="s">
        <v>78</v>
      </c>
      <c r="F942" s="153"/>
      <c r="G942" s="153"/>
      <c r="H942" s="153"/>
      <c r="I942" s="153"/>
      <c r="J942" s="162"/>
      <c r="K942" s="162"/>
      <c r="L942" s="162"/>
      <c r="M942" s="162"/>
      <c r="N942" s="162"/>
      <c r="O942" s="153" t="s">
        <v>79</v>
      </c>
      <c r="P942" s="163" t="s">
        <v>80</v>
      </c>
      <c r="Q942" s="163">
        <v>140</v>
      </c>
      <c r="R942" s="163">
        <v>10000</v>
      </c>
      <c r="S942" s="163"/>
      <c r="T942" s="163">
        <v>10000</v>
      </c>
      <c r="U942" s="163"/>
      <c r="V942" s="163" t="s">
        <v>101</v>
      </c>
      <c r="W942" s="163"/>
      <c r="X942" s="163"/>
      <c r="Y942" s="163"/>
      <c r="Z942" s="163"/>
      <c r="AA942" s="163"/>
      <c r="AB942" s="163"/>
      <c r="AC942" s="163"/>
      <c r="AD942" s="163"/>
      <c r="AE942" s="163"/>
      <c r="AF942" s="163"/>
      <c r="AG942" s="163"/>
      <c r="AH942" s="163"/>
      <c r="AI942" s="163"/>
      <c r="AJ942" s="163"/>
      <c r="AK942" s="163"/>
      <c r="AL942" s="163"/>
      <c r="AM942" s="163"/>
      <c r="AN942" s="163"/>
      <c r="AO942" s="163"/>
      <c r="AP942" s="163"/>
      <c r="AQ942" s="163"/>
      <c r="AR942" s="163"/>
      <c r="AS942" s="163"/>
      <c r="AT942" s="163"/>
      <c r="AU942" s="163"/>
      <c r="AV942" s="163"/>
      <c r="AW942" s="163"/>
      <c r="AX942" s="163"/>
      <c r="AY942" s="163"/>
      <c r="AZ942" s="163"/>
      <c r="BA942" s="163"/>
      <c r="BB942" s="163"/>
      <c r="BC942" s="163"/>
      <c r="BD942" s="163"/>
      <c r="BE942" s="163"/>
      <c r="BF942" s="163"/>
      <c r="BG942" s="163"/>
      <c r="BH942" s="163"/>
      <c r="BI942" s="163"/>
      <c r="BJ942" s="163"/>
      <c r="BK942" s="163"/>
      <c r="BL942" s="163"/>
      <c r="BM942" s="163"/>
      <c r="BN942" s="163"/>
      <c r="BO942" s="163"/>
      <c r="BP942" s="163"/>
      <c r="BQ942" s="163"/>
      <c r="BR942" s="163"/>
      <c r="BS942" s="163"/>
      <c r="BT942" s="163"/>
      <c r="BU942" s="163"/>
      <c r="BV942" s="163"/>
      <c r="BW942" s="163"/>
      <c r="BX942" s="163"/>
      <c r="BY942" s="171"/>
    </row>
    <row r="943" spans="1:77" s="14" customFormat="1" x14ac:dyDescent="0.15">
      <c r="A943" s="151">
        <v>1411003021</v>
      </c>
      <c r="B943" s="152" t="s">
        <v>715</v>
      </c>
      <c r="C943" s="153" t="s">
        <v>77</v>
      </c>
      <c r="D943" s="153"/>
      <c r="E943" s="153" t="s">
        <v>78</v>
      </c>
      <c r="F943" s="153"/>
      <c r="G943" s="153"/>
      <c r="H943" s="153"/>
      <c r="I943" s="153"/>
      <c r="J943" s="162"/>
      <c r="K943" s="162"/>
      <c r="L943" s="162"/>
      <c r="M943" s="162"/>
      <c r="N943" s="162"/>
      <c r="O943" s="153" t="s">
        <v>79</v>
      </c>
      <c r="P943" s="163" t="s">
        <v>80</v>
      </c>
      <c r="Q943" s="163">
        <v>200</v>
      </c>
      <c r="R943" s="163">
        <v>10000</v>
      </c>
      <c r="S943" s="163"/>
      <c r="T943" s="163">
        <v>10000</v>
      </c>
      <c r="U943" s="163"/>
      <c r="V943" s="163" t="s">
        <v>101</v>
      </c>
      <c r="W943" s="163"/>
      <c r="X943" s="163"/>
      <c r="Y943" s="163"/>
      <c r="Z943" s="163"/>
      <c r="AA943" s="163"/>
      <c r="AB943" s="163"/>
      <c r="AC943" s="163"/>
      <c r="AD943" s="163"/>
      <c r="AE943" s="163"/>
      <c r="AF943" s="163"/>
      <c r="AG943" s="163"/>
      <c r="AH943" s="163"/>
      <c r="AI943" s="163"/>
      <c r="AJ943" s="163"/>
      <c r="AK943" s="163"/>
      <c r="AL943" s="163"/>
      <c r="AM943" s="163"/>
      <c r="AN943" s="163"/>
      <c r="AO943" s="163"/>
      <c r="AP943" s="163"/>
      <c r="AQ943" s="163"/>
      <c r="AR943" s="163"/>
      <c r="AS943" s="163"/>
      <c r="AT943" s="163"/>
      <c r="AU943" s="163"/>
      <c r="AV943" s="163"/>
      <c r="AW943" s="163"/>
      <c r="AX943" s="163"/>
      <c r="AY943" s="163"/>
      <c r="AZ943" s="163"/>
      <c r="BA943" s="163"/>
      <c r="BB943" s="163"/>
      <c r="BC943" s="163"/>
      <c r="BD943" s="163"/>
      <c r="BE943" s="163"/>
      <c r="BF943" s="163"/>
      <c r="BG943" s="163"/>
      <c r="BH943" s="163"/>
      <c r="BI943" s="163"/>
      <c r="BJ943" s="163"/>
      <c r="BK943" s="163"/>
      <c r="BL943" s="163"/>
      <c r="BM943" s="163"/>
      <c r="BN943" s="163"/>
      <c r="BO943" s="163"/>
      <c r="BP943" s="163"/>
      <c r="BQ943" s="163"/>
      <c r="BR943" s="163"/>
      <c r="BS943" s="163"/>
      <c r="BT943" s="163"/>
      <c r="BU943" s="163"/>
      <c r="BV943" s="163"/>
      <c r="BW943" s="163"/>
      <c r="BX943" s="163"/>
      <c r="BY943" s="171"/>
    </row>
    <row r="944" spans="1:77" s="14" customFormat="1" x14ac:dyDescent="0.15">
      <c r="A944" s="151">
        <v>1411003031</v>
      </c>
      <c r="B944" s="152" t="s">
        <v>715</v>
      </c>
      <c r="C944" s="153" t="s">
        <v>77</v>
      </c>
      <c r="D944" s="153"/>
      <c r="E944" s="153" t="s">
        <v>78</v>
      </c>
      <c r="F944" s="153"/>
      <c r="G944" s="153"/>
      <c r="H944" s="153"/>
      <c r="I944" s="153"/>
      <c r="J944" s="162"/>
      <c r="K944" s="162"/>
      <c r="L944" s="162"/>
      <c r="M944" s="162"/>
      <c r="N944" s="162"/>
      <c r="O944" s="153" t="s">
        <v>79</v>
      </c>
      <c r="P944" s="163" t="s">
        <v>80</v>
      </c>
      <c r="Q944" s="163">
        <v>260</v>
      </c>
      <c r="R944" s="163">
        <v>10000</v>
      </c>
      <c r="S944" s="163"/>
      <c r="T944" s="163">
        <v>10000</v>
      </c>
      <c r="U944" s="163"/>
      <c r="V944" s="163" t="s">
        <v>101</v>
      </c>
      <c r="W944" s="163"/>
      <c r="X944" s="163"/>
      <c r="Y944" s="163"/>
      <c r="Z944" s="163"/>
      <c r="AA944" s="163"/>
      <c r="AB944" s="163"/>
      <c r="AC944" s="163"/>
      <c r="AD944" s="163"/>
      <c r="AE944" s="163"/>
      <c r="AF944" s="163"/>
      <c r="AG944" s="163"/>
      <c r="AH944" s="163"/>
      <c r="AI944" s="163"/>
      <c r="AJ944" s="163"/>
      <c r="AK944" s="163"/>
      <c r="AL944" s="163"/>
      <c r="AM944" s="163"/>
      <c r="AN944" s="163"/>
      <c r="AO944" s="163"/>
      <c r="AP944" s="163"/>
      <c r="AQ944" s="163"/>
      <c r="AR944" s="163"/>
      <c r="AS944" s="163"/>
      <c r="AT944" s="163"/>
      <c r="AU944" s="163"/>
      <c r="AV944" s="163"/>
      <c r="AW944" s="163"/>
      <c r="AX944" s="163"/>
      <c r="AY944" s="163"/>
      <c r="AZ944" s="163"/>
      <c r="BA944" s="163"/>
      <c r="BB944" s="163"/>
      <c r="BC944" s="163"/>
      <c r="BD944" s="163"/>
      <c r="BE944" s="163"/>
      <c r="BF944" s="163"/>
      <c r="BG944" s="163"/>
      <c r="BH944" s="163"/>
      <c r="BI944" s="163"/>
      <c r="BJ944" s="163"/>
      <c r="BK944" s="163"/>
      <c r="BL944" s="163"/>
      <c r="BM944" s="163"/>
      <c r="BN944" s="163"/>
      <c r="BO944" s="163"/>
      <c r="BP944" s="163"/>
      <c r="BQ944" s="163"/>
      <c r="BR944" s="163"/>
      <c r="BS944" s="163"/>
      <c r="BT944" s="163"/>
      <c r="BU944" s="163"/>
      <c r="BV944" s="163"/>
      <c r="BW944" s="163"/>
      <c r="BX944" s="163"/>
      <c r="BY944" s="171"/>
    </row>
    <row r="945" spans="1:77" s="14" customFormat="1" x14ac:dyDescent="0.15">
      <c r="A945" s="151">
        <v>1411003041</v>
      </c>
      <c r="B945" s="152" t="s">
        <v>715</v>
      </c>
      <c r="C945" s="153" t="s">
        <v>77</v>
      </c>
      <c r="D945" s="153"/>
      <c r="E945" s="153" t="s">
        <v>78</v>
      </c>
      <c r="F945" s="153"/>
      <c r="G945" s="153"/>
      <c r="H945" s="153"/>
      <c r="I945" s="153"/>
      <c r="J945" s="162"/>
      <c r="K945" s="162"/>
      <c r="L945" s="162"/>
      <c r="M945" s="162"/>
      <c r="N945" s="162"/>
      <c r="O945" s="153" t="s">
        <v>79</v>
      </c>
      <c r="P945" s="163" t="s">
        <v>80</v>
      </c>
      <c r="Q945" s="163">
        <v>320</v>
      </c>
      <c r="R945" s="163">
        <v>10000</v>
      </c>
      <c r="S945" s="163"/>
      <c r="T945" s="163">
        <v>10000</v>
      </c>
      <c r="U945" s="163"/>
      <c r="V945" s="163" t="s">
        <v>101</v>
      </c>
      <c r="W945" s="163"/>
      <c r="X945" s="163"/>
      <c r="Y945" s="163"/>
      <c r="Z945" s="163"/>
      <c r="AA945" s="163"/>
      <c r="AB945" s="163"/>
      <c r="AC945" s="163"/>
      <c r="AD945" s="163"/>
      <c r="AE945" s="163"/>
      <c r="AF945" s="163"/>
      <c r="AG945" s="163"/>
      <c r="AH945" s="163"/>
      <c r="AI945" s="163"/>
      <c r="AJ945" s="163"/>
      <c r="AK945" s="163"/>
      <c r="AL945" s="163"/>
      <c r="AM945" s="163"/>
      <c r="AN945" s="163"/>
      <c r="AO945" s="163"/>
      <c r="AP945" s="163"/>
      <c r="AQ945" s="163"/>
      <c r="AR945" s="163"/>
      <c r="AS945" s="163"/>
      <c r="AT945" s="163"/>
      <c r="AU945" s="163"/>
      <c r="AV945" s="163"/>
      <c r="AW945" s="163"/>
      <c r="AX945" s="163"/>
      <c r="AY945" s="163"/>
      <c r="AZ945" s="163"/>
      <c r="BA945" s="163"/>
      <c r="BB945" s="163"/>
      <c r="BC945" s="163"/>
      <c r="BD945" s="163"/>
      <c r="BE945" s="163"/>
      <c r="BF945" s="163"/>
      <c r="BG945" s="163"/>
      <c r="BH945" s="163"/>
      <c r="BI945" s="163"/>
      <c r="BJ945" s="163"/>
      <c r="BK945" s="163"/>
      <c r="BL945" s="163"/>
      <c r="BM945" s="163"/>
      <c r="BN945" s="163"/>
      <c r="BO945" s="163"/>
      <c r="BP945" s="163"/>
      <c r="BQ945" s="163"/>
      <c r="BR945" s="163"/>
      <c r="BS945" s="163"/>
      <c r="BT945" s="163"/>
      <c r="BU945" s="163"/>
      <c r="BV945" s="163"/>
      <c r="BW945" s="163"/>
      <c r="BX945" s="163"/>
      <c r="BY945" s="171"/>
    </row>
    <row r="946" spans="1:77" s="14" customFormat="1" x14ac:dyDescent="0.15">
      <c r="A946" s="151">
        <v>1411003012</v>
      </c>
      <c r="B946" s="152" t="s">
        <v>716</v>
      </c>
      <c r="C946" s="153" t="s">
        <v>77</v>
      </c>
      <c r="D946" s="153"/>
      <c r="E946" s="153" t="s">
        <v>425</v>
      </c>
      <c r="F946" s="153">
        <v>50000</v>
      </c>
      <c r="G946" s="153">
        <v>1200</v>
      </c>
      <c r="H946" s="153"/>
      <c r="I946" s="153"/>
      <c r="J946" s="162"/>
      <c r="K946" s="162"/>
      <c r="L946" s="162"/>
      <c r="M946" s="162" t="s">
        <v>101</v>
      </c>
      <c r="N946" s="162"/>
      <c r="O946" s="153" t="s">
        <v>79</v>
      </c>
      <c r="P946" s="163" t="s">
        <v>80</v>
      </c>
      <c r="Q946" s="163">
        <v>140</v>
      </c>
      <c r="R946" s="163">
        <v>5000</v>
      </c>
      <c r="S946" s="163"/>
      <c r="T946" s="163"/>
      <c r="U946" s="163"/>
      <c r="V946" s="163" t="s">
        <v>101</v>
      </c>
      <c r="W946" s="163"/>
      <c r="X946" s="163"/>
      <c r="Y946" s="163"/>
      <c r="Z946" s="163"/>
      <c r="AA946" s="163"/>
      <c r="AB946" s="163"/>
      <c r="AC946" s="163"/>
      <c r="AD946" s="163"/>
      <c r="AE946" s="163"/>
      <c r="AF946" s="163"/>
      <c r="AG946" s="163"/>
      <c r="AH946" s="163"/>
      <c r="AI946" s="163"/>
      <c r="AJ946" s="163"/>
      <c r="AK946" s="163"/>
      <c r="AL946" s="163"/>
      <c r="AM946" s="163"/>
      <c r="AN946" s="163"/>
      <c r="AO946" s="163"/>
      <c r="AP946" s="163"/>
      <c r="AQ946" s="163"/>
      <c r="AR946" s="163"/>
      <c r="AS946" s="163"/>
      <c r="AT946" s="163"/>
      <c r="AU946" s="163"/>
      <c r="AV946" s="163"/>
      <c r="AW946" s="163"/>
      <c r="AX946" s="163"/>
      <c r="AY946" s="163"/>
      <c r="AZ946" s="163"/>
      <c r="BA946" s="163"/>
      <c r="BB946" s="163"/>
      <c r="BC946" s="163"/>
      <c r="BD946" s="163"/>
      <c r="BE946" s="163"/>
      <c r="BF946" s="163"/>
      <c r="BG946" s="163"/>
      <c r="BH946" s="163"/>
      <c r="BI946" s="163"/>
      <c r="BJ946" s="163"/>
      <c r="BK946" s="163"/>
      <c r="BL946" s="163"/>
      <c r="BM946" s="163"/>
      <c r="BN946" s="163"/>
      <c r="BO946" s="163"/>
      <c r="BP946" s="163"/>
      <c r="BQ946" s="163"/>
      <c r="BR946" s="163"/>
      <c r="BS946" s="163"/>
      <c r="BT946" s="163"/>
      <c r="BU946" s="163"/>
      <c r="BV946" s="163"/>
      <c r="BW946" s="163"/>
      <c r="BX946" s="163"/>
      <c r="BY946" s="171"/>
    </row>
    <row r="947" spans="1:77" s="14" customFormat="1" x14ac:dyDescent="0.15">
      <c r="A947" s="151">
        <v>1411003022</v>
      </c>
      <c r="B947" s="152" t="s">
        <v>716</v>
      </c>
      <c r="C947" s="153" t="s">
        <v>77</v>
      </c>
      <c r="D947" s="153"/>
      <c r="E947" s="153" t="s">
        <v>425</v>
      </c>
      <c r="F947" s="153">
        <v>50000</v>
      </c>
      <c r="G947" s="153">
        <v>1200</v>
      </c>
      <c r="H947" s="153"/>
      <c r="I947" s="153"/>
      <c r="J947" s="162"/>
      <c r="K947" s="162"/>
      <c r="L947" s="162"/>
      <c r="M947" s="162" t="s">
        <v>101</v>
      </c>
      <c r="N947" s="162"/>
      <c r="O947" s="153" t="s">
        <v>79</v>
      </c>
      <c r="P947" s="163" t="s">
        <v>80</v>
      </c>
      <c r="Q947" s="163">
        <v>200</v>
      </c>
      <c r="R947" s="163">
        <v>5000</v>
      </c>
      <c r="S947" s="163"/>
      <c r="T947" s="163"/>
      <c r="U947" s="163"/>
      <c r="V947" s="163" t="s">
        <v>101</v>
      </c>
      <c r="W947" s="163"/>
      <c r="X947" s="163"/>
      <c r="Y947" s="163"/>
      <c r="Z947" s="163"/>
      <c r="AA947" s="163"/>
      <c r="AB947" s="163"/>
      <c r="AC947" s="163"/>
      <c r="AD947" s="163"/>
      <c r="AE947" s="163"/>
      <c r="AF947" s="163"/>
      <c r="AG947" s="163"/>
      <c r="AH947" s="163"/>
      <c r="AI947" s="163"/>
      <c r="AJ947" s="163"/>
      <c r="AK947" s="163"/>
      <c r="AL947" s="163"/>
      <c r="AM947" s="163"/>
      <c r="AN947" s="163"/>
      <c r="AO947" s="163"/>
      <c r="AP947" s="163"/>
      <c r="AQ947" s="163"/>
      <c r="AR947" s="163"/>
      <c r="AS947" s="163"/>
      <c r="AT947" s="163"/>
      <c r="AU947" s="163"/>
      <c r="AV947" s="163"/>
      <c r="AW947" s="163"/>
      <c r="AX947" s="163"/>
      <c r="AY947" s="163"/>
      <c r="AZ947" s="163"/>
      <c r="BA947" s="163"/>
      <c r="BB947" s="163"/>
      <c r="BC947" s="163"/>
      <c r="BD947" s="163"/>
      <c r="BE947" s="163"/>
      <c r="BF947" s="163"/>
      <c r="BG947" s="163"/>
      <c r="BH947" s="163"/>
      <c r="BI947" s="163"/>
      <c r="BJ947" s="163"/>
      <c r="BK947" s="163"/>
      <c r="BL947" s="163"/>
      <c r="BM947" s="163"/>
      <c r="BN947" s="163"/>
      <c r="BO947" s="163"/>
      <c r="BP947" s="163"/>
      <c r="BQ947" s="163"/>
      <c r="BR947" s="163"/>
      <c r="BS947" s="163"/>
      <c r="BT947" s="163"/>
      <c r="BU947" s="163"/>
      <c r="BV947" s="163"/>
      <c r="BW947" s="163"/>
      <c r="BX947" s="163"/>
      <c r="BY947" s="171"/>
    </row>
    <row r="948" spans="1:77" s="14" customFormat="1" x14ac:dyDescent="0.15">
      <c r="A948" s="151">
        <v>1411003032</v>
      </c>
      <c r="B948" s="152" t="s">
        <v>716</v>
      </c>
      <c r="C948" s="153" t="s">
        <v>77</v>
      </c>
      <c r="D948" s="153"/>
      <c r="E948" s="153" t="s">
        <v>425</v>
      </c>
      <c r="F948" s="153">
        <v>50000</v>
      </c>
      <c r="G948" s="153">
        <v>1200</v>
      </c>
      <c r="H948" s="153"/>
      <c r="I948" s="153"/>
      <c r="J948" s="162"/>
      <c r="K948" s="162"/>
      <c r="L948" s="162"/>
      <c r="M948" s="162" t="s">
        <v>101</v>
      </c>
      <c r="N948" s="162"/>
      <c r="O948" s="153" t="s">
        <v>79</v>
      </c>
      <c r="P948" s="163" t="s">
        <v>80</v>
      </c>
      <c r="Q948" s="163">
        <v>260</v>
      </c>
      <c r="R948" s="163">
        <v>5000</v>
      </c>
      <c r="S948" s="163"/>
      <c r="T948" s="163"/>
      <c r="U948" s="163"/>
      <c r="V948" s="163" t="s">
        <v>101</v>
      </c>
      <c r="W948" s="163"/>
      <c r="X948" s="163"/>
      <c r="Y948" s="163"/>
      <c r="Z948" s="163"/>
      <c r="AA948" s="163"/>
      <c r="AB948" s="163"/>
      <c r="AC948" s="163"/>
      <c r="AD948" s="163"/>
      <c r="AE948" s="163"/>
      <c r="AF948" s="163"/>
      <c r="AG948" s="163"/>
      <c r="AH948" s="163"/>
      <c r="AI948" s="163"/>
      <c r="AJ948" s="163"/>
      <c r="AK948" s="163"/>
      <c r="AL948" s="163"/>
      <c r="AM948" s="163"/>
      <c r="AN948" s="163"/>
      <c r="AO948" s="163"/>
      <c r="AP948" s="163"/>
      <c r="AQ948" s="163"/>
      <c r="AR948" s="163"/>
      <c r="AS948" s="163"/>
      <c r="AT948" s="163"/>
      <c r="AU948" s="163"/>
      <c r="AV948" s="163"/>
      <c r="AW948" s="163"/>
      <c r="AX948" s="163"/>
      <c r="AY948" s="163"/>
      <c r="AZ948" s="163"/>
      <c r="BA948" s="163"/>
      <c r="BB948" s="163"/>
      <c r="BC948" s="163"/>
      <c r="BD948" s="163"/>
      <c r="BE948" s="163"/>
      <c r="BF948" s="163"/>
      <c r="BG948" s="163"/>
      <c r="BH948" s="163"/>
      <c r="BI948" s="163"/>
      <c r="BJ948" s="163"/>
      <c r="BK948" s="163"/>
      <c r="BL948" s="163"/>
      <c r="BM948" s="163"/>
      <c r="BN948" s="163"/>
      <c r="BO948" s="163"/>
      <c r="BP948" s="163"/>
      <c r="BQ948" s="163"/>
      <c r="BR948" s="163"/>
      <c r="BS948" s="163"/>
      <c r="BT948" s="163"/>
      <c r="BU948" s="163"/>
      <c r="BV948" s="163"/>
      <c r="BW948" s="163"/>
      <c r="BX948" s="163"/>
      <c r="BY948" s="171"/>
    </row>
    <row r="949" spans="1:77" s="14" customFormat="1" x14ac:dyDescent="0.15">
      <c r="A949" s="151">
        <v>1411003042</v>
      </c>
      <c r="B949" s="152" t="s">
        <v>716</v>
      </c>
      <c r="C949" s="153" t="s">
        <v>77</v>
      </c>
      <c r="D949" s="153"/>
      <c r="E949" s="153" t="s">
        <v>425</v>
      </c>
      <c r="F949" s="153">
        <v>50000</v>
      </c>
      <c r="G949" s="153">
        <v>1200</v>
      </c>
      <c r="H949" s="153"/>
      <c r="I949" s="153"/>
      <c r="J949" s="162"/>
      <c r="K949" s="162"/>
      <c r="L949" s="162"/>
      <c r="M949" s="162" t="s">
        <v>101</v>
      </c>
      <c r="N949" s="162"/>
      <c r="O949" s="153" t="s">
        <v>79</v>
      </c>
      <c r="P949" s="163" t="s">
        <v>80</v>
      </c>
      <c r="Q949" s="163">
        <v>320</v>
      </c>
      <c r="R949" s="163">
        <v>5000</v>
      </c>
      <c r="S949" s="163"/>
      <c r="T949" s="163"/>
      <c r="U949" s="163"/>
      <c r="V949" s="163" t="s">
        <v>101</v>
      </c>
      <c r="W949" s="163"/>
      <c r="X949" s="163"/>
      <c r="Y949" s="163"/>
      <c r="Z949" s="163"/>
      <c r="AA949" s="163"/>
      <c r="AB949" s="163"/>
      <c r="AC949" s="163"/>
      <c r="AD949" s="163"/>
      <c r="AE949" s="163"/>
      <c r="AF949" s="163"/>
      <c r="AG949" s="163"/>
      <c r="AH949" s="163"/>
      <c r="AI949" s="163"/>
      <c r="AJ949" s="163"/>
      <c r="AK949" s="163"/>
      <c r="AL949" s="163"/>
      <c r="AM949" s="163"/>
      <c r="AN949" s="163"/>
      <c r="AO949" s="163"/>
      <c r="AP949" s="163"/>
      <c r="AQ949" s="163"/>
      <c r="AR949" s="163"/>
      <c r="AS949" s="163"/>
      <c r="AT949" s="163"/>
      <c r="AU949" s="163"/>
      <c r="AV949" s="163"/>
      <c r="AW949" s="163"/>
      <c r="AX949" s="163"/>
      <c r="AY949" s="163"/>
      <c r="AZ949" s="163"/>
      <c r="BA949" s="163"/>
      <c r="BB949" s="163"/>
      <c r="BC949" s="163"/>
      <c r="BD949" s="163"/>
      <c r="BE949" s="163"/>
      <c r="BF949" s="163"/>
      <c r="BG949" s="163"/>
      <c r="BH949" s="163"/>
      <c r="BI949" s="163"/>
      <c r="BJ949" s="163"/>
      <c r="BK949" s="163"/>
      <c r="BL949" s="163"/>
      <c r="BM949" s="163"/>
      <c r="BN949" s="163"/>
      <c r="BO949" s="163"/>
      <c r="BP949" s="163"/>
      <c r="BQ949" s="163"/>
      <c r="BR949" s="163"/>
      <c r="BS949" s="163"/>
      <c r="BT949" s="163"/>
      <c r="BU949" s="163"/>
      <c r="BV949" s="163"/>
      <c r="BW949" s="163"/>
      <c r="BX949" s="163"/>
      <c r="BY949" s="171"/>
    </row>
    <row r="950" spans="1:77" s="14" customFormat="1" x14ac:dyDescent="0.15">
      <c r="A950" s="151">
        <v>1411010011</v>
      </c>
      <c r="B950" s="152" t="s">
        <v>717</v>
      </c>
      <c r="C950" s="153" t="s">
        <v>89</v>
      </c>
      <c r="D950" s="153"/>
      <c r="E950" s="153" t="s">
        <v>78</v>
      </c>
      <c r="F950" s="153"/>
      <c r="G950" s="153"/>
      <c r="H950" s="153"/>
      <c r="I950" s="153"/>
      <c r="J950" s="162"/>
      <c r="K950" s="162"/>
      <c r="L950" s="162"/>
      <c r="M950" s="162"/>
      <c r="N950" s="162"/>
      <c r="O950" s="153" t="s">
        <v>90</v>
      </c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3">
        <v>1411010101</v>
      </c>
      <c r="AE950" s="163"/>
      <c r="AF950" s="163"/>
      <c r="AG950" s="163"/>
      <c r="AH950" s="163"/>
      <c r="AI950" s="163"/>
      <c r="AJ950" s="163" t="s">
        <v>90</v>
      </c>
      <c r="AK950" s="163"/>
      <c r="AL950" s="163"/>
      <c r="AM950" s="163"/>
      <c r="AN950" s="163"/>
      <c r="AO950" s="163"/>
      <c r="AP950" s="163"/>
      <c r="AQ950" s="163"/>
      <c r="AR950" s="163"/>
      <c r="AS950" s="163"/>
      <c r="AT950" s="163"/>
      <c r="AU950" s="163"/>
      <c r="AV950" s="163"/>
      <c r="AW950" s="163"/>
      <c r="AX950" s="163"/>
      <c r="AY950" s="163">
        <v>1411010201</v>
      </c>
      <c r="AZ950" s="163"/>
      <c r="BA950" s="163"/>
      <c r="BB950" s="163"/>
      <c r="BC950" s="163"/>
      <c r="BD950" s="163"/>
      <c r="BE950" s="163"/>
      <c r="BF950" s="163"/>
      <c r="BG950" s="163"/>
      <c r="BH950" s="163"/>
      <c r="BI950" s="163"/>
      <c r="BJ950" s="163"/>
      <c r="BK950" s="163"/>
      <c r="BL950" s="163"/>
      <c r="BM950" s="163"/>
      <c r="BN950" s="163"/>
      <c r="BO950" s="163"/>
      <c r="BP950" s="163"/>
      <c r="BQ950" s="163"/>
      <c r="BR950" s="163"/>
      <c r="BS950" s="163"/>
      <c r="BT950" s="163"/>
      <c r="BU950" s="163"/>
      <c r="BV950" s="163"/>
      <c r="BW950" s="163"/>
      <c r="BX950" s="163"/>
      <c r="BY950" s="171"/>
    </row>
    <row r="951" spans="1:77" s="14" customFormat="1" x14ac:dyDescent="0.15">
      <c r="A951" s="151">
        <v>1411010021</v>
      </c>
      <c r="B951" s="152" t="s">
        <v>717</v>
      </c>
      <c r="C951" s="153" t="s">
        <v>89</v>
      </c>
      <c r="D951" s="153"/>
      <c r="E951" s="153" t="s">
        <v>78</v>
      </c>
      <c r="F951" s="153"/>
      <c r="G951" s="153"/>
      <c r="H951" s="153"/>
      <c r="I951" s="153"/>
      <c r="J951" s="162"/>
      <c r="K951" s="162"/>
      <c r="L951" s="162"/>
      <c r="M951" s="162"/>
      <c r="N951" s="162"/>
      <c r="O951" s="153" t="s">
        <v>90</v>
      </c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>
        <v>1411010102</v>
      </c>
      <c r="AE951" s="163"/>
      <c r="AF951" s="163"/>
      <c r="AG951" s="163"/>
      <c r="AH951" s="163"/>
      <c r="AI951" s="163"/>
      <c r="AJ951" s="163" t="s">
        <v>90</v>
      </c>
      <c r="AK951" s="163"/>
      <c r="AL951" s="163"/>
      <c r="AM951" s="163"/>
      <c r="AN951" s="163"/>
      <c r="AO951" s="163"/>
      <c r="AP951" s="163"/>
      <c r="AQ951" s="163"/>
      <c r="AR951" s="163"/>
      <c r="AS951" s="163"/>
      <c r="AT951" s="163"/>
      <c r="AU951" s="163"/>
      <c r="AV951" s="163"/>
      <c r="AW951" s="163"/>
      <c r="AX951" s="163"/>
      <c r="AY951" s="163">
        <v>1411010202</v>
      </c>
      <c r="AZ951" s="163"/>
      <c r="BA951" s="163"/>
      <c r="BB951" s="163"/>
      <c r="BC951" s="163"/>
      <c r="BD951" s="163"/>
      <c r="BE951" s="163"/>
      <c r="BF951" s="163"/>
      <c r="BG951" s="163"/>
      <c r="BH951" s="163"/>
      <c r="BI951" s="163"/>
      <c r="BJ951" s="163"/>
      <c r="BK951" s="163"/>
      <c r="BL951" s="163"/>
      <c r="BM951" s="163"/>
      <c r="BN951" s="163"/>
      <c r="BO951" s="163"/>
      <c r="BP951" s="163"/>
      <c r="BQ951" s="163"/>
      <c r="BR951" s="163"/>
      <c r="BS951" s="163"/>
      <c r="BT951" s="163"/>
      <c r="BU951" s="163"/>
      <c r="BV951" s="163"/>
      <c r="BW951" s="163"/>
      <c r="BX951" s="163"/>
      <c r="BY951" s="171"/>
    </row>
    <row r="952" spans="1:77" s="14" customFormat="1" x14ac:dyDescent="0.15">
      <c r="A952" s="151">
        <v>1411010031</v>
      </c>
      <c r="B952" s="152" t="s">
        <v>717</v>
      </c>
      <c r="C952" s="153" t="s">
        <v>89</v>
      </c>
      <c r="D952" s="153"/>
      <c r="E952" s="153" t="s">
        <v>78</v>
      </c>
      <c r="F952" s="153"/>
      <c r="G952" s="153"/>
      <c r="H952" s="153"/>
      <c r="I952" s="153"/>
      <c r="J952" s="162"/>
      <c r="K952" s="162"/>
      <c r="L952" s="162"/>
      <c r="M952" s="162"/>
      <c r="N952" s="162"/>
      <c r="O952" s="153" t="s">
        <v>90</v>
      </c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3">
        <v>1411010103</v>
      </c>
      <c r="AE952" s="163"/>
      <c r="AF952" s="163"/>
      <c r="AG952" s="163"/>
      <c r="AH952" s="163"/>
      <c r="AI952" s="163"/>
      <c r="AJ952" s="163" t="s">
        <v>90</v>
      </c>
      <c r="AK952" s="163"/>
      <c r="AL952" s="163"/>
      <c r="AM952" s="163"/>
      <c r="AN952" s="163"/>
      <c r="AO952" s="163"/>
      <c r="AP952" s="163"/>
      <c r="AQ952" s="163"/>
      <c r="AR952" s="163"/>
      <c r="AS952" s="163"/>
      <c r="AT952" s="163"/>
      <c r="AU952" s="163"/>
      <c r="AV952" s="163"/>
      <c r="AW952" s="163"/>
      <c r="AX952" s="163"/>
      <c r="AY952" s="163">
        <v>1411010203</v>
      </c>
      <c r="AZ952" s="163"/>
      <c r="BA952" s="163"/>
      <c r="BB952" s="163"/>
      <c r="BC952" s="163"/>
      <c r="BD952" s="163"/>
      <c r="BE952" s="163"/>
      <c r="BF952" s="163"/>
      <c r="BG952" s="163"/>
      <c r="BH952" s="163"/>
      <c r="BI952" s="163"/>
      <c r="BJ952" s="163"/>
      <c r="BK952" s="163"/>
      <c r="BL952" s="163"/>
      <c r="BM952" s="163"/>
      <c r="BN952" s="163"/>
      <c r="BO952" s="163"/>
      <c r="BP952" s="163"/>
      <c r="BQ952" s="163"/>
      <c r="BR952" s="163"/>
      <c r="BS952" s="163"/>
      <c r="BT952" s="163"/>
      <c r="BU952" s="163"/>
      <c r="BV952" s="163"/>
      <c r="BW952" s="163"/>
      <c r="BX952" s="163"/>
      <c r="BY952" s="171"/>
    </row>
    <row r="953" spans="1:77" s="14" customFormat="1" x14ac:dyDescent="0.15">
      <c r="A953" s="151">
        <v>1411010041</v>
      </c>
      <c r="B953" s="152" t="s">
        <v>717</v>
      </c>
      <c r="C953" s="153" t="s">
        <v>89</v>
      </c>
      <c r="D953" s="153"/>
      <c r="E953" s="153" t="s">
        <v>78</v>
      </c>
      <c r="F953" s="153"/>
      <c r="G953" s="153"/>
      <c r="H953" s="153"/>
      <c r="I953" s="153"/>
      <c r="J953" s="162"/>
      <c r="K953" s="162"/>
      <c r="L953" s="162"/>
      <c r="M953" s="162"/>
      <c r="N953" s="162"/>
      <c r="O953" s="153" t="s">
        <v>90</v>
      </c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  <c r="AC953" s="163"/>
      <c r="AD953" s="163">
        <v>1411010104</v>
      </c>
      <c r="AE953" s="163"/>
      <c r="AF953" s="163"/>
      <c r="AG953" s="163"/>
      <c r="AH953" s="163"/>
      <c r="AI953" s="163"/>
      <c r="AJ953" s="163" t="s">
        <v>90</v>
      </c>
      <c r="AK953" s="163"/>
      <c r="AL953" s="163"/>
      <c r="AM953" s="163"/>
      <c r="AN953" s="163"/>
      <c r="AO953" s="163"/>
      <c r="AP953" s="163"/>
      <c r="AQ953" s="163"/>
      <c r="AR953" s="163"/>
      <c r="AS953" s="163"/>
      <c r="AT953" s="163"/>
      <c r="AU953" s="163"/>
      <c r="AV953" s="163"/>
      <c r="AW953" s="163"/>
      <c r="AX953" s="163"/>
      <c r="AY953" s="163">
        <v>1411010204</v>
      </c>
      <c r="AZ953" s="163"/>
      <c r="BA953" s="163"/>
      <c r="BB953" s="163"/>
      <c r="BC953" s="163"/>
      <c r="BD953" s="163"/>
      <c r="BE953" s="163"/>
      <c r="BF953" s="163"/>
      <c r="BG953" s="163"/>
      <c r="BH953" s="163"/>
      <c r="BI953" s="163"/>
      <c r="BJ953" s="163"/>
      <c r="BK953" s="163"/>
      <c r="BL953" s="163"/>
      <c r="BM953" s="163"/>
      <c r="BN953" s="163"/>
      <c r="BO953" s="163"/>
      <c r="BP953" s="163"/>
      <c r="BQ953" s="163"/>
      <c r="BR953" s="163"/>
      <c r="BS953" s="163"/>
      <c r="BT953" s="163"/>
      <c r="BU953" s="163"/>
      <c r="BV953" s="163"/>
      <c r="BW953" s="163"/>
      <c r="BX953" s="163"/>
      <c r="BY953" s="171"/>
    </row>
    <row r="954" spans="1:77" s="14" customFormat="1" x14ac:dyDescent="0.15">
      <c r="A954" s="151">
        <v>1411020011</v>
      </c>
      <c r="B954" s="152" t="s">
        <v>718</v>
      </c>
      <c r="C954" s="153" t="s">
        <v>89</v>
      </c>
      <c r="D954" s="153"/>
      <c r="E954" s="153" t="s">
        <v>78</v>
      </c>
      <c r="F954" s="153"/>
      <c r="G954" s="153"/>
      <c r="H954" s="153"/>
      <c r="I954" s="153"/>
      <c r="J954" s="162"/>
      <c r="K954" s="162"/>
      <c r="L954" s="162"/>
      <c r="M954" s="162"/>
      <c r="N954" s="162"/>
      <c r="O954" s="153" t="s">
        <v>90</v>
      </c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  <c r="AC954" s="163"/>
      <c r="AD954" s="163">
        <v>1411020101</v>
      </c>
      <c r="AE954" s="163"/>
      <c r="AF954" s="163"/>
      <c r="AG954" s="163"/>
      <c r="AH954" s="163"/>
      <c r="AI954" s="163"/>
      <c r="AJ954" s="163"/>
      <c r="AK954" s="163"/>
      <c r="AL954" s="163"/>
      <c r="AM954" s="163"/>
      <c r="AN954" s="163"/>
      <c r="AO954" s="163"/>
      <c r="AP954" s="163"/>
      <c r="AQ954" s="163"/>
      <c r="AR954" s="163"/>
      <c r="AS954" s="163"/>
      <c r="AT954" s="163"/>
      <c r="AU954" s="163"/>
      <c r="AV954" s="163"/>
      <c r="AW954" s="163"/>
      <c r="AX954" s="163"/>
      <c r="AY954" s="163"/>
      <c r="AZ954" s="163"/>
      <c r="BA954" s="163"/>
      <c r="BB954" s="163"/>
      <c r="BC954" s="163"/>
      <c r="BD954" s="163"/>
      <c r="BE954" s="163"/>
      <c r="BF954" s="163"/>
      <c r="BG954" s="163"/>
      <c r="BH954" s="163"/>
      <c r="BI954" s="163"/>
      <c r="BJ954" s="163"/>
      <c r="BK954" s="163"/>
      <c r="BL954" s="163"/>
      <c r="BM954" s="163"/>
      <c r="BN954" s="163"/>
      <c r="BO954" s="163"/>
      <c r="BP954" s="163"/>
      <c r="BQ954" s="163"/>
      <c r="BR954" s="163"/>
      <c r="BS954" s="163"/>
      <c r="BT954" s="163"/>
      <c r="BU954" s="163"/>
      <c r="BV954" s="163"/>
      <c r="BW954" s="163"/>
      <c r="BX954" s="163"/>
      <c r="BY954" s="171"/>
    </row>
    <row r="955" spans="1:77" s="14" customFormat="1" x14ac:dyDescent="0.15">
      <c r="A955" s="151">
        <v>1411020021</v>
      </c>
      <c r="B955" s="152" t="s">
        <v>718</v>
      </c>
      <c r="C955" s="153" t="s">
        <v>89</v>
      </c>
      <c r="D955" s="153"/>
      <c r="E955" s="153" t="s">
        <v>78</v>
      </c>
      <c r="F955" s="153"/>
      <c r="G955" s="153"/>
      <c r="H955" s="153"/>
      <c r="I955" s="153"/>
      <c r="J955" s="162"/>
      <c r="K955" s="162"/>
      <c r="L955" s="162"/>
      <c r="M955" s="162"/>
      <c r="N955" s="162"/>
      <c r="O955" s="153" t="s">
        <v>90</v>
      </c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>
        <v>1411020102</v>
      </c>
      <c r="AE955" s="163"/>
      <c r="AF955" s="163"/>
      <c r="AG955" s="163"/>
      <c r="AH955" s="163"/>
      <c r="AI955" s="163"/>
      <c r="AJ955" s="163"/>
      <c r="AK955" s="163"/>
      <c r="AL955" s="163"/>
      <c r="AM955" s="163"/>
      <c r="AN955" s="163"/>
      <c r="AO955" s="163"/>
      <c r="AP955" s="163"/>
      <c r="AQ955" s="163"/>
      <c r="AR955" s="163"/>
      <c r="AS955" s="163"/>
      <c r="AT955" s="163"/>
      <c r="AU955" s="163"/>
      <c r="AV955" s="163"/>
      <c r="AW955" s="163"/>
      <c r="AX955" s="163"/>
      <c r="AY955" s="163"/>
      <c r="AZ955" s="163"/>
      <c r="BA955" s="163"/>
      <c r="BB955" s="163"/>
      <c r="BC955" s="163"/>
      <c r="BD955" s="163"/>
      <c r="BE955" s="163"/>
      <c r="BF955" s="163"/>
      <c r="BG955" s="163"/>
      <c r="BH955" s="163"/>
      <c r="BI955" s="163"/>
      <c r="BJ955" s="163"/>
      <c r="BK955" s="163"/>
      <c r="BL955" s="163"/>
      <c r="BM955" s="163"/>
      <c r="BN955" s="163"/>
      <c r="BO955" s="163"/>
      <c r="BP955" s="163"/>
      <c r="BQ955" s="163"/>
      <c r="BR955" s="163"/>
      <c r="BS955" s="163"/>
      <c r="BT955" s="163"/>
      <c r="BU955" s="163"/>
      <c r="BV955" s="163"/>
      <c r="BW955" s="163"/>
      <c r="BX955" s="163"/>
      <c r="BY955" s="171"/>
    </row>
    <row r="956" spans="1:77" s="14" customFormat="1" x14ac:dyDescent="0.15">
      <c r="A956" s="151">
        <v>1411020031</v>
      </c>
      <c r="B956" s="152" t="s">
        <v>718</v>
      </c>
      <c r="C956" s="153" t="s">
        <v>89</v>
      </c>
      <c r="D956" s="153"/>
      <c r="E956" s="153" t="s">
        <v>78</v>
      </c>
      <c r="F956" s="153"/>
      <c r="G956" s="153"/>
      <c r="H956" s="153"/>
      <c r="I956" s="153"/>
      <c r="J956" s="162"/>
      <c r="K956" s="162"/>
      <c r="L956" s="162"/>
      <c r="M956" s="162"/>
      <c r="N956" s="162"/>
      <c r="O956" s="153" t="s">
        <v>90</v>
      </c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  <c r="AC956" s="163"/>
      <c r="AD956" s="163">
        <v>1411020103</v>
      </c>
      <c r="AE956" s="163"/>
      <c r="AF956" s="163"/>
      <c r="AG956" s="163"/>
      <c r="AH956" s="163"/>
      <c r="AI956" s="163"/>
      <c r="AJ956" s="163"/>
      <c r="AK956" s="163"/>
      <c r="AL956" s="163"/>
      <c r="AM956" s="163"/>
      <c r="AN956" s="163"/>
      <c r="AO956" s="163"/>
      <c r="AP956" s="163"/>
      <c r="AQ956" s="163"/>
      <c r="AR956" s="163"/>
      <c r="AS956" s="163"/>
      <c r="AT956" s="163"/>
      <c r="AU956" s="163"/>
      <c r="AV956" s="163"/>
      <c r="AW956" s="163"/>
      <c r="AX956" s="163"/>
      <c r="AY956" s="163"/>
      <c r="AZ956" s="163"/>
      <c r="BA956" s="163"/>
      <c r="BB956" s="163"/>
      <c r="BC956" s="163"/>
      <c r="BD956" s="163"/>
      <c r="BE956" s="163"/>
      <c r="BF956" s="163"/>
      <c r="BG956" s="163"/>
      <c r="BH956" s="163"/>
      <c r="BI956" s="163"/>
      <c r="BJ956" s="163"/>
      <c r="BK956" s="163"/>
      <c r="BL956" s="163"/>
      <c r="BM956" s="163"/>
      <c r="BN956" s="163"/>
      <c r="BO956" s="163"/>
      <c r="BP956" s="163"/>
      <c r="BQ956" s="163"/>
      <c r="BR956" s="163"/>
      <c r="BS956" s="163"/>
      <c r="BT956" s="163"/>
      <c r="BU956" s="163"/>
      <c r="BV956" s="163"/>
      <c r="BW956" s="163"/>
      <c r="BX956" s="163"/>
      <c r="BY956" s="171"/>
    </row>
    <row r="957" spans="1:77" s="14" customFormat="1" x14ac:dyDescent="0.15">
      <c r="A957" s="151">
        <v>1411020041</v>
      </c>
      <c r="B957" s="152" t="s">
        <v>718</v>
      </c>
      <c r="C957" s="153" t="s">
        <v>89</v>
      </c>
      <c r="D957" s="153"/>
      <c r="E957" s="153" t="s">
        <v>78</v>
      </c>
      <c r="F957" s="153"/>
      <c r="G957" s="153"/>
      <c r="H957" s="153"/>
      <c r="I957" s="153"/>
      <c r="J957" s="162"/>
      <c r="K957" s="162"/>
      <c r="L957" s="162"/>
      <c r="M957" s="162"/>
      <c r="N957" s="162"/>
      <c r="O957" s="153" t="s">
        <v>90</v>
      </c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>
        <v>1411020104</v>
      </c>
      <c r="AE957" s="163"/>
      <c r="AF957" s="163"/>
      <c r="AG957" s="163"/>
      <c r="AH957" s="163"/>
      <c r="AI957" s="163"/>
      <c r="AJ957" s="163"/>
      <c r="AK957" s="163"/>
      <c r="AL957" s="163"/>
      <c r="AM957" s="163"/>
      <c r="AN957" s="163"/>
      <c r="AO957" s="163"/>
      <c r="AP957" s="163"/>
      <c r="AQ957" s="163"/>
      <c r="AR957" s="163"/>
      <c r="AS957" s="163"/>
      <c r="AT957" s="163"/>
      <c r="AU957" s="163"/>
      <c r="AV957" s="163"/>
      <c r="AW957" s="163"/>
      <c r="AX957" s="163"/>
      <c r="AY957" s="163"/>
      <c r="AZ957" s="163"/>
      <c r="BA957" s="163"/>
      <c r="BB957" s="163"/>
      <c r="BC957" s="163"/>
      <c r="BD957" s="163"/>
      <c r="BE957" s="163"/>
      <c r="BF957" s="163"/>
      <c r="BG957" s="163"/>
      <c r="BH957" s="163"/>
      <c r="BI957" s="163"/>
      <c r="BJ957" s="163"/>
      <c r="BK957" s="163"/>
      <c r="BL957" s="163"/>
      <c r="BM957" s="163"/>
      <c r="BN957" s="163"/>
      <c r="BO957" s="163"/>
      <c r="BP957" s="163"/>
      <c r="BQ957" s="163"/>
      <c r="BR957" s="163"/>
      <c r="BS957" s="163"/>
      <c r="BT957" s="163"/>
      <c r="BU957" s="163"/>
      <c r="BV957" s="163"/>
      <c r="BW957" s="163"/>
      <c r="BX957" s="163"/>
      <c r="BY957" s="171"/>
    </row>
    <row r="958" spans="1:77" s="14" customFormat="1" x14ac:dyDescent="0.15">
      <c r="A958" s="151">
        <v>1411040011</v>
      </c>
      <c r="B958" s="152" t="s">
        <v>719</v>
      </c>
      <c r="C958" s="153" t="s">
        <v>77</v>
      </c>
      <c r="D958" s="153"/>
      <c r="E958" s="153" t="s">
        <v>83</v>
      </c>
      <c r="F958" s="153">
        <v>70000</v>
      </c>
      <c r="G958" s="153"/>
      <c r="H958" s="153"/>
      <c r="I958" s="153"/>
      <c r="J958" s="162"/>
      <c r="K958" s="162"/>
      <c r="L958" s="162"/>
      <c r="M958" s="162" t="s">
        <v>101</v>
      </c>
      <c r="N958" s="162"/>
      <c r="O958" s="153" t="s">
        <v>79</v>
      </c>
      <c r="P958" s="163" t="s">
        <v>80</v>
      </c>
      <c r="Q958" s="163">
        <v>60</v>
      </c>
      <c r="R958" s="163">
        <v>1000</v>
      </c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  <c r="AC958" s="163"/>
      <c r="AD958" s="163"/>
      <c r="AE958" s="163"/>
      <c r="AF958" s="163"/>
      <c r="AG958" s="163"/>
      <c r="AH958" s="163"/>
      <c r="AI958" s="163"/>
      <c r="AJ958" s="163"/>
      <c r="AK958" s="163"/>
      <c r="AL958" s="163"/>
      <c r="AM958" s="163"/>
      <c r="AN958" s="163"/>
      <c r="AO958" s="163"/>
      <c r="AP958" s="163"/>
      <c r="AQ958" s="163"/>
      <c r="AR958" s="163"/>
      <c r="AS958" s="163"/>
      <c r="AT958" s="163"/>
      <c r="AU958" s="163"/>
      <c r="AV958" s="163"/>
      <c r="AW958" s="163"/>
      <c r="AX958" s="163"/>
      <c r="AY958" s="163"/>
      <c r="AZ958" s="163"/>
      <c r="BA958" s="163"/>
      <c r="BB958" s="163"/>
      <c r="BC958" s="163"/>
      <c r="BD958" s="163"/>
      <c r="BE958" s="163"/>
      <c r="BF958" s="163"/>
      <c r="BG958" s="163"/>
      <c r="BH958" s="163"/>
      <c r="BI958" s="163"/>
      <c r="BJ958" s="163"/>
      <c r="BK958" s="163"/>
      <c r="BL958" s="163"/>
      <c r="BM958" s="163"/>
      <c r="BN958" s="163"/>
      <c r="BO958" s="163"/>
      <c r="BP958" s="163"/>
      <c r="BQ958" s="163"/>
      <c r="BR958" s="163"/>
      <c r="BS958" s="163"/>
      <c r="BT958" s="163"/>
      <c r="BU958" s="163"/>
      <c r="BV958" s="163"/>
      <c r="BW958" s="163"/>
      <c r="BX958" s="163"/>
      <c r="BY958" s="171"/>
    </row>
    <row r="959" spans="1:77" s="14" customFormat="1" x14ac:dyDescent="0.15">
      <c r="A959" s="151">
        <v>1411040021</v>
      </c>
      <c r="B959" s="152" t="s">
        <v>719</v>
      </c>
      <c r="C959" s="153" t="s">
        <v>77</v>
      </c>
      <c r="D959" s="153"/>
      <c r="E959" s="153" t="s">
        <v>83</v>
      </c>
      <c r="F959" s="153">
        <v>70000</v>
      </c>
      <c r="G959" s="153"/>
      <c r="H959" s="153"/>
      <c r="I959" s="153"/>
      <c r="J959" s="162"/>
      <c r="K959" s="162"/>
      <c r="L959" s="162"/>
      <c r="M959" s="162" t="s">
        <v>101</v>
      </c>
      <c r="N959" s="162"/>
      <c r="O959" s="153" t="s">
        <v>79</v>
      </c>
      <c r="P959" s="163" t="s">
        <v>80</v>
      </c>
      <c r="Q959" s="163">
        <v>85</v>
      </c>
      <c r="R959" s="163">
        <v>1000</v>
      </c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163"/>
      <c r="AF959" s="163"/>
      <c r="AG959" s="163"/>
      <c r="AH959" s="163"/>
      <c r="AI959" s="163"/>
      <c r="AJ959" s="163"/>
      <c r="AK959" s="163"/>
      <c r="AL959" s="163"/>
      <c r="AM959" s="163"/>
      <c r="AN959" s="163"/>
      <c r="AO959" s="163"/>
      <c r="AP959" s="163"/>
      <c r="AQ959" s="163"/>
      <c r="AR959" s="163"/>
      <c r="AS959" s="163"/>
      <c r="AT959" s="163"/>
      <c r="AU959" s="163"/>
      <c r="AV959" s="163"/>
      <c r="AW959" s="163"/>
      <c r="AX959" s="163"/>
      <c r="AY959" s="163"/>
      <c r="AZ959" s="163"/>
      <c r="BA959" s="163"/>
      <c r="BB959" s="163"/>
      <c r="BC959" s="163"/>
      <c r="BD959" s="163"/>
      <c r="BE959" s="163"/>
      <c r="BF959" s="163"/>
      <c r="BG959" s="163"/>
      <c r="BH959" s="163"/>
      <c r="BI959" s="163"/>
      <c r="BJ959" s="163"/>
      <c r="BK959" s="163"/>
      <c r="BL959" s="163"/>
      <c r="BM959" s="163"/>
      <c r="BN959" s="163"/>
      <c r="BO959" s="163"/>
      <c r="BP959" s="163"/>
      <c r="BQ959" s="163"/>
      <c r="BR959" s="163"/>
      <c r="BS959" s="163"/>
      <c r="BT959" s="163"/>
      <c r="BU959" s="163"/>
      <c r="BV959" s="163"/>
      <c r="BW959" s="163"/>
      <c r="BX959" s="163"/>
      <c r="BY959" s="171"/>
    </row>
    <row r="960" spans="1:77" s="14" customFormat="1" x14ac:dyDescent="0.15">
      <c r="A960" s="151">
        <v>1411040012</v>
      </c>
      <c r="B960" s="152" t="s">
        <v>720</v>
      </c>
      <c r="C960" s="153" t="s">
        <v>89</v>
      </c>
      <c r="D960" s="153"/>
      <c r="E960" s="153" t="s">
        <v>78</v>
      </c>
      <c r="F960" s="153"/>
      <c r="G960" s="153"/>
      <c r="H960" s="153"/>
      <c r="I960" s="153"/>
      <c r="J960" s="162"/>
      <c r="K960" s="162"/>
      <c r="L960" s="162"/>
      <c r="M960" s="162" t="s">
        <v>101</v>
      </c>
      <c r="N960" s="162"/>
      <c r="O960" s="153" t="s">
        <v>90</v>
      </c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  <c r="AC960" s="163"/>
      <c r="AD960" s="163">
        <v>1411040101</v>
      </c>
      <c r="AE960" s="163"/>
      <c r="AF960" s="163"/>
      <c r="AG960" s="163"/>
      <c r="AH960" s="163"/>
      <c r="AI960" s="163"/>
      <c r="AJ960" s="163"/>
      <c r="AK960" s="163"/>
      <c r="AL960" s="163"/>
      <c r="AM960" s="163"/>
      <c r="AN960" s="163"/>
      <c r="AO960" s="163"/>
      <c r="AP960" s="163"/>
      <c r="AQ960" s="163"/>
      <c r="AR960" s="163"/>
      <c r="AS960" s="163"/>
      <c r="AT960" s="163"/>
      <c r="AU960" s="163"/>
      <c r="AV960" s="163"/>
      <c r="AW960" s="163"/>
      <c r="AX960" s="163"/>
      <c r="AY960" s="163"/>
      <c r="AZ960" s="163"/>
      <c r="BA960" s="163"/>
      <c r="BB960" s="163"/>
      <c r="BC960" s="163"/>
      <c r="BD960" s="163"/>
      <c r="BE960" s="163"/>
      <c r="BF960" s="163"/>
      <c r="BG960" s="163"/>
      <c r="BH960" s="163"/>
      <c r="BI960" s="163"/>
      <c r="BJ960" s="163"/>
      <c r="BK960" s="163"/>
      <c r="BL960" s="163"/>
      <c r="BM960" s="163"/>
      <c r="BN960" s="163"/>
      <c r="BO960" s="163"/>
      <c r="BP960" s="163"/>
      <c r="BQ960" s="163"/>
      <c r="BR960" s="163"/>
      <c r="BS960" s="163"/>
      <c r="BT960" s="163"/>
      <c r="BU960" s="163"/>
      <c r="BV960" s="163"/>
      <c r="BW960" s="163"/>
      <c r="BX960" s="163"/>
      <c r="BY960" s="171"/>
    </row>
    <row r="961" spans="1:77" s="14" customFormat="1" x14ac:dyDescent="0.15">
      <c r="A961" s="151">
        <v>1411041011</v>
      </c>
      <c r="B961" s="152" t="s">
        <v>721</v>
      </c>
      <c r="C961" s="153" t="s">
        <v>89</v>
      </c>
      <c r="D961" s="153"/>
      <c r="E961" s="153" t="s">
        <v>78</v>
      </c>
      <c r="F961" s="153"/>
      <c r="G961" s="153"/>
      <c r="H961" s="153"/>
      <c r="I961" s="153"/>
      <c r="J961" s="162"/>
      <c r="K961" s="162"/>
      <c r="L961" s="162"/>
      <c r="M961" s="162"/>
      <c r="N961" s="162"/>
      <c r="O961" s="153" t="s">
        <v>531</v>
      </c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163">
        <v>1411040</v>
      </c>
      <c r="AF961" s="163"/>
      <c r="AG961" s="163"/>
      <c r="AH961" s="163"/>
      <c r="AI961" s="163"/>
      <c r="AJ961" s="163" t="s">
        <v>277</v>
      </c>
      <c r="AK961" s="163"/>
      <c r="AL961" s="163"/>
      <c r="AM961" s="163"/>
      <c r="AN961" s="163"/>
      <c r="AO961" s="163"/>
      <c r="AP961" s="163"/>
      <c r="AQ961" s="163"/>
      <c r="AR961" s="163"/>
      <c r="AS961" s="163"/>
      <c r="AT961" s="163"/>
      <c r="AU961" s="163"/>
      <c r="AV961" s="163"/>
      <c r="AW961" s="163"/>
      <c r="AX961" s="163"/>
      <c r="AY961" s="163"/>
      <c r="AZ961" s="163">
        <v>14110401</v>
      </c>
      <c r="BA961" s="163"/>
      <c r="BB961" s="163"/>
      <c r="BC961" s="163"/>
      <c r="BD961" s="163"/>
      <c r="BE961" s="163"/>
      <c r="BF961" s="163"/>
      <c r="BG961" s="163"/>
      <c r="BH961" s="163"/>
      <c r="BI961" s="163"/>
      <c r="BJ961" s="163"/>
      <c r="BK961" s="163"/>
      <c r="BL961" s="163"/>
      <c r="BM961" s="163"/>
      <c r="BN961" s="163"/>
      <c r="BO961" s="163"/>
      <c r="BP961" s="163"/>
      <c r="BQ961" s="163"/>
      <c r="BR961" s="163"/>
      <c r="BS961" s="163"/>
      <c r="BT961" s="163"/>
      <c r="BU961" s="163"/>
      <c r="BV961" s="163"/>
      <c r="BW961" s="163"/>
      <c r="BX961" s="163"/>
      <c r="BY961" s="171"/>
    </row>
    <row r="962" spans="1:77" s="14" customFormat="1" x14ac:dyDescent="0.15">
      <c r="A962" s="151">
        <v>1411100011</v>
      </c>
      <c r="B962" s="152" t="s">
        <v>722</v>
      </c>
      <c r="C962" s="153" t="s">
        <v>100</v>
      </c>
      <c r="D962" s="153"/>
      <c r="E962" s="153" t="s">
        <v>78</v>
      </c>
      <c r="F962" s="153"/>
      <c r="G962" s="153"/>
      <c r="H962" s="153"/>
      <c r="I962" s="153"/>
      <c r="J962" s="162"/>
      <c r="K962" s="162"/>
      <c r="L962" s="162"/>
      <c r="M962" s="162" t="s">
        <v>101</v>
      </c>
      <c r="N962" s="162" t="s">
        <v>851</v>
      </c>
      <c r="O962" s="153" t="s">
        <v>79</v>
      </c>
      <c r="P962" s="163" t="s">
        <v>80</v>
      </c>
      <c r="Q962" s="163">
        <v>100</v>
      </c>
      <c r="R962" s="163">
        <v>1500</v>
      </c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  <c r="AC962" s="163"/>
      <c r="AD962" s="163"/>
      <c r="AE962" s="163"/>
      <c r="AF962" s="163"/>
      <c r="AG962" s="163"/>
      <c r="AH962" s="163"/>
      <c r="AI962" s="163"/>
      <c r="AJ962" s="163"/>
      <c r="AK962" s="163"/>
      <c r="AL962" s="163"/>
      <c r="AM962" s="163"/>
      <c r="AN962" s="163"/>
      <c r="AO962" s="163"/>
      <c r="AP962" s="163"/>
      <c r="AQ962" s="163"/>
      <c r="AR962" s="163"/>
      <c r="AS962" s="163"/>
      <c r="AT962" s="163"/>
      <c r="AU962" s="163"/>
      <c r="AV962" s="163"/>
      <c r="AW962" s="163"/>
      <c r="AX962" s="163"/>
      <c r="AY962" s="163"/>
      <c r="AZ962" s="163"/>
      <c r="BA962" s="163"/>
      <c r="BB962" s="163"/>
      <c r="BC962" s="163"/>
      <c r="BD962" s="163"/>
      <c r="BE962" s="163"/>
      <c r="BF962" s="163"/>
      <c r="BG962" s="163"/>
      <c r="BH962" s="163"/>
      <c r="BI962" s="163"/>
      <c r="BJ962" s="163"/>
      <c r="BK962" s="163"/>
      <c r="BL962" s="163"/>
      <c r="BM962" s="163"/>
      <c r="BN962" s="163"/>
      <c r="BO962" s="163"/>
      <c r="BP962" s="163"/>
      <c r="BQ962" s="163"/>
      <c r="BR962" s="163"/>
      <c r="BS962" s="163"/>
      <c r="BT962" s="163"/>
      <c r="BU962" s="163"/>
      <c r="BV962" s="163"/>
      <c r="BW962" s="163"/>
      <c r="BX962" s="163"/>
      <c r="BY962" s="171"/>
    </row>
    <row r="963" spans="1:77" s="14" customFormat="1" x14ac:dyDescent="0.15">
      <c r="A963" s="151">
        <v>1411100021</v>
      </c>
      <c r="B963" s="152" t="s">
        <v>722</v>
      </c>
      <c r="C963" s="153" t="s">
        <v>100</v>
      </c>
      <c r="D963" s="153"/>
      <c r="E963" s="153" t="s">
        <v>78</v>
      </c>
      <c r="F963" s="153"/>
      <c r="G963" s="153"/>
      <c r="H963" s="153"/>
      <c r="I963" s="153"/>
      <c r="J963" s="162"/>
      <c r="K963" s="162"/>
      <c r="L963" s="162"/>
      <c r="M963" s="162" t="s">
        <v>101</v>
      </c>
      <c r="N963" s="162" t="s">
        <v>851</v>
      </c>
      <c r="O963" s="153" t="s">
        <v>79</v>
      </c>
      <c r="P963" s="163" t="s">
        <v>80</v>
      </c>
      <c r="Q963" s="163">
        <v>140</v>
      </c>
      <c r="R963" s="163">
        <v>1500</v>
      </c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163"/>
      <c r="AF963" s="163"/>
      <c r="AG963" s="163"/>
      <c r="AH963" s="163"/>
      <c r="AI963" s="163"/>
      <c r="AJ963" s="163"/>
      <c r="AK963" s="163"/>
      <c r="AL963" s="163"/>
      <c r="AM963" s="163"/>
      <c r="AN963" s="163"/>
      <c r="AO963" s="163"/>
      <c r="AP963" s="163"/>
      <c r="AQ963" s="163"/>
      <c r="AR963" s="163"/>
      <c r="AS963" s="163"/>
      <c r="AT963" s="163"/>
      <c r="AU963" s="163"/>
      <c r="AV963" s="163"/>
      <c r="AW963" s="163"/>
      <c r="AX963" s="163"/>
      <c r="AY963" s="163"/>
      <c r="AZ963" s="163"/>
      <c r="BA963" s="163"/>
      <c r="BB963" s="163"/>
      <c r="BC963" s="163"/>
      <c r="BD963" s="163"/>
      <c r="BE963" s="163"/>
      <c r="BF963" s="163"/>
      <c r="BG963" s="163"/>
      <c r="BH963" s="163"/>
      <c r="BI963" s="163"/>
      <c r="BJ963" s="163"/>
      <c r="BK963" s="163"/>
      <c r="BL963" s="163"/>
      <c r="BM963" s="163"/>
      <c r="BN963" s="163"/>
      <c r="BO963" s="163"/>
      <c r="BP963" s="163"/>
      <c r="BQ963" s="163"/>
      <c r="BR963" s="163"/>
      <c r="BS963" s="163"/>
      <c r="BT963" s="163"/>
      <c r="BU963" s="163"/>
      <c r="BV963" s="163"/>
      <c r="BW963" s="163"/>
      <c r="BX963" s="163"/>
      <c r="BY963" s="171"/>
    </row>
    <row r="964" spans="1:77" s="14" customFormat="1" x14ac:dyDescent="0.15">
      <c r="A964" s="151">
        <v>1411100031</v>
      </c>
      <c r="B964" s="152" t="s">
        <v>722</v>
      </c>
      <c r="C964" s="153" t="s">
        <v>100</v>
      </c>
      <c r="D964" s="153"/>
      <c r="E964" s="153" t="s">
        <v>78</v>
      </c>
      <c r="F964" s="153"/>
      <c r="G964" s="153"/>
      <c r="H964" s="153"/>
      <c r="I964" s="153"/>
      <c r="J964" s="162"/>
      <c r="K964" s="162"/>
      <c r="L964" s="162"/>
      <c r="M964" s="162" t="s">
        <v>101</v>
      </c>
      <c r="N964" s="162" t="s">
        <v>851</v>
      </c>
      <c r="O964" s="153" t="s">
        <v>79</v>
      </c>
      <c r="P964" s="163" t="s">
        <v>80</v>
      </c>
      <c r="Q964" s="163">
        <v>180</v>
      </c>
      <c r="R964" s="163">
        <v>1500</v>
      </c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  <c r="AC964" s="163"/>
      <c r="AD964" s="163"/>
      <c r="AE964" s="163"/>
      <c r="AF964" s="163"/>
      <c r="AG964" s="163"/>
      <c r="AH964" s="163"/>
      <c r="AI964" s="163"/>
      <c r="AJ964" s="163"/>
      <c r="AK964" s="163"/>
      <c r="AL964" s="163"/>
      <c r="AM964" s="163"/>
      <c r="AN964" s="163"/>
      <c r="AO964" s="163"/>
      <c r="AP964" s="163"/>
      <c r="AQ964" s="163"/>
      <c r="AR964" s="163"/>
      <c r="AS964" s="163"/>
      <c r="AT964" s="163"/>
      <c r="AU964" s="163"/>
      <c r="AV964" s="163"/>
      <c r="AW964" s="163"/>
      <c r="AX964" s="163"/>
      <c r="AY964" s="163"/>
      <c r="AZ964" s="163"/>
      <c r="BA964" s="163"/>
      <c r="BB964" s="163"/>
      <c r="BC964" s="163"/>
      <c r="BD964" s="163"/>
      <c r="BE964" s="163"/>
      <c r="BF964" s="163"/>
      <c r="BG964" s="163"/>
      <c r="BH964" s="163"/>
      <c r="BI964" s="163"/>
      <c r="BJ964" s="163"/>
      <c r="BK964" s="163"/>
      <c r="BL964" s="163"/>
      <c r="BM964" s="163"/>
      <c r="BN964" s="163"/>
      <c r="BO964" s="163"/>
      <c r="BP964" s="163"/>
      <c r="BQ964" s="163"/>
      <c r="BR964" s="163"/>
      <c r="BS964" s="163"/>
      <c r="BT964" s="163"/>
      <c r="BU964" s="163"/>
      <c r="BV964" s="163"/>
      <c r="BW964" s="163"/>
      <c r="BX964" s="163"/>
      <c r="BY964" s="171"/>
    </row>
    <row r="965" spans="1:77" s="14" customFormat="1" x14ac:dyDescent="0.15">
      <c r="A965" s="151">
        <v>1411100041</v>
      </c>
      <c r="B965" s="152" t="s">
        <v>722</v>
      </c>
      <c r="C965" s="153" t="s">
        <v>100</v>
      </c>
      <c r="D965" s="153"/>
      <c r="E965" s="153" t="s">
        <v>78</v>
      </c>
      <c r="F965" s="153"/>
      <c r="G965" s="153"/>
      <c r="H965" s="153"/>
      <c r="I965" s="153"/>
      <c r="J965" s="162"/>
      <c r="K965" s="162"/>
      <c r="L965" s="162"/>
      <c r="M965" s="162" t="s">
        <v>101</v>
      </c>
      <c r="N965" s="162" t="s">
        <v>851</v>
      </c>
      <c r="O965" s="153" t="s">
        <v>79</v>
      </c>
      <c r="P965" s="163" t="s">
        <v>80</v>
      </c>
      <c r="Q965" s="163">
        <v>220</v>
      </c>
      <c r="R965" s="163">
        <v>1500</v>
      </c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163"/>
      <c r="AF965" s="163"/>
      <c r="AG965" s="163"/>
      <c r="AH965" s="163"/>
      <c r="AI965" s="163"/>
      <c r="AJ965" s="163"/>
      <c r="AK965" s="163"/>
      <c r="AL965" s="163"/>
      <c r="AM965" s="163"/>
      <c r="AN965" s="163"/>
      <c r="AO965" s="163"/>
      <c r="AP965" s="163"/>
      <c r="AQ965" s="163"/>
      <c r="AR965" s="163"/>
      <c r="AS965" s="163"/>
      <c r="AT965" s="163"/>
      <c r="AU965" s="163"/>
      <c r="AV965" s="163"/>
      <c r="AW965" s="163"/>
      <c r="AX965" s="163"/>
      <c r="AY965" s="163"/>
      <c r="AZ965" s="163"/>
      <c r="BA965" s="163"/>
      <c r="BB965" s="163"/>
      <c r="BC965" s="163"/>
      <c r="BD965" s="163"/>
      <c r="BE965" s="163"/>
      <c r="BF965" s="163"/>
      <c r="BG965" s="163"/>
      <c r="BH965" s="163"/>
      <c r="BI965" s="163"/>
      <c r="BJ965" s="163"/>
      <c r="BK965" s="163"/>
      <c r="BL965" s="163"/>
      <c r="BM965" s="163"/>
      <c r="BN965" s="163"/>
      <c r="BO965" s="163"/>
      <c r="BP965" s="163"/>
      <c r="BQ965" s="163"/>
      <c r="BR965" s="163"/>
      <c r="BS965" s="163"/>
      <c r="BT965" s="163"/>
      <c r="BU965" s="163"/>
      <c r="BV965" s="163"/>
      <c r="BW965" s="163"/>
      <c r="BX965" s="163"/>
      <c r="BY965" s="171"/>
    </row>
    <row r="966" spans="1:77" s="18" customFormat="1" x14ac:dyDescent="0.15">
      <c r="A966" s="148">
        <v>1414001011</v>
      </c>
      <c r="B966" s="158" t="s">
        <v>723</v>
      </c>
      <c r="C966" s="150" t="s">
        <v>77</v>
      </c>
      <c r="D966" s="150"/>
      <c r="E966" s="150" t="s">
        <v>78</v>
      </c>
      <c r="F966" s="150"/>
      <c r="G966" s="150"/>
      <c r="H966" s="150"/>
      <c r="I966" s="150"/>
      <c r="J966" s="166"/>
      <c r="K966" s="166"/>
      <c r="L966" s="166"/>
      <c r="M966" s="166"/>
      <c r="N966" s="166"/>
      <c r="O966" s="150" t="s">
        <v>79</v>
      </c>
      <c r="P966" s="167" t="s">
        <v>80</v>
      </c>
      <c r="Q966" s="167"/>
      <c r="R966" s="167">
        <v>10000</v>
      </c>
      <c r="S966" s="167"/>
      <c r="T966" s="167">
        <v>10000</v>
      </c>
      <c r="U966" s="167"/>
      <c r="V966" s="167" t="s">
        <v>101</v>
      </c>
      <c r="W966" s="167"/>
      <c r="X966" s="167"/>
      <c r="Y966" s="167"/>
      <c r="Z966" s="167"/>
      <c r="AA966" s="167"/>
      <c r="AB966" s="167"/>
      <c r="AC966" s="167"/>
      <c r="AD966" s="167"/>
      <c r="AE966" s="167"/>
      <c r="AF966" s="167"/>
      <c r="AG966" s="167"/>
      <c r="AH966" s="167"/>
      <c r="AI966" s="167"/>
      <c r="AJ966" s="167"/>
      <c r="AK966" s="167"/>
      <c r="AL966" s="167"/>
      <c r="AM966" s="167"/>
      <c r="AN966" s="167"/>
      <c r="AO966" s="167"/>
      <c r="AP966" s="167"/>
      <c r="AQ966" s="167"/>
      <c r="AR966" s="167"/>
      <c r="AS966" s="167"/>
      <c r="AT966" s="167"/>
      <c r="AU966" s="167"/>
      <c r="AV966" s="167"/>
      <c r="AW966" s="167"/>
      <c r="AX966" s="167"/>
      <c r="AY966" s="167"/>
      <c r="AZ966" s="167"/>
      <c r="BA966" s="167"/>
      <c r="BB966" s="167"/>
      <c r="BC966" s="167"/>
      <c r="BD966" s="167"/>
      <c r="BE966" s="167"/>
      <c r="BF966" s="167"/>
      <c r="BG966" s="167"/>
      <c r="BH966" s="167"/>
      <c r="BI966" s="167"/>
      <c r="BJ966" s="167"/>
      <c r="BK966" s="167"/>
      <c r="BL966" s="167"/>
      <c r="BM966" s="167"/>
      <c r="BN966" s="167"/>
      <c r="BO966" s="167"/>
      <c r="BP966" s="167"/>
      <c r="BQ966" s="167"/>
      <c r="BR966" s="167"/>
      <c r="BS966" s="167"/>
      <c r="BT966" s="167"/>
      <c r="BU966" s="167"/>
      <c r="BV966" s="167"/>
      <c r="BW966" s="167"/>
      <c r="BX966" s="167"/>
      <c r="BY966" s="175"/>
    </row>
    <row r="967" spans="1:77" s="18" customFormat="1" x14ac:dyDescent="0.15">
      <c r="A967" s="148">
        <v>1414200011</v>
      </c>
      <c r="B967" s="158" t="s">
        <v>724</v>
      </c>
      <c r="C967" s="150" t="s">
        <v>89</v>
      </c>
      <c r="D967" s="150"/>
      <c r="E967" s="150" t="s">
        <v>78</v>
      </c>
      <c r="F967" s="150"/>
      <c r="G967" s="150"/>
      <c r="H967" s="150"/>
      <c r="I967" s="150"/>
      <c r="J967" s="166"/>
      <c r="K967" s="166"/>
      <c r="L967" s="166"/>
      <c r="M967" s="166"/>
      <c r="N967" s="166"/>
      <c r="O967" s="167" t="s">
        <v>90</v>
      </c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  <c r="AA967" s="167"/>
      <c r="AB967" s="167"/>
      <c r="AC967" s="167"/>
      <c r="AD967" s="167">
        <v>1414200101</v>
      </c>
      <c r="AE967" s="167"/>
      <c r="AF967" s="167"/>
      <c r="AG967" s="167"/>
      <c r="AH967" s="167"/>
      <c r="AI967" s="167"/>
      <c r="AJ967" s="167"/>
      <c r="AK967" s="167"/>
      <c r="AL967" s="167"/>
      <c r="AM967" s="167"/>
      <c r="AN967" s="167"/>
      <c r="AO967" s="167"/>
      <c r="AP967" s="167"/>
      <c r="AQ967" s="167"/>
      <c r="AR967" s="167"/>
      <c r="AS967" s="167"/>
      <c r="AT967" s="167"/>
      <c r="AU967" s="167"/>
      <c r="AV967" s="167"/>
      <c r="AW967" s="167"/>
      <c r="AX967" s="167"/>
      <c r="AY967" s="167"/>
      <c r="AZ967" s="167"/>
      <c r="BA967" s="167"/>
      <c r="BB967" s="167"/>
      <c r="BC967" s="167"/>
      <c r="BD967" s="167"/>
      <c r="BE967" s="167"/>
      <c r="BF967" s="167"/>
      <c r="BG967" s="167"/>
      <c r="BH967" s="167"/>
      <c r="BI967" s="167"/>
      <c r="BJ967" s="167"/>
      <c r="BK967" s="167"/>
      <c r="BL967" s="167"/>
      <c r="BM967" s="167"/>
      <c r="BN967" s="167"/>
      <c r="BO967" s="167"/>
      <c r="BP967" s="167"/>
      <c r="BQ967" s="167"/>
      <c r="BR967" s="167"/>
      <c r="BS967" s="167"/>
      <c r="BT967" s="167"/>
      <c r="BU967" s="167"/>
      <c r="BV967" s="167"/>
      <c r="BW967" s="167"/>
      <c r="BX967" s="167"/>
      <c r="BY967" s="175"/>
    </row>
    <row r="968" spans="1:77" s="18" customFormat="1" x14ac:dyDescent="0.15">
      <c r="A968" s="148">
        <v>1414200021</v>
      </c>
      <c r="B968" s="158" t="s">
        <v>724</v>
      </c>
      <c r="C968" s="150" t="s">
        <v>89</v>
      </c>
      <c r="D968" s="150"/>
      <c r="E968" s="150" t="s">
        <v>78</v>
      </c>
      <c r="F968" s="150"/>
      <c r="G968" s="150"/>
      <c r="H968" s="150"/>
      <c r="I968" s="150"/>
      <c r="J968" s="166"/>
      <c r="K968" s="166"/>
      <c r="L968" s="166"/>
      <c r="M968" s="166"/>
      <c r="N968" s="166"/>
      <c r="O968" s="167" t="s">
        <v>90</v>
      </c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  <c r="AA968" s="167"/>
      <c r="AB968" s="167"/>
      <c r="AC968" s="167"/>
      <c r="AD968" s="167">
        <v>1414200102</v>
      </c>
      <c r="AE968" s="167"/>
      <c r="AF968" s="167"/>
      <c r="AG968" s="167"/>
      <c r="AH968" s="167"/>
      <c r="AI968" s="167"/>
      <c r="AJ968" s="167"/>
      <c r="AK968" s="167"/>
      <c r="AL968" s="167"/>
      <c r="AM968" s="167"/>
      <c r="AN968" s="167"/>
      <c r="AO968" s="167"/>
      <c r="AP968" s="167"/>
      <c r="AQ968" s="167"/>
      <c r="AR968" s="167"/>
      <c r="AS968" s="167"/>
      <c r="AT968" s="167"/>
      <c r="AU968" s="167"/>
      <c r="AV968" s="167"/>
      <c r="AW968" s="167"/>
      <c r="AX968" s="167"/>
      <c r="AY968" s="167"/>
      <c r="AZ968" s="167"/>
      <c r="BA968" s="167"/>
      <c r="BB968" s="167"/>
      <c r="BC968" s="167"/>
      <c r="BD968" s="167"/>
      <c r="BE968" s="167"/>
      <c r="BF968" s="167"/>
      <c r="BG968" s="167"/>
      <c r="BH968" s="167"/>
      <c r="BI968" s="167"/>
      <c r="BJ968" s="167"/>
      <c r="BK968" s="167"/>
      <c r="BL968" s="167"/>
      <c r="BM968" s="167"/>
      <c r="BN968" s="167"/>
      <c r="BO968" s="167"/>
      <c r="BP968" s="167"/>
      <c r="BQ968" s="167"/>
      <c r="BR968" s="167"/>
      <c r="BS968" s="167"/>
      <c r="BT968" s="167"/>
      <c r="BU968" s="167"/>
      <c r="BV968" s="167"/>
      <c r="BW968" s="167"/>
      <c r="BX968" s="167"/>
      <c r="BY968" s="175"/>
    </row>
    <row r="969" spans="1:77" s="18" customFormat="1" x14ac:dyDescent="0.15">
      <c r="A969" s="148">
        <v>1414200031</v>
      </c>
      <c r="B969" s="158" t="s">
        <v>724</v>
      </c>
      <c r="C969" s="150" t="s">
        <v>89</v>
      </c>
      <c r="D969" s="150"/>
      <c r="E969" s="150" t="s">
        <v>78</v>
      </c>
      <c r="F969" s="150"/>
      <c r="G969" s="150"/>
      <c r="H969" s="150"/>
      <c r="I969" s="150"/>
      <c r="J969" s="166"/>
      <c r="K969" s="166"/>
      <c r="L969" s="166"/>
      <c r="M969" s="166"/>
      <c r="N969" s="166"/>
      <c r="O969" s="167" t="s">
        <v>90</v>
      </c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  <c r="AA969" s="167"/>
      <c r="AB969" s="167"/>
      <c r="AC969" s="167"/>
      <c r="AD969" s="167">
        <v>1414200103</v>
      </c>
      <c r="AE969" s="167"/>
      <c r="AF969" s="167"/>
      <c r="AG969" s="167"/>
      <c r="AH969" s="167"/>
      <c r="AI969" s="167"/>
      <c r="AJ969" s="167"/>
      <c r="AK969" s="167"/>
      <c r="AL969" s="167"/>
      <c r="AM969" s="167"/>
      <c r="AN969" s="167"/>
      <c r="AO969" s="167"/>
      <c r="AP969" s="167"/>
      <c r="AQ969" s="167"/>
      <c r="AR969" s="167"/>
      <c r="AS969" s="167"/>
      <c r="AT969" s="167"/>
      <c r="AU969" s="167"/>
      <c r="AV969" s="167"/>
      <c r="AW969" s="167"/>
      <c r="AX969" s="167"/>
      <c r="AY969" s="167"/>
      <c r="AZ969" s="167"/>
      <c r="BA969" s="167"/>
      <c r="BB969" s="167"/>
      <c r="BC969" s="167"/>
      <c r="BD969" s="167"/>
      <c r="BE969" s="167"/>
      <c r="BF969" s="167"/>
      <c r="BG969" s="167"/>
      <c r="BH969" s="167"/>
      <c r="BI969" s="167"/>
      <c r="BJ969" s="167"/>
      <c r="BK969" s="167"/>
      <c r="BL969" s="167"/>
      <c r="BM969" s="167"/>
      <c r="BN969" s="167"/>
      <c r="BO969" s="167"/>
      <c r="BP969" s="167"/>
      <c r="BQ969" s="167"/>
      <c r="BR969" s="167"/>
      <c r="BS969" s="167"/>
      <c r="BT969" s="167"/>
      <c r="BU969" s="167"/>
      <c r="BV969" s="167"/>
      <c r="BW969" s="167"/>
      <c r="BX969" s="167"/>
      <c r="BY969" s="175"/>
    </row>
    <row r="970" spans="1:77" s="18" customFormat="1" x14ac:dyDescent="0.15">
      <c r="A970" s="148">
        <v>1414200012</v>
      </c>
      <c r="B970" s="158" t="s">
        <v>725</v>
      </c>
      <c r="C970" s="150" t="s">
        <v>89</v>
      </c>
      <c r="D970" s="150"/>
      <c r="E970" s="150" t="s">
        <v>78</v>
      </c>
      <c r="F970" s="150"/>
      <c r="G970" s="150"/>
      <c r="H970" s="150"/>
      <c r="I970" s="150"/>
      <c r="J970" s="166"/>
      <c r="K970" s="166"/>
      <c r="L970" s="166"/>
      <c r="M970" s="166"/>
      <c r="N970" s="166"/>
      <c r="O970" s="167" t="s">
        <v>90</v>
      </c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  <c r="AA970" s="167"/>
      <c r="AB970" s="167"/>
      <c r="AC970" s="167"/>
      <c r="AD970" s="167">
        <v>1414200201</v>
      </c>
      <c r="AE970" s="167"/>
      <c r="AF970" s="167"/>
      <c r="AG970" s="167"/>
      <c r="AH970" s="167"/>
      <c r="AI970" s="167"/>
      <c r="AJ970" s="167"/>
      <c r="AK970" s="167"/>
      <c r="AL970" s="167"/>
      <c r="AM970" s="167"/>
      <c r="AN970" s="167"/>
      <c r="AO970" s="167"/>
      <c r="AP970" s="167"/>
      <c r="AQ970" s="167"/>
      <c r="AR970" s="167"/>
      <c r="AS970" s="167"/>
      <c r="AT970" s="167"/>
      <c r="AU970" s="167"/>
      <c r="AV970" s="167"/>
      <c r="AW970" s="167"/>
      <c r="AX970" s="167"/>
      <c r="AY970" s="167"/>
      <c r="AZ970" s="167"/>
      <c r="BA970" s="167"/>
      <c r="BB970" s="167"/>
      <c r="BC970" s="167"/>
      <c r="BD970" s="167"/>
      <c r="BE970" s="167"/>
      <c r="BF970" s="167"/>
      <c r="BG970" s="167"/>
      <c r="BH970" s="167"/>
      <c r="BI970" s="167"/>
      <c r="BJ970" s="167"/>
      <c r="BK970" s="167"/>
      <c r="BL970" s="167"/>
      <c r="BM970" s="167"/>
      <c r="BN970" s="167"/>
      <c r="BO970" s="167"/>
      <c r="BP970" s="167"/>
      <c r="BQ970" s="167"/>
      <c r="BR970" s="167"/>
      <c r="BS970" s="167"/>
      <c r="BT970" s="167"/>
      <c r="BU970" s="167"/>
      <c r="BV970" s="167"/>
      <c r="BW970" s="167"/>
      <c r="BX970" s="167"/>
      <c r="BY970" s="175"/>
    </row>
    <row r="971" spans="1:77" s="18" customFormat="1" x14ac:dyDescent="0.15">
      <c r="A971" s="148">
        <v>1414200022</v>
      </c>
      <c r="B971" s="158" t="s">
        <v>725</v>
      </c>
      <c r="C971" s="150" t="s">
        <v>89</v>
      </c>
      <c r="D971" s="150"/>
      <c r="E971" s="150" t="s">
        <v>78</v>
      </c>
      <c r="F971" s="150"/>
      <c r="G971" s="150"/>
      <c r="H971" s="150"/>
      <c r="I971" s="150"/>
      <c r="J971" s="166"/>
      <c r="K971" s="166"/>
      <c r="L971" s="166"/>
      <c r="M971" s="166"/>
      <c r="N971" s="166"/>
      <c r="O971" s="167" t="s">
        <v>90</v>
      </c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  <c r="AA971" s="167"/>
      <c r="AB971" s="167"/>
      <c r="AC971" s="167"/>
      <c r="AD971" s="167">
        <v>1414200202</v>
      </c>
      <c r="AE971" s="167"/>
      <c r="AF971" s="167"/>
      <c r="AG971" s="167"/>
      <c r="AH971" s="167"/>
      <c r="AI971" s="167"/>
      <c r="AJ971" s="167"/>
      <c r="AK971" s="167"/>
      <c r="AL971" s="167"/>
      <c r="AM971" s="167"/>
      <c r="AN971" s="167"/>
      <c r="AO971" s="167"/>
      <c r="AP971" s="167"/>
      <c r="AQ971" s="167"/>
      <c r="AR971" s="167"/>
      <c r="AS971" s="167"/>
      <c r="AT971" s="167"/>
      <c r="AU971" s="167"/>
      <c r="AV971" s="167"/>
      <c r="AW971" s="167"/>
      <c r="AX971" s="167"/>
      <c r="AY971" s="167"/>
      <c r="AZ971" s="167"/>
      <c r="BA971" s="167"/>
      <c r="BB971" s="167"/>
      <c r="BC971" s="167"/>
      <c r="BD971" s="167"/>
      <c r="BE971" s="167"/>
      <c r="BF971" s="167"/>
      <c r="BG971" s="167"/>
      <c r="BH971" s="167"/>
      <c r="BI971" s="167"/>
      <c r="BJ971" s="167"/>
      <c r="BK971" s="167"/>
      <c r="BL971" s="167"/>
      <c r="BM971" s="167"/>
      <c r="BN971" s="167"/>
      <c r="BO971" s="167"/>
      <c r="BP971" s="167"/>
      <c r="BQ971" s="167"/>
      <c r="BR971" s="167"/>
      <c r="BS971" s="167"/>
      <c r="BT971" s="167"/>
      <c r="BU971" s="167"/>
      <c r="BV971" s="167"/>
      <c r="BW971" s="167"/>
      <c r="BX971" s="167"/>
      <c r="BY971" s="175"/>
    </row>
    <row r="972" spans="1:77" s="18" customFormat="1" x14ac:dyDescent="0.15">
      <c r="A972" s="148">
        <v>1414200032</v>
      </c>
      <c r="B972" s="158" t="s">
        <v>725</v>
      </c>
      <c r="C972" s="150" t="s">
        <v>89</v>
      </c>
      <c r="D972" s="150"/>
      <c r="E972" s="150" t="s">
        <v>78</v>
      </c>
      <c r="F972" s="150"/>
      <c r="G972" s="150"/>
      <c r="H972" s="150"/>
      <c r="I972" s="150"/>
      <c r="J972" s="166"/>
      <c r="K972" s="166"/>
      <c r="L972" s="166"/>
      <c r="M972" s="166"/>
      <c r="N972" s="166"/>
      <c r="O972" s="167" t="s">
        <v>90</v>
      </c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  <c r="AA972" s="167"/>
      <c r="AB972" s="167"/>
      <c r="AC972" s="167"/>
      <c r="AD972" s="167">
        <v>1414200203</v>
      </c>
      <c r="AE972" s="167"/>
      <c r="AF972" s="167"/>
      <c r="AG972" s="167"/>
      <c r="AH972" s="167"/>
      <c r="AI972" s="167"/>
      <c r="AJ972" s="167"/>
      <c r="AK972" s="167"/>
      <c r="AL972" s="167"/>
      <c r="AM972" s="167"/>
      <c r="AN972" s="167"/>
      <c r="AO972" s="167"/>
      <c r="AP972" s="167"/>
      <c r="AQ972" s="167"/>
      <c r="AR972" s="167"/>
      <c r="AS972" s="167"/>
      <c r="AT972" s="167"/>
      <c r="AU972" s="167"/>
      <c r="AV972" s="167"/>
      <c r="AW972" s="167"/>
      <c r="AX972" s="167"/>
      <c r="AY972" s="167"/>
      <c r="AZ972" s="167"/>
      <c r="BA972" s="167"/>
      <c r="BB972" s="167"/>
      <c r="BC972" s="167"/>
      <c r="BD972" s="167"/>
      <c r="BE972" s="167"/>
      <c r="BF972" s="167"/>
      <c r="BG972" s="167"/>
      <c r="BH972" s="167"/>
      <c r="BI972" s="167"/>
      <c r="BJ972" s="167"/>
      <c r="BK972" s="167"/>
      <c r="BL972" s="167"/>
      <c r="BM972" s="167"/>
      <c r="BN972" s="167"/>
      <c r="BO972" s="167"/>
      <c r="BP972" s="167"/>
      <c r="BQ972" s="167"/>
      <c r="BR972" s="167"/>
      <c r="BS972" s="167"/>
      <c r="BT972" s="167"/>
      <c r="BU972" s="167"/>
      <c r="BV972" s="167"/>
      <c r="BW972" s="167"/>
      <c r="BX972" s="167"/>
      <c r="BY972" s="175"/>
    </row>
    <row r="973" spans="1:77" s="18" customFormat="1" x14ac:dyDescent="0.15">
      <c r="A973" s="148">
        <v>1414100011</v>
      </c>
      <c r="B973" s="158" t="s">
        <v>726</v>
      </c>
      <c r="C973" s="150" t="s">
        <v>100</v>
      </c>
      <c r="D973" s="150"/>
      <c r="E973" s="150" t="s">
        <v>78</v>
      </c>
      <c r="F973" s="150"/>
      <c r="G973" s="150"/>
      <c r="H973" s="150"/>
      <c r="I973" s="150"/>
      <c r="J973" s="166"/>
      <c r="K973" s="166"/>
      <c r="L973" s="166"/>
      <c r="M973" s="166"/>
      <c r="N973" s="166"/>
      <c r="O973" s="150" t="s">
        <v>79</v>
      </c>
      <c r="P973" s="167" t="s">
        <v>102</v>
      </c>
      <c r="Q973" s="167">
        <v>40</v>
      </c>
      <c r="R973" s="167">
        <v>2500</v>
      </c>
      <c r="S973" s="167"/>
      <c r="T973" s="167"/>
      <c r="U973" s="167"/>
      <c r="V973" s="167"/>
      <c r="W973" s="167"/>
      <c r="X973" s="167"/>
      <c r="Y973" s="167"/>
      <c r="Z973" s="167"/>
      <c r="AA973" s="167"/>
      <c r="AB973" s="167"/>
      <c r="AC973" s="167"/>
      <c r="AD973" s="167"/>
      <c r="AE973" s="167"/>
      <c r="AF973" s="167"/>
      <c r="AG973" s="167"/>
      <c r="AH973" s="167"/>
      <c r="AI973" s="167"/>
      <c r="AJ973" s="167"/>
      <c r="AK973" s="167"/>
      <c r="AL973" s="167"/>
      <c r="AM973" s="167"/>
      <c r="AN973" s="167"/>
      <c r="AO973" s="167"/>
      <c r="AP973" s="167"/>
      <c r="AQ973" s="167"/>
      <c r="AR973" s="167"/>
      <c r="AS973" s="167"/>
      <c r="AT973" s="167"/>
      <c r="AU973" s="167"/>
      <c r="AV973" s="167"/>
      <c r="AW973" s="167"/>
      <c r="AX973" s="167"/>
      <c r="AY973" s="167"/>
      <c r="AZ973" s="167"/>
      <c r="BA973" s="167"/>
      <c r="BB973" s="167"/>
      <c r="BC973" s="167"/>
      <c r="BD973" s="167"/>
      <c r="BE973" s="167"/>
      <c r="BF973" s="167"/>
      <c r="BG973" s="167"/>
      <c r="BH973" s="167"/>
      <c r="BI973" s="167"/>
      <c r="BJ973" s="167"/>
      <c r="BK973" s="167"/>
      <c r="BL973" s="167"/>
      <c r="BM973" s="167"/>
      <c r="BN973" s="167"/>
      <c r="BO973" s="167"/>
      <c r="BP973" s="167"/>
      <c r="BQ973" s="167"/>
      <c r="BR973" s="167"/>
      <c r="BS973" s="167"/>
      <c r="BT973" s="167"/>
      <c r="BU973" s="167"/>
      <c r="BV973" s="167"/>
      <c r="BW973" s="167"/>
      <c r="BX973" s="167"/>
      <c r="BY973" s="175"/>
    </row>
    <row r="974" spans="1:77" s="18" customFormat="1" x14ac:dyDescent="0.15">
      <c r="A974" s="148">
        <v>1414100021</v>
      </c>
      <c r="B974" s="158" t="s">
        <v>726</v>
      </c>
      <c r="C974" s="150" t="s">
        <v>100</v>
      </c>
      <c r="D974" s="150"/>
      <c r="E974" s="150" t="s">
        <v>78</v>
      </c>
      <c r="F974" s="150"/>
      <c r="G974" s="150"/>
      <c r="H974" s="150"/>
      <c r="I974" s="150"/>
      <c r="J974" s="166"/>
      <c r="K974" s="166"/>
      <c r="L974" s="166"/>
      <c r="M974" s="166"/>
      <c r="N974" s="166"/>
      <c r="O974" s="150" t="s">
        <v>79</v>
      </c>
      <c r="P974" s="167" t="s">
        <v>102</v>
      </c>
      <c r="Q974" s="167">
        <v>64</v>
      </c>
      <c r="R974" s="167">
        <v>2500</v>
      </c>
      <c r="S974" s="167"/>
      <c r="T974" s="167"/>
      <c r="U974" s="167"/>
      <c r="V974" s="167"/>
      <c r="W974" s="167"/>
      <c r="X974" s="167"/>
      <c r="Y974" s="167"/>
      <c r="Z974" s="167"/>
      <c r="AA974" s="167"/>
      <c r="AB974" s="167"/>
      <c r="AC974" s="167"/>
      <c r="AD974" s="167"/>
      <c r="AE974" s="167"/>
      <c r="AF974" s="167"/>
      <c r="AG974" s="167"/>
      <c r="AH974" s="167"/>
      <c r="AI974" s="167"/>
      <c r="AJ974" s="167"/>
      <c r="AK974" s="167"/>
      <c r="AL974" s="167"/>
      <c r="AM974" s="167"/>
      <c r="AN974" s="167"/>
      <c r="AO974" s="167"/>
      <c r="AP974" s="167"/>
      <c r="AQ974" s="167"/>
      <c r="AR974" s="167"/>
      <c r="AS974" s="167"/>
      <c r="AT974" s="167"/>
      <c r="AU974" s="167"/>
      <c r="AV974" s="167"/>
      <c r="AW974" s="167"/>
      <c r="AX974" s="167"/>
      <c r="AY974" s="167"/>
      <c r="AZ974" s="167"/>
      <c r="BA974" s="167"/>
      <c r="BB974" s="167"/>
      <c r="BC974" s="167"/>
      <c r="BD974" s="167"/>
      <c r="BE974" s="167"/>
      <c r="BF974" s="167"/>
      <c r="BG974" s="167"/>
      <c r="BH974" s="167"/>
      <c r="BI974" s="167"/>
      <c r="BJ974" s="167"/>
      <c r="BK974" s="167"/>
      <c r="BL974" s="167"/>
      <c r="BM974" s="167"/>
      <c r="BN974" s="167"/>
      <c r="BO974" s="167"/>
      <c r="BP974" s="167"/>
      <c r="BQ974" s="167"/>
      <c r="BR974" s="167"/>
      <c r="BS974" s="167"/>
      <c r="BT974" s="167"/>
      <c r="BU974" s="167"/>
      <c r="BV974" s="167"/>
      <c r="BW974" s="167"/>
      <c r="BX974" s="167"/>
      <c r="BY974" s="175"/>
    </row>
    <row r="975" spans="1:77" s="18" customFormat="1" x14ac:dyDescent="0.15">
      <c r="A975" s="148">
        <v>1414100031</v>
      </c>
      <c r="B975" s="158" t="s">
        <v>726</v>
      </c>
      <c r="C975" s="150" t="s">
        <v>100</v>
      </c>
      <c r="D975" s="150"/>
      <c r="E975" s="150" t="s">
        <v>78</v>
      </c>
      <c r="F975" s="150"/>
      <c r="G975" s="150"/>
      <c r="H975" s="150"/>
      <c r="I975" s="150"/>
      <c r="J975" s="166"/>
      <c r="K975" s="166"/>
      <c r="L975" s="166"/>
      <c r="M975" s="166"/>
      <c r="N975" s="166"/>
      <c r="O975" s="150" t="s">
        <v>79</v>
      </c>
      <c r="P975" s="167" t="s">
        <v>102</v>
      </c>
      <c r="Q975" s="167">
        <v>96</v>
      </c>
      <c r="R975" s="167">
        <v>2500</v>
      </c>
      <c r="S975" s="167"/>
      <c r="T975" s="167"/>
      <c r="U975" s="167"/>
      <c r="V975" s="167"/>
      <c r="W975" s="167"/>
      <c r="X975" s="167"/>
      <c r="Y975" s="167"/>
      <c r="Z975" s="167"/>
      <c r="AA975" s="167"/>
      <c r="AB975" s="167"/>
      <c r="AC975" s="167"/>
      <c r="AD975" s="167"/>
      <c r="AE975" s="167"/>
      <c r="AF975" s="167"/>
      <c r="AG975" s="167"/>
      <c r="AH975" s="167"/>
      <c r="AI975" s="167"/>
      <c r="AJ975" s="167"/>
      <c r="AK975" s="167"/>
      <c r="AL975" s="167"/>
      <c r="AM975" s="167"/>
      <c r="AN975" s="167"/>
      <c r="AO975" s="167"/>
      <c r="AP975" s="167"/>
      <c r="AQ975" s="167"/>
      <c r="AR975" s="167"/>
      <c r="AS975" s="167"/>
      <c r="AT975" s="167"/>
      <c r="AU975" s="167"/>
      <c r="AV975" s="167"/>
      <c r="AW975" s="167"/>
      <c r="AX975" s="167"/>
      <c r="AY975" s="167"/>
      <c r="AZ975" s="167"/>
      <c r="BA975" s="167"/>
      <c r="BB975" s="167"/>
      <c r="BC975" s="167"/>
      <c r="BD975" s="167"/>
      <c r="BE975" s="167"/>
      <c r="BF975" s="167"/>
      <c r="BG975" s="167"/>
      <c r="BH975" s="167"/>
      <c r="BI975" s="167"/>
      <c r="BJ975" s="167"/>
      <c r="BK975" s="167"/>
      <c r="BL975" s="167"/>
      <c r="BM975" s="167"/>
      <c r="BN975" s="167"/>
      <c r="BO975" s="167"/>
      <c r="BP975" s="167"/>
      <c r="BQ975" s="167"/>
      <c r="BR975" s="167"/>
      <c r="BS975" s="167"/>
      <c r="BT975" s="167"/>
      <c r="BU975" s="167"/>
      <c r="BV975" s="167"/>
      <c r="BW975" s="167"/>
      <c r="BX975" s="167"/>
      <c r="BY975" s="175"/>
    </row>
    <row r="976" spans="1:77" s="18" customFormat="1" x14ac:dyDescent="0.15">
      <c r="A976" s="148">
        <v>1414010011</v>
      </c>
      <c r="B976" s="158" t="s">
        <v>727</v>
      </c>
      <c r="C976" s="150" t="s">
        <v>89</v>
      </c>
      <c r="D976" s="150"/>
      <c r="E976" s="150" t="s">
        <v>78</v>
      </c>
      <c r="F976" s="150"/>
      <c r="G976" s="150"/>
      <c r="H976" s="150"/>
      <c r="I976" s="150"/>
      <c r="J976" s="166"/>
      <c r="K976" s="166"/>
      <c r="L976" s="166"/>
      <c r="M976" s="166"/>
      <c r="N976" s="166"/>
      <c r="O976" s="167" t="s">
        <v>90</v>
      </c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  <c r="AA976" s="167"/>
      <c r="AB976" s="167"/>
      <c r="AC976" s="167"/>
      <c r="AD976" s="167">
        <v>1414010101</v>
      </c>
      <c r="AE976" s="167"/>
      <c r="AF976" s="167"/>
      <c r="AG976" s="167"/>
      <c r="AH976" s="167"/>
      <c r="AI976" s="167"/>
      <c r="AJ976" s="167"/>
      <c r="AK976" s="167"/>
      <c r="AL976" s="167"/>
      <c r="AM976" s="167"/>
      <c r="AN976" s="167"/>
      <c r="AO976" s="167"/>
      <c r="AP976" s="167"/>
      <c r="AQ976" s="167"/>
      <c r="AR976" s="167"/>
      <c r="AS976" s="167"/>
      <c r="AT976" s="167"/>
      <c r="AU976" s="167"/>
      <c r="AV976" s="167"/>
      <c r="AW976" s="167"/>
      <c r="AX976" s="167"/>
      <c r="AY976" s="167"/>
      <c r="AZ976" s="167"/>
      <c r="BA976" s="167"/>
      <c r="BB976" s="167"/>
      <c r="BC976" s="167"/>
      <c r="BD976" s="167"/>
      <c r="BE976" s="167"/>
      <c r="BF976" s="167"/>
      <c r="BG976" s="167"/>
      <c r="BH976" s="167"/>
      <c r="BI976" s="167"/>
      <c r="BJ976" s="167"/>
      <c r="BK976" s="167"/>
      <c r="BL976" s="167"/>
      <c r="BM976" s="167"/>
      <c r="BN976" s="167"/>
      <c r="BO976" s="167"/>
      <c r="BP976" s="167"/>
      <c r="BQ976" s="167"/>
      <c r="BR976" s="167"/>
      <c r="BS976" s="167"/>
      <c r="BT976" s="167"/>
      <c r="BU976" s="167"/>
      <c r="BV976" s="167"/>
      <c r="BW976" s="167"/>
      <c r="BX976" s="167"/>
      <c r="BY976" s="175"/>
    </row>
    <row r="977" spans="1:77" s="18" customFormat="1" x14ac:dyDescent="0.15">
      <c r="A977" s="148">
        <v>1414010021</v>
      </c>
      <c r="B977" s="158" t="s">
        <v>727</v>
      </c>
      <c r="C977" s="150" t="s">
        <v>89</v>
      </c>
      <c r="D977" s="150"/>
      <c r="E977" s="150" t="s">
        <v>78</v>
      </c>
      <c r="F977" s="150"/>
      <c r="G977" s="150"/>
      <c r="H977" s="150"/>
      <c r="I977" s="150"/>
      <c r="J977" s="166"/>
      <c r="K977" s="166"/>
      <c r="L977" s="166"/>
      <c r="M977" s="166"/>
      <c r="N977" s="166"/>
      <c r="O977" s="167" t="s">
        <v>90</v>
      </c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  <c r="AA977" s="167"/>
      <c r="AB977" s="167"/>
      <c r="AC977" s="167"/>
      <c r="AD977" s="167">
        <v>1414010101</v>
      </c>
      <c r="AE977" s="167"/>
      <c r="AF977" s="167"/>
      <c r="AG977" s="167"/>
      <c r="AH977" s="167"/>
      <c r="AI977" s="167"/>
      <c r="AJ977" s="167"/>
      <c r="AK977" s="167"/>
      <c r="AL977" s="167"/>
      <c r="AM977" s="167"/>
      <c r="AN977" s="167"/>
      <c r="AO977" s="167"/>
      <c r="AP977" s="167"/>
      <c r="AQ977" s="167"/>
      <c r="AR977" s="167"/>
      <c r="AS977" s="167"/>
      <c r="AT977" s="167"/>
      <c r="AU977" s="167"/>
      <c r="AV977" s="167"/>
      <c r="AW977" s="167"/>
      <c r="AX977" s="167"/>
      <c r="AY977" s="167"/>
      <c r="AZ977" s="167"/>
      <c r="BA977" s="167"/>
      <c r="BB977" s="167"/>
      <c r="BC977" s="167"/>
      <c r="BD977" s="167"/>
      <c r="BE977" s="167"/>
      <c r="BF977" s="167"/>
      <c r="BG977" s="167"/>
      <c r="BH977" s="167"/>
      <c r="BI977" s="167"/>
      <c r="BJ977" s="167"/>
      <c r="BK977" s="167"/>
      <c r="BL977" s="167"/>
      <c r="BM977" s="167"/>
      <c r="BN977" s="167"/>
      <c r="BO977" s="167"/>
      <c r="BP977" s="167"/>
      <c r="BQ977" s="167"/>
      <c r="BR977" s="167"/>
      <c r="BS977" s="167"/>
      <c r="BT977" s="167"/>
      <c r="BU977" s="167"/>
      <c r="BV977" s="167"/>
      <c r="BW977" s="167"/>
      <c r="BX977" s="167"/>
      <c r="BY977" s="175"/>
    </row>
    <row r="978" spans="1:77" s="18" customFormat="1" x14ac:dyDescent="0.15">
      <c r="A978" s="148">
        <v>1414010031</v>
      </c>
      <c r="B978" s="158" t="s">
        <v>727</v>
      </c>
      <c r="C978" s="150" t="s">
        <v>89</v>
      </c>
      <c r="D978" s="150"/>
      <c r="E978" s="150" t="s">
        <v>78</v>
      </c>
      <c r="F978" s="150"/>
      <c r="G978" s="150"/>
      <c r="H978" s="150"/>
      <c r="I978" s="150"/>
      <c r="J978" s="166"/>
      <c r="K978" s="166"/>
      <c r="L978" s="166"/>
      <c r="M978" s="166"/>
      <c r="N978" s="166"/>
      <c r="O978" s="167" t="s">
        <v>90</v>
      </c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  <c r="AA978" s="167"/>
      <c r="AB978" s="167"/>
      <c r="AC978" s="167"/>
      <c r="AD978" s="167">
        <v>1414010101</v>
      </c>
      <c r="AE978" s="167"/>
      <c r="AF978" s="167"/>
      <c r="AG978" s="167"/>
      <c r="AH978" s="167"/>
      <c r="AI978" s="167"/>
      <c r="AJ978" s="167"/>
      <c r="AK978" s="167"/>
      <c r="AL978" s="167"/>
      <c r="AM978" s="167"/>
      <c r="AN978" s="167"/>
      <c r="AO978" s="167"/>
      <c r="AP978" s="167"/>
      <c r="AQ978" s="167"/>
      <c r="AR978" s="167"/>
      <c r="AS978" s="167"/>
      <c r="AT978" s="167"/>
      <c r="AU978" s="167"/>
      <c r="AV978" s="167"/>
      <c r="AW978" s="167"/>
      <c r="AX978" s="167"/>
      <c r="AY978" s="167"/>
      <c r="AZ978" s="167"/>
      <c r="BA978" s="167"/>
      <c r="BB978" s="167"/>
      <c r="BC978" s="167"/>
      <c r="BD978" s="167"/>
      <c r="BE978" s="167"/>
      <c r="BF978" s="167"/>
      <c r="BG978" s="167"/>
      <c r="BH978" s="167"/>
      <c r="BI978" s="167"/>
      <c r="BJ978" s="167"/>
      <c r="BK978" s="167"/>
      <c r="BL978" s="167"/>
      <c r="BM978" s="167"/>
      <c r="BN978" s="167"/>
      <c r="BO978" s="167"/>
      <c r="BP978" s="167"/>
      <c r="BQ978" s="167"/>
      <c r="BR978" s="167"/>
      <c r="BS978" s="167"/>
      <c r="BT978" s="167"/>
      <c r="BU978" s="167"/>
      <c r="BV978" s="167"/>
      <c r="BW978" s="167"/>
      <c r="BX978" s="167"/>
      <c r="BY978" s="175"/>
    </row>
    <row r="979" spans="1:77" s="18" customFormat="1" x14ac:dyDescent="0.15">
      <c r="A979" s="148">
        <v>1414010041</v>
      </c>
      <c r="B979" s="158" t="s">
        <v>727</v>
      </c>
      <c r="C979" s="150" t="s">
        <v>89</v>
      </c>
      <c r="D979" s="150"/>
      <c r="E979" s="150" t="s">
        <v>78</v>
      </c>
      <c r="F979" s="150"/>
      <c r="G979" s="150"/>
      <c r="H979" s="150"/>
      <c r="I979" s="150"/>
      <c r="J979" s="166"/>
      <c r="K979" s="166"/>
      <c r="L979" s="166"/>
      <c r="M979" s="166"/>
      <c r="N979" s="166"/>
      <c r="O979" s="167" t="s">
        <v>90</v>
      </c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  <c r="AA979" s="167"/>
      <c r="AB979" s="167"/>
      <c r="AC979" s="167"/>
      <c r="AD979" s="167">
        <v>1414010101</v>
      </c>
      <c r="AE979" s="167"/>
      <c r="AF979" s="167"/>
      <c r="AG979" s="167"/>
      <c r="AH979" s="167"/>
      <c r="AI979" s="167"/>
      <c r="AJ979" s="167"/>
      <c r="AK979" s="167"/>
      <c r="AL979" s="167"/>
      <c r="AM979" s="167"/>
      <c r="AN979" s="167"/>
      <c r="AO979" s="167"/>
      <c r="AP979" s="167"/>
      <c r="AQ979" s="167"/>
      <c r="AR979" s="167"/>
      <c r="AS979" s="167"/>
      <c r="AT979" s="167"/>
      <c r="AU979" s="167"/>
      <c r="AV979" s="167"/>
      <c r="AW979" s="167"/>
      <c r="AX979" s="167"/>
      <c r="AY979" s="167"/>
      <c r="AZ979" s="167"/>
      <c r="BA979" s="167"/>
      <c r="BB979" s="167"/>
      <c r="BC979" s="167"/>
      <c r="BD979" s="167"/>
      <c r="BE979" s="167"/>
      <c r="BF979" s="167"/>
      <c r="BG979" s="167"/>
      <c r="BH979" s="167"/>
      <c r="BI979" s="167"/>
      <c r="BJ979" s="167"/>
      <c r="BK979" s="167"/>
      <c r="BL979" s="167"/>
      <c r="BM979" s="167"/>
      <c r="BN979" s="167"/>
      <c r="BO979" s="167"/>
      <c r="BP979" s="167"/>
      <c r="BQ979" s="167"/>
      <c r="BR979" s="167"/>
      <c r="BS979" s="167"/>
      <c r="BT979" s="167"/>
      <c r="BU979" s="167"/>
      <c r="BV979" s="167"/>
      <c r="BW979" s="167"/>
      <c r="BX979" s="167"/>
      <c r="BY979" s="175"/>
    </row>
    <row r="980" spans="1:77" s="18" customFormat="1" x14ac:dyDescent="0.15">
      <c r="A980" s="148">
        <v>1414002011</v>
      </c>
      <c r="B980" s="158" t="s">
        <v>728</v>
      </c>
      <c r="C980" s="150" t="s">
        <v>77</v>
      </c>
      <c r="D980" s="150"/>
      <c r="E980" s="150" t="s">
        <v>85</v>
      </c>
      <c r="F980" s="150">
        <v>50000</v>
      </c>
      <c r="G980" s="150">
        <v>250000</v>
      </c>
      <c r="H980" s="150"/>
      <c r="I980" s="150"/>
      <c r="J980" s="166"/>
      <c r="K980" s="166"/>
      <c r="L980" s="166"/>
      <c r="M980" s="166" t="s">
        <v>101</v>
      </c>
      <c r="N980" s="166" t="s">
        <v>852</v>
      </c>
      <c r="O980" s="150" t="s">
        <v>79</v>
      </c>
      <c r="P980" s="167" t="s">
        <v>80</v>
      </c>
      <c r="Q980" s="167">
        <v>220</v>
      </c>
      <c r="R980" s="167">
        <v>4000</v>
      </c>
      <c r="S980" s="167"/>
      <c r="T980" s="167"/>
      <c r="U980" s="167"/>
      <c r="V980" s="167"/>
      <c r="W980" s="167"/>
      <c r="X980" s="167"/>
      <c r="Y980" s="167"/>
      <c r="Z980" s="167"/>
      <c r="AA980" s="167"/>
      <c r="AB980" s="167"/>
      <c r="AC980" s="167"/>
      <c r="AD980" s="167"/>
      <c r="AE980" s="167"/>
      <c r="AF980" s="167"/>
      <c r="AG980" s="167"/>
      <c r="AH980" s="167"/>
      <c r="AI980" s="167"/>
      <c r="AJ980" s="167"/>
      <c r="AK980" s="167"/>
      <c r="AL980" s="167"/>
      <c r="AM980" s="167"/>
      <c r="AN980" s="167"/>
      <c r="AO980" s="167"/>
      <c r="AP980" s="167"/>
      <c r="AQ980" s="167"/>
      <c r="AR980" s="167"/>
      <c r="AS980" s="167"/>
      <c r="AT980" s="167"/>
      <c r="AU980" s="167"/>
      <c r="AV980" s="167"/>
      <c r="AW980" s="167"/>
      <c r="AX980" s="167"/>
      <c r="AY980" s="167"/>
      <c r="AZ980" s="167"/>
      <c r="BA980" s="167"/>
      <c r="BB980" s="167"/>
      <c r="BC980" s="167"/>
      <c r="BD980" s="167"/>
      <c r="BE980" s="167"/>
      <c r="BF980" s="167"/>
      <c r="BG980" s="167"/>
      <c r="BH980" s="167"/>
      <c r="BI980" s="167"/>
      <c r="BJ980" s="167"/>
      <c r="BK980" s="167"/>
      <c r="BL980" s="167"/>
      <c r="BM980" s="167"/>
      <c r="BN980" s="167"/>
      <c r="BO980" s="167"/>
      <c r="BP980" s="167"/>
      <c r="BQ980" s="167"/>
      <c r="BR980" s="167"/>
      <c r="BS980" s="167"/>
      <c r="BT980" s="167"/>
      <c r="BU980" s="167"/>
      <c r="BV980" s="167"/>
      <c r="BW980" s="167"/>
      <c r="BX980" s="167"/>
      <c r="BY980" s="175"/>
    </row>
    <row r="981" spans="1:77" s="18" customFormat="1" x14ac:dyDescent="0.15">
      <c r="A981" s="148">
        <v>1414002021</v>
      </c>
      <c r="B981" s="158" t="s">
        <v>728</v>
      </c>
      <c r="C981" s="150" t="s">
        <v>77</v>
      </c>
      <c r="D981" s="150"/>
      <c r="E981" s="150" t="s">
        <v>85</v>
      </c>
      <c r="F981" s="150">
        <v>50000</v>
      </c>
      <c r="G981" s="150">
        <v>250000</v>
      </c>
      <c r="H981" s="150"/>
      <c r="I981" s="150"/>
      <c r="J981" s="166"/>
      <c r="K981" s="166"/>
      <c r="L981" s="166"/>
      <c r="M981" s="166" t="s">
        <v>101</v>
      </c>
      <c r="N981" s="166" t="s">
        <v>852</v>
      </c>
      <c r="O981" s="150" t="s">
        <v>79</v>
      </c>
      <c r="P981" s="167" t="s">
        <v>80</v>
      </c>
      <c r="Q981" s="167">
        <v>280</v>
      </c>
      <c r="R981" s="167">
        <v>4000</v>
      </c>
      <c r="S981" s="167"/>
      <c r="T981" s="167"/>
      <c r="U981" s="167"/>
      <c r="V981" s="167"/>
      <c r="W981" s="167"/>
      <c r="X981" s="167"/>
      <c r="Y981" s="167"/>
      <c r="Z981" s="167"/>
      <c r="AA981" s="167"/>
      <c r="AB981" s="167"/>
      <c r="AC981" s="167"/>
      <c r="AD981" s="167"/>
      <c r="AE981" s="167"/>
      <c r="AF981" s="167"/>
      <c r="AG981" s="167"/>
      <c r="AH981" s="167"/>
      <c r="AI981" s="167"/>
      <c r="AJ981" s="167"/>
      <c r="AK981" s="167"/>
      <c r="AL981" s="167"/>
      <c r="AM981" s="167"/>
      <c r="AN981" s="167"/>
      <c r="AO981" s="167"/>
      <c r="AP981" s="167"/>
      <c r="AQ981" s="167"/>
      <c r="AR981" s="167"/>
      <c r="AS981" s="167"/>
      <c r="AT981" s="167"/>
      <c r="AU981" s="167"/>
      <c r="AV981" s="167"/>
      <c r="AW981" s="167"/>
      <c r="AX981" s="167"/>
      <c r="AY981" s="167"/>
      <c r="AZ981" s="167"/>
      <c r="BA981" s="167"/>
      <c r="BB981" s="167"/>
      <c r="BC981" s="167"/>
      <c r="BD981" s="167"/>
      <c r="BE981" s="167"/>
      <c r="BF981" s="167"/>
      <c r="BG981" s="167"/>
      <c r="BH981" s="167"/>
      <c r="BI981" s="167"/>
      <c r="BJ981" s="167"/>
      <c r="BK981" s="167"/>
      <c r="BL981" s="167"/>
      <c r="BM981" s="167"/>
      <c r="BN981" s="167"/>
      <c r="BO981" s="167"/>
      <c r="BP981" s="167"/>
      <c r="BQ981" s="167"/>
      <c r="BR981" s="167"/>
      <c r="BS981" s="167"/>
      <c r="BT981" s="167"/>
      <c r="BU981" s="167"/>
      <c r="BV981" s="167"/>
      <c r="BW981" s="167"/>
      <c r="BX981" s="167"/>
      <c r="BY981" s="175"/>
    </row>
    <row r="982" spans="1:77" s="18" customFormat="1" x14ac:dyDescent="0.15">
      <c r="A982" s="148">
        <v>1414002031</v>
      </c>
      <c r="B982" s="158" t="s">
        <v>728</v>
      </c>
      <c r="C982" s="150" t="s">
        <v>77</v>
      </c>
      <c r="D982" s="150"/>
      <c r="E982" s="150" t="s">
        <v>85</v>
      </c>
      <c r="F982" s="150">
        <v>50000</v>
      </c>
      <c r="G982" s="150">
        <v>250000</v>
      </c>
      <c r="H982" s="150"/>
      <c r="I982" s="150"/>
      <c r="J982" s="166"/>
      <c r="K982" s="166"/>
      <c r="L982" s="166"/>
      <c r="M982" s="166" t="s">
        <v>101</v>
      </c>
      <c r="N982" s="166" t="s">
        <v>852</v>
      </c>
      <c r="O982" s="150" t="s">
        <v>79</v>
      </c>
      <c r="P982" s="167" t="s">
        <v>80</v>
      </c>
      <c r="Q982" s="167">
        <v>340</v>
      </c>
      <c r="R982" s="167">
        <v>4000</v>
      </c>
      <c r="S982" s="167"/>
      <c r="T982" s="167"/>
      <c r="U982" s="167"/>
      <c r="V982" s="167"/>
      <c r="W982" s="167"/>
      <c r="X982" s="167"/>
      <c r="Y982" s="167"/>
      <c r="Z982" s="167"/>
      <c r="AA982" s="167"/>
      <c r="AB982" s="167"/>
      <c r="AC982" s="167"/>
      <c r="AD982" s="167"/>
      <c r="AE982" s="167"/>
      <c r="AF982" s="167"/>
      <c r="AG982" s="167"/>
      <c r="AH982" s="167"/>
      <c r="AI982" s="167"/>
      <c r="AJ982" s="167"/>
      <c r="AK982" s="167"/>
      <c r="AL982" s="167"/>
      <c r="AM982" s="167"/>
      <c r="AN982" s="167"/>
      <c r="AO982" s="167"/>
      <c r="AP982" s="167"/>
      <c r="AQ982" s="167"/>
      <c r="AR982" s="167"/>
      <c r="AS982" s="167"/>
      <c r="AT982" s="167"/>
      <c r="AU982" s="167"/>
      <c r="AV982" s="167"/>
      <c r="AW982" s="167"/>
      <c r="AX982" s="167"/>
      <c r="AY982" s="167"/>
      <c r="AZ982" s="167"/>
      <c r="BA982" s="167"/>
      <c r="BB982" s="167"/>
      <c r="BC982" s="167"/>
      <c r="BD982" s="167"/>
      <c r="BE982" s="167"/>
      <c r="BF982" s="167"/>
      <c r="BG982" s="167"/>
      <c r="BH982" s="167"/>
      <c r="BI982" s="167"/>
      <c r="BJ982" s="167"/>
      <c r="BK982" s="167"/>
      <c r="BL982" s="167"/>
      <c r="BM982" s="167"/>
      <c r="BN982" s="167"/>
      <c r="BO982" s="167"/>
      <c r="BP982" s="167"/>
      <c r="BQ982" s="167"/>
      <c r="BR982" s="167"/>
      <c r="BS982" s="167"/>
      <c r="BT982" s="167"/>
      <c r="BU982" s="167"/>
      <c r="BV982" s="167"/>
      <c r="BW982" s="167"/>
      <c r="BX982" s="167"/>
      <c r="BY982" s="175"/>
    </row>
    <row r="983" spans="1:77" s="18" customFormat="1" x14ac:dyDescent="0.15">
      <c r="A983" s="148">
        <v>1414002041</v>
      </c>
      <c r="B983" s="158" t="s">
        <v>728</v>
      </c>
      <c r="C983" s="150" t="s">
        <v>77</v>
      </c>
      <c r="D983" s="150"/>
      <c r="E983" s="150" t="s">
        <v>85</v>
      </c>
      <c r="F983" s="150">
        <v>50000</v>
      </c>
      <c r="G983" s="150">
        <v>250000</v>
      </c>
      <c r="H983" s="150"/>
      <c r="I983" s="150"/>
      <c r="J983" s="166"/>
      <c r="K983" s="166"/>
      <c r="L983" s="166"/>
      <c r="M983" s="166" t="s">
        <v>101</v>
      </c>
      <c r="N983" s="166" t="s">
        <v>852</v>
      </c>
      <c r="O983" s="150" t="s">
        <v>79</v>
      </c>
      <c r="P983" s="167" t="s">
        <v>80</v>
      </c>
      <c r="Q983" s="167">
        <v>400</v>
      </c>
      <c r="R983" s="167">
        <v>4000</v>
      </c>
      <c r="S983" s="167"/>
      <c r="T983" s="167"/>
      <c r="U983" s="167"/>
      <c r="V983" s="167"/>
      <c r="W983" s="167"/>
      <c r="X983" s="167"/>
      <c r="Y983" s="167"/>
      <c r="Z983" s="167"/>
      <c r="AA983" s="167"/>
      <c r="AB983" s="167"/>
      <c r="AC983" s="167"/>
      <c r="AD983" s="167"/>
      <c r="AE983" s="167"/>
      <c r="AF983" s="167"/>
      <c r="AG983" s="167"/>
      <c r="AH983" s="167"/>
      <c r="AI983" s="167"/>
      <c r="AJ983" s="167"/>
      <c r="AK983" s="167"/>
      <c r="AL983" s="167"/>
      <c r="AM983" s="167"/>
      <c r="AN983" s="167"/>
      <c r="AO983" s="167"/>
      <c r="AP983" s="167"/>
      <c r="AQ983" s="167"/>
      <c r="AR983" s="167"/>
      <c r="AS983" s="167"/>
      <c r="AT983" s="167"/>
      <c r="AU983" s="167"/>
      <c r="AV983" s="167"/>
      <c r="AW983" s="167"/>
      <c r="AX983" s="167"/>
      <c r="AY983" s="167"/>
      <c r="AZ983" s="167"/>
      <c r="BA983" s="167"/>
      <c r="BB983" s="167"/>
      <c r="BC983" s="167"/>
      <c r="BD983" s="167"/>
      <c r="BE983" s="167"/>
      <c r="BF983" s="167"/>
      <c r="BG983" s="167"/>
      <c r="BH983" s="167"/>
      <c r="BI983" s="167"/>
      <c r="BJ983" s="167"/>
      <c r="BK983" s="167"/>
      <c r="BL983" s="167"/>
      <c r="BM983" s="167"/>
      <c r="BN983" s="167"/>
      <c r="BO983" s="167"/>
      <c r="BP983" s="167"/>
      <c r="BQ983" s="167"/>
      <c r="BR983" s="167"/>
      <c r="BS983" s="167"/>
      <c r="BT983" s="167"/>
      <c r="BU983" s="167"/>
      <c r="BV983" s="167"/>
      <c r="BW983" s="167"/>
      <c r="BX983" s="167"/>
      <c r="BY983" s="175"/>
    </row>
    <row r="984" spans="1:77" s="18" customFormat="1" x14ac:dyDescent="0.15">
      <c r="A984" s="148">
        <v>1414002012</v>
      </c>
      <c r="B984" s="158" t="s">
        <v>729</v>
      </c>
      <c r="C984" s="150" t="s">
        <v>100</v>
      </c>
      <c r="D984" s="150"/>
      <c r="E984" s="150" t="s">
        <v>85</v>
      </c>
      <c r="F984" s="150">
        <v>50000</v>
      </c>
      <c r="G984" s="150">
        <v>250000</v>
      </c>
      <c r="H984" s="150"/>
      <c r="I984" s="150"/>
      <c r="J984" s="166"/>
      <c r="K984" s="166"/>
      <c r="L984" s="166"/>
      <c r="M984" s="166" t="s">
        <v>101</v>
      </c>
      <c r="N984" s="166" t="s">
        <v>852</v>
      </c>
      <c r="O984" s="150" t="s">
        <v>90</v>
      </c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  <c r="AA984" s="167"/>
      <c r="AB984" s="167"/>
      <c r="AC984" s="167">
        <v>1414002101</v>
      </c>
      <c r="AD984" s="167">
        <v>1414002101</v>
      </c>
      <c r="AE984" s="167"/>
      <c r="AF984" s="167"/>
      <c r="AG984" s="167"/>
      <c r="AH984" s="167"/>
      <c r="AI984" s="167"/>
      <c r="AJ984" s="167"/>
      <c r="AK984" s="167"/>
      <c r="AL984" s="167"/>
      <c r="AM984" s="167"/>
      <c r="AN984" s="167"/>
      <c r="AO984" s="167"/>
      <c r="AP984" s="167"/>
      <c r="AQ984" s="167"/>
      <c r="AR984" s="167"/>
      <c r="AS984" s="167"/>
      <c r="AT984" s="167"/>
      <c r="AU984" s="167"/>
      <c r="AV984" s="167"/>
      <c r="AW984" s="167"/>
      <c r="AX984" s="167"/>
      <c r="AY984" s="167"/>
      <c r="AZ984" s="167"/>
      <c r="BA984" s="167"/>
      <c r="BB984" s="167"/>
      <c r="BC984" s="167"/>
      <c r="BD984" s="167"/>
      <c r="BE984" s="167"/>
      <c r="BF984" s="167"/>
      <c r="BG984" s="167"/>
      <c r="BH984" s="167"/>
      <c r="BI984" s="167"/>
      <c r="BJ984" s="167"/>
      <c r="BK984" s="167"/>
      <c r="BL984" s="167"/>
      <c r="BM984" s="167"/>
      <c r="BN984" s="167"/>
      <c r="BO984" s="167"/>
      <c r="BP984" s="167"/>
      <c r="BQ984" s="167"/>
      <c r="BR984" s="167"/>
      <c r="BS984" s="167"/>
      <c r="BT984" s="167"/>
      <c r="BU984" s="167"/>
      <c r="BV984" s="167"/>
      <c r="BW984" s="167"/>
      <c r="BX984" s="167"/>
      <c r="BY984" s="175"/>
    </row>
    <row r="985" spans="1:77" s="18" customFormat="1" x14ac:dyDescent="0.15">
      <c r="A985" s="148">
        <v>1414002022</v>
      </c>
      <c r="B985" s="158" t="s">
        <v>729</v>
      </c>
      <c r="C985" s="150" t="s">
        <v>100</v>
      </c>
      <c r="D985" s="150"/>
      <c r="E985" s="150" t="s">
        <v>85</v>
      </c>
      <c r="F985" s="150">
        <v>50000</v>
      </c>
      <c r="G985" s="150">
        <v>250000</v>
      </c>
      <c r="H985" s="150"/>
      <c r="I985" s="150"/>
      <c r="J985" s="166"/>
      <c r="K985" s="166"/>
      <c r="L985" s="166"/>
      <c r="M985" s="166" t="s">
        <v>101</v>
      </c>
      <c r="N985" s="166" t="s">
        <v>852</v>
      </c>
      <c r="O985" s="150" t="s">
        <v>90</v>
      </c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  <c r="AA985" s="167"/>
      <c r="AB985" s="167"/>
      <c r="AC985" s="167">
        <v>1414002102</v>
      </c>
      <c r="AD985" s="167">
        <v>1414002102</v>
      </c>
      <c r="AE985" s="167"/>
      <c r="AF985" s="167"/>
      <c r="AG985" s="167"/>
      <c r="AH985" s="167"/>
      <c r="AI985" s="167"/>
      <c r="AJ985" s="167"/>
      <c r="AK985" s="167"/>
      <c r="AL985" s="167"/>
      <c r="AM985" s="167"/>
      <c r="AN985" s="167"/>
      <c r="AO985" s="167"/>
      <c r="AP985" s="167"/>
      <c r="AQ985" s="167"/>
      <c r="AR985" s="167"/>
      <c r="AS985" s="167"/>
      <c r="AT985" s="167"/>
      <c r="AU985" s="167"/>
      <c r="AV985" s="167"/>
      <c r="AW985" s="167"/>
      <c r="AX985" s="167"/>
      <c r="AY985" s="167"/>
      <c r="AZ985" s="167"/>
      <c r="BA985" s="167"/>
      <c r="BB985" s="167"/>
      <c r="BC985" s="167"/>
      <c r="BD985" s="167"/>
      <c r="BE985" s="167"/>
      <c r="BF985" s="167"/>
      <c r="BG985" s="167"/>
      <c r="BH985" s="167"/>
      <c r="BI985" s="167"/>
      <c r="BJ985" s="167"/>
      <c r="BK985" s="167"/>
      <c r="BL985" s="167"/>
      <c r="BM985" s="167"/>
      <c r="BN985" s="167"/>
      <c r="BO985" s="167"/>
      <c r="BP985" s="167"/>
      <c r="BQ985" s="167"/>
      <c r="BR985" s="167"/>
      <c r="BS985" s="167"/>
      <c r="BT985" s="167"/>
      <c r="BU985" s="167"/>
      <c r="BV985" s="167"/>
      <c r="BW985" s="167"/>
      <c r="BX985" s="167"/>
      <c r="BY985" s="175"/>
    </row>
    <row r="986" spans="1:77" s="18" customFormat="1" x14ac:dyDescent="0.15">
      <c r="A986" s="148">
        <v>1414002032</v>
      </c>
      <c r="B986" s="158" t="s">
        <v>729</v>
      </c>
      <c r="C986" s="150" t="s">
        <v>100</v>
      </c>
      <c r="D986" s="150"/>
      <c r="E986" s="150" t="s">
        <v>85</v>
      </c>
      <c r="F986" s="150">
        <v>50000</v>
      </c>
      <c r="G986" s="150">
        <v>250000</v>
      </c>
      <c r="H986" s="150"/>
      <c r="I986" s="150"/>
      <c r="J986" s="166"/>
      <c r="K986" s="166"/>
      <c r="L986" s="166"/>
      <c r="M986" s="166" t="s">
        <v>101</v>
      </c>
      <c r="N986" s="166" t="s">
        <v>852</v>
      </c>
      <c r="O986" s="150" t="s">
        <v>90</v>
      </c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  <c r="AA986" s="167"/>
      <c r="AB986" s="167"/>
      <c r="AC986" s="167">
        <v>1414002103</v>
      </c>
      <c r="AD986" s="167">
        <v>1414002103</v>
      </c>
      <c r="AE986" s="167"/>
      <c r="AF986" s="167"/>
      <c r="AG986" s="167"/>
      <c r="AH986" s="167"/>
      <c r="AI986" s="167"/>
      <c r="AJ986" s="167"/>
      <c r="AK986" s="167"/>
      <c r="AL986" s="167"/>
      <c r="AM986" s="167"/>
      <c r="AN986" s="167"/>
      <c r="AO986" s="167"/>
      <c r="AP986" s="167"/>
      <c r="AQ986" s="167"/>
      <c r="AR986" s="167"/>
      <c r="AS986" s="167"/>
      <c r="AT986" s="167"/>
      <c r="AU986" s="167"/>
      <c r="AV986" s="167"/>
      <c r="AW986" s="167"/>
      <c r="AX986" s="167"/>
      <c r="AY986" s="167"/>
      <c r="AZ986" s="167"/>
      <c r="BA986" s="167"/>
      <c r="BB986" s="167"/>
      <c r="BC986" s="167"/>
      <c r="BD986" s="167"/>
      <c r="BE986" s="167"/>
      <c r="BF986" s="167"/>
      <c r="BG986" s="167"/>
      <c r="BH986" s="167"/>
      <c r="BI986" s="167"/>
      <c r="BJ986" s="167"/>
      <c r="BK986" s="167"/>
      <c r="BL986" s="167"/>
      <c r="BM986" s="167"/>
      <c r="BN986" s="167"/>
      <c r="BO986" s="167"/>
      <c r="BP986" s="167"/>
      <c r="BQ986" s="167"/>
      <c r="BR986" s="167"/>
      <c r="BS986" s="167"/>
      <c r="BT986" s="167"/>
      <c r="BU986" s="167"/>
      <c r="BV986" s="167"/>
      <c r="BW986" s="167"/>
      <c r="BX986" s="167"/>
      <c r="BY986" s="175"/>
    </row>
    <row r="987" spans="1:77" s="18" customFormat="1" x14ac:dyDescent="0.15">
      <c r="A987" s="148">
        <v>1414002042</v>
      </c>
      <c r="B987" s="158" t="s">
        <v>729</v>
      </c>
      <c r="C987" s="150" t="s">
        <v>100</v>
      </c>
      <c r="D987" s="150"/>
      <c r="E987" s="150" t="s">
        <v>85</v>
      </c>
      <c r="F987" s="150">
        <v>50000</v>
      </c>
      <c r="G987" s="150">
        <v>250000</v>
      </c>
      <c r="H987" s="150"/>
      <c r="I987" s="150"/>
      <c r="J987" s="166"/>
      <c r="K987" s="166"/>
      <c r="L987" s="166"/>
      <c r="M987" s="166" t="s">
        <v>101</v>
      </c>
      <c r="N987" s="166" t="s">
        <v>852</v>
      </c>
      <c r="O987" s="150" t="s">
        <v>90</v>
      </c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  <c r="AA987" s="167"/>
      <c r="AB987" s="167"/>
      <c r="AC987" s="167">
        <v>1414002104</v>
      </c>
      <c r="AD987" s="167">
        <v>1414002104</v>
      </c>
      <c r="AE987" s="167"/>
      <c r="AF987" s="167"/>
      <c r="AG987" s="167"/>
      <c r="AH987" s="167"/>
      <c r="AI987" s="167"/>
      <c r="AJ987" s="167"/>
      <c r="AK987" s="167"/>
      <c r="AL987" s="167"/>
      <c r="AM987" s="167"/>
      <c r="AN987" s="167"/>
      <c r="AO987" s="167"/>
      <c r="AP987" s="167"/>
      <c r="AQ987" s="167"/>
      <c r="AR987" s="167"/>
      <c r="AS987" s="167"/>
      <c r="AT987" s="167"/>
      <c r="AU987" s="167"/>
      <c r="AV987" s="167"/>
      <c r="AW987" s="167"/>
      <c r="AX987" s="167"/>
      <c r="AY987" s="167"/>
      <c r="AZ987" s="167"/>
      <c r="BA987" s="167"/>
      <c r="BB987" s="167"/>
      <c r="BC987" s="167"/>
      <c r="BD987" s="167"/>
      <c r="BE987" s="167"/>
      <c r="BF987" s="167"/>
      <c r="BG987" s="167"/>
      <c r="BH987" s="167"/>
      <c r="BI987" s="167"/>
      <c r="BJ987" s="167"/>
      <c r="BK987" s="167"/>
      <c r="BL987" s="167"/>
      <c r="BM987" s="167"/>
      <c r="BN987" s="167"/>
      <c r="BO987" s="167"/>
      <c r="BP987" s="167"/>
      <c r="BQ987" s="167"/>
      <c r="BR987" s="167"/>
      <c r="BS987" s="167"/>
      <c r="BT987" s="167"/>
      <c r="BU987" s="167"/>
      <c r="BV987" s="167"/>
      <c r="BW987" s="167"/>
      <c r="BX987" s="167"/>
      <c r="BY987" s="175"/>
    </row>
    <row r="988" spans="1:77" s="18" customFormat="1" x14ac:dyDescent="0.15">
      <c r="A988" s="148">
        <v>1414020011</v>
      </c>
      <c r="B988" s="158" t="s">
        <v>730</v>
      </c>
      <c r="C988" s="150" t="s">
        <v>100</v>
      </c>
      <c r="D988" s="150"/>
      <c r="E988" s="150" t="s">
        <v>83</v>
      </c>
      <c r="F988" s="150">
        <v>50000</v>
      </c>
      <c r="G988" s="150"/>
      <c r="H988" s="150"/>
      <c r="I988" s="150"/>
      <c r="J988" s="166"/>
      <c r="K988" s="166"/>
      <c r="L988" s="166"/>
      <c r="M988" s="166" t="s">
        <v>101</v>
      </c>
      <c r="N988" s="166" t="s">
        <v>852</v>
      </c>
      <c r="O988" s="150" t="s">
        <v>79</v>
      </c>
      <c r="P988" s="167" t="s">
        <v>80</v>
      </c>
      <c r="Q988" s="167">
        <v>130</v>
      </c>
      <c r="R988" s="167">
        <v>2000</v>
      </c>
      <c r="S988" s="167"/>
      <c r="T988" s="167"/>
      <c r="U988" s="167"/>
      <c r="V988" s="167"/>
      <c r="W988" s="167"/>
      <c r="X988" s="167"/>
      <c r="Y988" s="167"/>
      <c r="Z988" s="167"/>
      <c r="AA988" s="167"/>
      <c r="AB988" s="167"/>
      <c r="AC988" s="167"/>
      <c r="AD988" s="167"/>
      <c r="AE988" s="167"/>
      <c r="AF988" s="167"/>
      <c r="AG988" s="167"/>
      <c r="AH988" s="167"/>
      <c r="AI988" s="167"/>
      <c r="AJ988" s="167"/>
      <c r="AK988" s="167"/>
      <c r="AL988" s="167"/>
      <c r="AM988" s="167"/>
      <c r="AN988" s="167"/>
      <c r="AO988" s="167"/>
      <c r="AP988" s="167"/>
      <c r="AQ988" s="167"/>
      <c r="AR988" s="167"/>
      <c r="AS988" s="167"/>
      <c r="AT988" s="167"/>
      <c r="AU988" s="167"/>
      <c r="AV988" s="167"/>
      <c r="AW988" s="167"/>
      <c r="AX988" s="167"/>
      <c r="AY988" s="167"/>
      <c r="AZ988" s="167"/>
      <c r="BA988" s="167"/>
      <c r="BB988" s="167"/>
      <c r="BC988" s="167"/>
      <c r="BD988" s="167"/>
      <c r="BE988" s="167"/>
      <c r="BF988" s="167"/>
      <c r="BG988" s="167"/>
      <c r="BH988" s="167"/>
      <c r="BI988" s="167"/>
      <c r="BJ988" s="167"/>
      <c r="BK988" s="167"/>
      <c r="BL988" s="167"/>
      <c r="BM988" s="167"/>
      <c r="BN988" s="167"/>
      <c r="BO988" s="167"/>
      <c r="BP988" s="167"/>
      <c r="BQ988" s="167"/>
      <c r="BR988" s="167"/>
      <c r="BS988" s="167"/>
      <c r="BT988" s="167"/>
      <c r="BU988" s="167"/>
      <c r="BV988" s="167"/>
      <c r="BW988" s="167"/>
      <c r="BX988" s="167"/>
      <c r="BY988" s="175"/>
    </row>
    <row r="989" spans="1:77" s="18" customFormat="1" x14ac:dyDescent="0.15">
      <c r="A989" s="148">
        <v>1414020021</v>
      </c>
      <c r="B989" s="158" t="s">
        <v>730</v>
      </c>
      <c r="C989" s="150" t="s">
        <v>100</v>
      </c>
      <c r="D989" s="150"/>
      <c r="E989" s="150" t="s">
        <v>83</v>
      </c>
      <c r="F989" s="150">
        <v>50000</v>
      </c>
      <c r="G989" s="150"/>
      <c r="H989" s="150"/>
      <c r="I989" s="150"/>
      <c r="J989" s="166"/>
      <c r="K989" s="166"/>
      <c r="L989" s="166"/>
      <c r="M989" s="166" t="s">
        <v>101</v>
      </c>
      <c r="N989" s="166" t="s">
        <v>852</v>
      </c>
      <c r="O989" s="150" t="s">
        <v>79</v>
      </c>
      <c r="P989" s="167" t="s">
        <v>80</v>
      </c>
      <c r="Q989" s="167">
        <v>170</v>
      </c>
      <c r="R989" s="167">
        <v>2000</v>
      </c>
      <c r="S989" s="167"/>
      <c r="T989" s="167"/>
      <c r="U989" s="167"/>
      <c r="V989" s="167"/>
      <c r="W989" s="167"/>
      <c r="X989" s="167"/>
      <c r="Y989" s="167"/>
      <c r="Z989" s="167"/>
      <c r="AA989" s="167"/>
      <c r="AB989" s="167"/>
      <c r="AC989" s="167"/>
      <c r="AD989" s="167"/>
      <c r="AE989" s="167"/>
      <c r="AF989" s="167"/>
      <c r="AG989" s="167"/>
      <c r="AH989" s="167"/>
      <c r="AI989" s="167"/>
      <c r="AJ989" s="167"/>
      <c r="AK989" s="167"/>
      <c r="AL989" s="167"/>
      <c r="AM989" s="167"/>
      <c r="AN989" s="167"/>
      <c r="AO989" s="167"/>
      <c r="AP989" s="167"/>
      <c r="AQ989" s="167"/>
      <c r="AR989" s="167"/>
      <c r="AS989" s="167"/>
      <c r="AT989" s="167"/>
      <c r="AU989" s="167"/>
      <c r="AV989" s="167"/>
      <c r="AW989" s="167"/>
      <c r="AX989" s="167"/>
      <c r="AY989" s="167"/>
      <c r="AZ989" s="167"/>
      <c r="BA989" s="167"/>
      <c r="BB989" s="167"/>
      <c r="BC989" s="167"/>
      <c r="BD989" s="167"/>
      <c r="BE989" s="167"/>
      <c r="BF989" s="167"/>
      <c r="BG989" s="167"/>
      <c r="BH989" s="167"/>
      <c r="BI989" s="167"/>
      <c r="BJ989" s="167"/>
      <c r="BK989" s="167"/>
      <c r="BL989" s="167"/>
      <c r="BM989" s="167"/>
      <c r="BN989" s="167"/>
      <c r="BO989" s="167"/>
      <c r="BP989" s="167"/>
      <c r="BQ989" s="167"/>
      <c r="BR989" s="167"/>
      <c r="BS989" s="167"/>
      <c r="BT989" s="167"/>
      <c r="BU989" s="167"/>
      <c r="BV989" s="167"/>
      <c r="BW989" s="167"/>
      <c r="BX989" s="167"/>
      <c r="BY989" s="175"/>
    </row>
    <row r="990" spans="1:77" s="18" customFormat="1" x14ac:dyDescent="0.15">
      <c r="A990" s="148">
        <v>1414020031</v>
      </c>
      <c r="B990" s="158" t="s">
        <v>730</v>
      </c>
      <c r="C990" s="150" t="s">
        <v>100</v>
      </c>
      <c r="D990" s="150"/>
      <c r="E990" s="150" t="s">
        <v>83</v>
      </c>
      <c r="F990" s="150">
        <v>50000</v>
      </c>
      <c r="G990" s="150"/>
      <c r="H990" s="150"/>
      <c r="I990" s="150"/>
      <c r="J990" s="166"/>
      <c r="K990" s="166"/>
      <c r="L990" s="166"/>
      <c r="M990" s="166" t="s">
        <v>101</v>
      </c>
      <c r="N990" s="166" t="s">
        <v>852</v>
      </c>
      <c r="O990" s="150" t="s">
        <v>79</v>
      </c>
      <c r="P990" s="167" t="s">
        <v>80</v>
      </c>
      <c r="Q990" s="167">
        <v>210</v>
      </c>
      <c r="R990" s="167">
        <v>2000</v>
      </c>
      <c r="S990" s="167"/>
      <c r="T990" s="167"/>
      <c r="U990" s="167"/>
      <c r="V990" s="167"/>
      <c r="W990" s="167"/>
      <c r="X990" s="167"/>
      <c r="Y990" s="167"/>
      <c r="Z990" s="167"/>
      <c r="AA990" s="167"/>
      <c r="AB990" s="167"/>
      <c r="AC990" s="167"/>
      <c r="AD990" s="167"/>
      <c r="AE990" s="167"/>
      <c r="AF990" s="167"/>
      <c r="AG990" s="167"/>
      <c r="AH990" s="167"/>
      <c r="AI990" s="167"/>
      <c r="AJ990" s="167"/>
      <c r="AK990" s="167"/>
      <c r="AL990" s="167"/>
      <c r="AM990" s="167"/>
      <c r="AN990" s="167"/>
      <c r="AO990" s="167"/>
      <c r="AP990" s="167"/>
      <c r="AQ990" s="167"/>
      <c r="AR990" s="167"/>
      <c r="AS990" s="167"/>
      <c r="AT990" s="167"/>
      <c r="AU990" s="167"/>
      <c r="AV990" s="167"/>
      <c r="AW990" s="167"/>
      <c r="AX990" s="167"/>
      <c r="AY990" s="167"/>
      <c r="AZ990" s="167"/>
      <c r="BA990" s="167"/>
      <c r="BB990" s="167"/>
      <c r="BC990" s="167"/>
      <c r="BD990" s="167"/>
      <c r="BE990" s="167"/>
      <c r="BF990" s="167"/>
      <c r="BG990" s="167"/>
      <c r="BH990" s="167"/>
      <c r="BI990" s="167"/>
      <c r="BJ990" s="167"/>
      <c r="BK990" s="167"/>
      <c r="BL990" s="167"/>
      <c r="BM990" s="167"/>
      <c r="BN990" s="167"/>
      <c r="BO990" s="167"/>
      <c r="BP990" s="167"/>
      <c r="BQ990" s="167"/>
      <c r="BR990" s="167"/>
      <c r="BS990" s="167"/>
      <c r="BT990" s="167"/>
      <c r="BU990" s="167"/>
      <c r="BV990" s="167"/>
      <c r="BW990" s="167"/>
      <c r="BX990" s="167"/>
      <c r="BY990" s="175"/>
    </row>
    <row r="991" spans="1:77" s="18" customFormat="1" x14ac:dyDescent="0.15">
      <c r="A991" s="148">
        <v>1414020041</v>
      </c>
      <c r="B991" s="158" t="s">
        <v>730</v>
      </c>
      <c r="C991" s="150" t="s">
        <v>100</v>
      </c>
      <c r="D991" s="150"/>
      <c r="E991" s="150" t="s">
        <v>83</v>
      </c>
      <c r="F991" s="150">
        <v>50000</v>
      </c>
      <c r="G991" s="150"/>
      <c r="H991" s="150"/>
      <c r="I991" s="150"/>
      <c r="J991" s="166"/>
      <c r="K991" s="166"/>
      <c r="L991" s="166"/>
      <c r="M991" s="166" t="s">
        <v>101</v>
      </c>
      <c r="N991" s="166" t="s">
        <v>852</v>
      </c>
      <c r="O991" s="150" t="s">
        <v>79</v>
      </c>
      <c r="P991" s="167" t="s">
        <v>80</v>
      </c>
      <c r="Q991" s="167">
        <v>250</v>
      </c>
      <c r="R991" s="167">
        <v>2000</v>
      </c>
      <c r="S991" s="167"/>
      <c r="T991" s="167"/>
      <c r="U991" s="167"/>
      <c r="V991" s="167"/>
      <c r="W991" s="167"/>
      <c r="X991" s="167"/>
      <c r="Y991" s="167"/>
      <c r="Z991" s="167"/>
      <c r="AA991" s="167"/>
      <c r="AB991" s="167"/>
      <c r="AC991" s="167"/>
      <c r="AD991" s="167"/>
      <c r="AE991" s="167"/>
      <c r="AF991" s="167"/>
      <c r="AG991" s="167"/>
      <c r="AH991" s="167"/>
      <c r="AI991" s="167"/>
      <c r="AJ991" s="167"/>
      <c r="AK991" s="167"/>
      <c r="AL991" s="167"/>
      <c r="AM991" s="167"/>
      <c r="AN991" s="167"/>
      <c r="AO991" s="167"/>
      <c r="AP991" s="167"/>
      <c r="AQ991" s="167"/>
      <c r="AR991" s="167"/>
      <c r="AS991" s="167"/>
      <c r="AT991" s="167"/>
      <c r="AU991" s="167"/>
      <c r="AV991" s="167"/>
      <c r="AW991" s="167"/>
      <c r="AX991" s="167"/>
      <c r="AY991" s="167"/>
      <c r="AZ991" s="167"/>
      <c r="BA991" s="167"/>
      <c r="BB991" s="167"/>
      <c r="BC991" s="167"/>
      <c r="BD991" s="167"/>
      <c r="BE991" s="167"/>
      <c r="BF991" s="167"/>
      <c r="BG991" s="167"/>
      <c r="BH991" s="167"/>
      <c r="BI991" s="167"/>
      <c r="BJ991" s="167"/>
      <c r="BK991" s="167"/>
      <c r="BL991" s="167"/>
      <c r="BM991" s="167"/>
      <c r="BN991" s="167"/>
      <c r="BO991" s="167"/>
      <c r="BP991" s="167"/>
      <c r="BQ991" s="167"/>
      <c r="BR991" s="167"/>
      <c r="BS991" s="167"/>
      <c r="BT991" s="167"/>
      <c r="BU991" s="167"/>
      <c r="BV991" s="167"/>
      <c r="BW991" s="167"/>
      <c r="BX991" s="167"/>
      <c r="BY991" s="175"/>
    </row>
    <row r="992" spans="1:77" s="18" customFormat="1" x14ac:dyDescent="0.15">
      <c r="A992" s="148">
        <v>1414020012</v>
      </c>
      <c r="B992" s="158" t="s">
        <v>731</v>
      </c>
      <c r="C992" s="150" t="s">
        <v>100</v>
      </c>
      <c r="D992" s="150"/>
      <c r="E992" s="150" t="s">
        <v>83</v>
      </c>
      <c r="F992" s="150">
        <v>50000</v>
      </c>
      <c r="G992" s="150"/>
      <c r="H992" s="150"/>
      <c r="I992" s="150"/>
      <c r="J992" s="166"/>
      <c r="K992" s="166"/>
      <c r="L992" s="166"/>
      <c r="M992" s="166" t="s">
        <v>101</v>
      </c>
      <c r="N992" s="166" t="s">
        <v>852</v>
      </c>
      <c r="O992" s="150" t="s">
        <v>90</v>
      </c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  <c r="AA992" s="167"/>
      <c r="AB992" s="167"/>
      <c r="AC992" s="167">
        <v>1414020201</v>
      </c>
      <c r="AD992" s="167">
        <v>1414020101</v>
      </c>
      <c r="AE992" s="167"/>
      <c r="AF992" s="167"/>
      <c r="AG992" s="167"/>
      <c r="AH992" s="167"/>
      <c r="AI992" s="167"/>
      <c r="AJ992" s="167"/>
      <c r="AK992" s="167"/>
      <c r="AL992" s="167"/>
      <c r="AM992" s="167"/>
      <c r="AN992" s="167"/>
      <c r="AO992" s="167"/>
      <c r="AP992" s="167"/>
      <c r="AQ992" s="167"/>
      <c r="AR992" s="167"/>
      <c r="AS992" s="167"/>
      <c r="AT992" s="167"/>
      <c r="AU992" s="167"/>
      <c r="AV992" s="167"/>
      <c r="AW992" s="167"/>
      <c r="AX992" s="167"/>
      <c r="AY992" s="167"/>
      <c r="AZ992" s="167"/>
      <c r="BA992" s="167"/>
      <c r="BB992" s="167"/>
      <c r="BC992" s="167"/>
      <c r="BD992" s="167"/>
      <c r="BE992" s="167"/>
      <c r="BF992" s="167"/>
      <c r="BG992" s="167"/>
      <c r="BH992" s="167"/>
      <c r="BI992" s="167"/>
      <c r="BJ992" s="167"/>
      <c r="BK992" s="167"/>
      <c r="BL992" s="167"/>
      <c r="BM992" s="167"/>
      <c r="BN992" s="167"/>
      <c r="BO992" s="167"/>
      <c r="BP992" s="167"/>
      <c r="BQ992" s="167"/>
      <c r="BR992" s="167"/>
      <c r="BS992" s="167"/>
      <c r="BT992" s="167"/>
      <c r="BU992" s="167"/>
      <c r="BV992" s="167"/>
      <c r="BW992" s="167"/>
      <c r="BX992" s="167"/>
      <c r="BY992" s="175"/>
    </row>
    <row r="993" spans="1:77" s="18" customFormat="1" x14ac:dyDescent="0.15">
      <c r="A993" s="148">
        <v>1414020022</v>
      </c>
      <c r="B993" s="158" t="s">
        <v>731</v>
      </c>
      <c r="C993" s="150" t="s">
        <v>100</v>
      </c>
      <c r="D993" s="150"/>
      <c r="E993" s="150" t="s">
        <v>83</v>
      </c>
      <c r="F993" s="150">
        <v>50000</v>
      </c>
      <c r="G993" s="150"/>
      <c r="H993" s="150"/>
      <c r="I993" s="150"/>
      <c r="J993" s="166"/>
      <c r="K993" s="166"/>
      <c r="L993" s="166"/>
      <c r="M993" s="166" t="s">
        <v>101</v>
      </c>
      <c r="N993" s="166" t="s">
        <v>852</v>
      </c>
      <c r="O993" s="150" t="s">
        <v>90</v>
      </c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  <c r="AA993" s="167"/>
      <c r="AB993" s="167"/>
      <c r="AC993" s="167">
        <v>1414020202</v>
      </c>
      <c r="AD993" s="167">
        <v>1414020102</v>
      </c>
      <c r="AE993" s="167"/>
      <c r="AF993" s="167"/>
      <c r="AG993" s="167"/>
      <c r="AH993" s="167"/>
      <c r="AI993" s="167"/>
      <c r="AJ993" s="167"/>
      <c r="AK993" s="167"/>
      <c r="AL993" s="167"/>
      <c r="AM993" s="167"/>
      <c r="AN993" s="167"/>
      <c r="AO993" s="167"/>
      <c r="AP993" s="167"/>
      <c r="AQ993" s="167"/>
      <c r="AR993" s="167"/>
      <c r="AS993" s="167"/>
      <c r="AT993" s="167"/>
      <c r="AU993" s="167"/>
      <c r="AV993" s="167"/>
      <c r="AW993" s="167"/>
      <c r="AX993" s="167"/>
      <c r="AY993" s="167"/>
      <c r="AZ993" s="167"/>
      <c r="BA993" s="167"/>
      <c r="BB993" s="167"/>
      <c r="BC993" s="167"/>
      <c r="BD993" s="167"/>
      <c r="BE993" s="167"/>
      <c r="BF993" s="167"/>
      <c r="BG993" s="167"/>
      <c r="BH993" s="167"/>
      <c r="BI993" s="167"/>
      <c r="BJ993" s="167"/>
      <c r="BK993" s="167"/>
      <c r="BL993" s="167"/>
      <c r="BM993" s="167"/>
      <c r="BN993" s="167"/>
      <c r="BO993" s="167"/>
      <c r="BP993" s="167"/>
      <c r="BQ993" s="167"/>
      <c r="BR993" s="167"/>
      <c r="BS993" s="167"/>
      <c r="BT993" s="167"/>
      <c r="BU993" s="167"/>
      <c r="BV993" s="167"/>
      <c r="BW993" s="167"/>
      <c r="BX993" s="167"/>
      <c r="BY993" s="175"/>
    </row>
    <row r="994" spans="1:77" s="18" customFormat="1" x14ac:dyDescent="0.15">
      <c r="A994" s="148">
        <v>1414020032</v>
      </c>
      <c r="B994" s="158" t="s">
        <v>731</v>
      </c>
      <c r="C994" s="150" t="s">
        <v>100</v>
      </c>
      <c r="D994" s="150"/>
      <c r="E994" s="150" t="s">
        <v>83</v>
      </c>
      <c r="F994" s="150">
        <v>50000</v>
      </c>
      <c r="G994" s="150"/>
      <c r="H994" s="150"/>
      <c r="I994" s="150"/>
      <c r="J994" s="166"/>
      <c r="K994" s="166"/>
      <c r="L994" s="166"/>
      <c r="M994" s="166" t="s">
        <v>101</v>
      </c>
      <c r="N994" s="166" t="s">
        <v>852</v>
      </c>
      <c r="O994" s="150" t="s">
        <v>90</v>
      </c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  <c r="AA994" s="167"/>
      <c r="AB994" s="167"/>
      <c r="AC994" s="167">
        <v>1414020203</v>
      </c>
      <c r="AD994" s="167">
        <v>1414020103</v>
      </c>
      <c r="AE994" s="167"/>
      <c r="AF994" s="167"/>
      <c r="AG994" s="167"/>
      <c r="AH994" s="167"/>
      <c r="AI994" s="167"/>
      <c r="AJ994" s="167"/>
      <c r="AK994" s="167"/>
      <c r="AL994" s="167"/>
      <c r="AM994" s="167"/>
      <c r="AN994" s="167"/>
      <c r="AO994" s="167"/>
      <c r="AP994" s="167"/>
      <c r="AQ994" s="167"/>
      <c r="AR994" s="167"/>
      <c r="AS994" s="167"/>
      <c r="AT994" s="167"/>
      <c r="AU994" s="167"/>
      <c r="AV994" s="167"/>
      <c r="AW994" s="167"/>
      <c r="AX994" s="167"/>
      <c r="AY994" s="167"/>
      <c r="AZ994" s="167"/>
      <c r="BA994" s="167"/>
      <c r="BB994" s="167"/>
      <c r="BC994" s="167"/>
      <c r="BD994" s="167"/>
      <c r="BE994" s="167"/>
      <c r="BF994" s="167"/>
      <c r="BG994" s="167"/>
      <c r="BH994" s="167"/>
      <c r="BI994" s="167"/>
      <c r="BJ994" s="167"/>
      <c r="BK994" s="167"/>
      <c r="BL994" s="167"/>
      <c r="BM994" s="167"/>
      <c r="BN994" s="167"/>
      <c r="BO994" s="167"/>
      <c r="BP994" s="167"/>
      <c r="BQ994" s="167"/>
      <c r="BR994" s="167"/>
      <c r="BS994" s="167"/>
      <c r="BT994" s="167"/>
      <c r="BU994" s="167"/>
      <c r="BV994" s="167"/>
      <c r="BW994" s="167"/>
      <c r="BX994" s="167"/>
      <c r="BY994" s="175"/>
    </row>
    <row r="995" spans="1:77" s="18" customFormat="1" x14ac:dyDescent="0.15">
      <c r="A995" s="148">
        <v>1414020042</v>
      </c>
      <c r="B995" s="158" t="s">
        <v>731</v>
      </c>
      <c r="C995" s="150" t="s">
        <v>100</v>
      </c>
      <c r="D995" s="150"/>
      <c r="E995" s="150" t="s">
        <v>83</v>
      </c>
      <c r="F995" s="150">
        <v>50000</v>
      </c>
      <c r="G995" s="150"/>
      <c r="H995" s="150"/>
      <c r="I995" s="150"/>
      <c r="J995" s="166"/>
      <c r="K995" s="166"/>
      <c r="L995" s="166"/>
      <c r="M995" s="166" t="s">
        <v>101</v>
      </c>
      <c r="N995" s="166" t="s">
        <v>852</v>
      </c>
      <c r="O995" s="150" t="s">
        <v>90</v>
      </c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  <c r="AA995" s="167"/>
      <c r="AB995" s="167"/>
      <c r="AC995" s="167">
        <v>1414020204</v>
      </c>
      <c r="AD995" s="167">
        <v>1414020104</v>
      </c>
      <c r="AE995" s="167"/>
      <c r="AF995" s="167"/>
      <c r="AG995" s="167"/>
      <c r="AH995" s="167"/>
      <c r="AI995" s="167"/>
      <c r="AJ995" s="167"/>
      <c r="AK995" s="167"/>
      <c r="AL995" s="167"/>
      <c r="AM995" s="167"/>
      <c r="AN995" s="167"/>
      <c r="AO995" s="167"/>
      <c r="AP995" s="167"/>
      <c r="AQ995" s="167"/>
      <c r="AR995" s="167"/>
      <c r="AS995" s="167"/>
      <c r="AT995" s="167"/>
      <c r="AU995" s="167"/>
      <c r="AV995" s="167"/>
      <c r="AW995" s="167"/>
      <c r="AX995" s="167"/>
      <c r="AY995" s="167"/>
      <c r="AZ995" s="167"/>
      <c r="BA995" s="167"/>
      <c r="BB995" s="167"/>
      <c r="BC995" s="167"/>
      <c r="BD995" s="167"/>
      <c r="BE995" s="167"/>
      <c r="BF995" s="167"/>
      <c r="BG995" s="167"/>
      <c r="BH995" s="167"/>
      <c r="BI995" s="167"/>
      <c r="BJ995" s="167"/>
      <c r="BK995" s="167"/>
      <c r="BL995" s="167"/>
      <c r="BM995" s="167"/>
      <c r="BN995" s="167"/>
      <c r="BO995" s="167"/>
      <c r="BP995" s="167"/>
      <c r="BQ995" s="167"/>
      <c r="BR995" s="167"/>
      <c r="BS995" s="167"/>
      <c r="BT995" s="167"/>
      <c r="BU995" s="167"/>
      <c r="BV995" s="167"/>
      <c r="BW995" s="167"/>
      <c r="BX995" s="167"/>
      <c r="BY995" s="175"/>
    </row>
    <row r="996" spans="1:77" s="18" customFormat="1" x14ac:dyDescent="0.15">
      <c r="A996" s="148">
        <v>1414020013</v>
      </c>
      <c r="B996" s="158" t="s">
        <v>732</v>
      </c>
      <c r="C996" s="150" t="s">
        <v>100</v>
      </c>
      <c r="D996" s="150"/>
      <c r="E996" s="150" t="s">
        <v>83</v>
      </c>
      <c r="F996" s="150">
        <v>50000</v>
      </c>
      <c r="G996" s="150"/>
      <c r="H996" s="150"/>
      <c r="I996" s="150"/>
      <c r="J996" s="166"/>
      <c r="K996" s="166"/>
      <c r="L996" s="166"/>
      <c r="M996" s="166" t="s">
        <v>101</v>
      </c>
      <c r="N996" s="166" t="s">
        <v>852</v>
      </c>
      <c r="O996" s="150" t="s">
        <v>90</v>
      </c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  <c r="AA996" s="167"/>
      <c r="AB996" s="167"/>
      <c r="AC996" s="167">
        <v>1414020401</v>
      </c>
      <c r="AD996" s="167">
        <v>1414020301</v>
      </c>
      <c r="AE996" s="167"/>
      <c r="AF996" s="167"/>
      <c r="AG996" s="167"/>
      <c r="AH996" s="167"/>
      <c r="AI996" s="167"/>
      <c r="AJ996" s="167"/>
      <c r="AK996" s="167"/>
      <c r="AL996" s="167"/>
      <c r="AM996" s="167"/>
      <c r="AN996" s="167"/>
      <c r="AO996" s="167"/>
      <c r="AP996" s="167"/>
      <c r="AQ996" s="167"/>
      <c r="AR996" s="167"/>
      <c r="AS996" s="167"/>
      <c r="AT996" s="167"/>
      <c r="AU996" s="167"/>
      <c r="AV996" s="167"/>
      <c r="AW996" s="167"/>
      <c r="AX996" s="167"/>
      <c r="AY996" s="167"/>
      <c r="AZ996" s="167"/>
      <c r="BA996" s="167"/>
      <c r="BB996" s="167"/>
      <c r="BC996" s="167"/>
      <c r="BD996" s="167"/>
      <c r="BE996" s="167"/>
      <c r="BF996" s="167"/>
      <c r="BG996" s="167"/>
      <c r="BH996" s="167"/>
      <c r="BI996" s="167"/>
      <c r="BJ996" s="167"/>
      <c r="BK996" s="167"/>
      <c r="BL996" s="167"/>
      <c r="BM996" s="167"/>
      <c r="BN996" s="167"/>
      <c r="BO996" s="167"/>
      <c r="BP996" s="167"/>
      <c r="BQ996" s="167"/>
      <c r="BR996" s="167"/>
      <c r="BS996" s="167"/>
      <c r="BT996" s="167"/>
      <c r="BU996" s="167"/>
      <c r="BV996" s="167"/>
      <c r="BW996" s="167"/>
      <c r="BX996" s="167"/>
      <c r="BY996" s="175"/>
    </row>
    <row r="997" spans="1:77" s="18" customFormat="1" x14ac:dyDescent="0.15">
      <c r="A997" s="148">
        <v>1414020023</v>
      </c>
      <c r="B997" s="158" t="s">
        <v>732</v>
      </c>
      <c r="C997" s="150" t="s">
        <v>100</v>
      </c>
      <c r="D997" s="150"/>
      <c r="E997" s="150" t="s">
        <v>83</v>
      </c>
      <c r="F997" s="150">
        <v>50000</v>
      </c>
      <c r="G997" s="150"/>
      <c r="H997" s="150"/>
      <c r="I997" s="150"/>
      <c r="J997" s="166"/>
      <c r="K997" s="166"/>
      <c r="L997" s="166"/>
      <c r="M997" s="166" t="s">
        <v>101</v>
      </c>
      <c r="N997" s="166" t="s">
        <v>852</v>
      </c>
      <c r="O997" s="150" t="s">
        <v>90</v>
      </c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  <c r="AA997" s="167"/>
      <c r="AB997" s="167"/>
      <c r="AC997" s="167">
        <v>1414020402</v>
      </c>
      <c r="AD997" s="167">
        <v>1414020302</v>
      </c>
      <c r="AE997" s="167"/>
      <c r="AF997" s="167"/>
      <c r="AG997" s="167"/>
      <c r="AH997" s="167"/>
      <c r="AI997" s="167"/>
      <c r="AJ997" s="167"/>
      <c r="AK997" s="167"/>
      <c r="AL997" s="167"/>
      <c r="AM997" s="167"/>
      <c r="AN997" s="167"/>
      <c r="AO997" s="167"/>
      <c r="AP997" s="167"/>
      <c r="AQ997" s="167"/>
      <c r="AR997" s="167"/>
      <c r="AS997" s="167"/>
      <c r="AT997" s="167"/>
      <c r="AU997" s="167"/>
      <c r="AV997" s="167"/>
      <c r="AW997" s="167"/>
      <c r="AX997" s="167"/>
      <c r="AY997" s="167"/>
      <c r="AZ997" s="167"/>
      <c r="BA997" s="167"/>
      <c r="BB997" s="167"/>
      <c r="BC997" s="167"/>
      <c r="BD997" s="167"/>
      <c r="BE997" s="167"/>
      <c r="BF997" s="167"/>
      <c r="BG997" s="167"/>
      <c r="BH997" s="167"/>
      <c r="BI997" s="167"/>
      <c r="BJ997" s="167"/>
      <c r="BK997" s="167"/>
      <c r="BL997" s="167"/>
      <c r="BM997" s="167"/>
      <c r="BN997" s="167"/>
      <c r="BO997" s="167"/>
      <c r="BP997" s="167"/>
      <c r="BQ997" s="167"/>
      <c r="BR997" s="167"/>
      <c r="BS997" s="167"/>
      <c r="BT997" s="167"/>
      <c r="BU997" s="167"/>
      <c r="BV997" s="167"/>
      <c r="BW997" s="167"/>
      <c r="BX997" s="167"/>
      <c r="BY997" s="175"/>
    </row>
    <row r="998" spans="1:77" s="18" customFormat="1" x14ac:dyDescent="0.15">
      <c r="A998" s="148">
        <v>1414020033</v>
      </c>
      <c r="B998" s="158" t="s">
        <v>732</v>
      </c>
      <c r="C998" s="150" t="s">
        <v>100</v>
      </c>
      <c r="D998" s="150"/>
      <c r="E998" s="150" t="s">
        <v>83</v>
      </c>
      <c r="F998" s="150">
        <v>50000</v>
      </c>
      <c r="G998" s="150"/>
      <c r="H998" s="150"/>
      <c r="I998" s="150"/>
      <c r="J998" s="166"/>
      <c r="K998" s="166"/>
      <c r="L998" s="166"/>
      <c r="M998" s="166" t="s">
        <v>101</v>
      </c>
      <c r="N998" s="166" t="s">
        <v>852</v>
      </c>
      <c r="O998" s="150" t="s">
        <v>90</v>
      </c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  <c r="AA998" s="167"/>
      <c r="AB998" s="167"/>
      <c r="AC998" s="167">
        <v>1414020403</v>
      </c>
      <c r="AD998" s="167">
        <v>1414020303</v>
      </c>
      <c r="AE998" s="167"/>
      <c r="AF998" s="167"/>
      <c r="AG998" s="167"/>
      <c r="AH998" s="167"/>
      <c r="AI998" s="167"/>
      <c r="AJ998" s="167"/>
      <c r="AK998" s="167"/>
      <c r="AL998" s="167"/>
      <c r="AM998" s="167"/>
      <c r="AN998" s="167"/>
      <c r="AO998" s="167"/>
      <c r="AP998" s="167"/>
      <c r="AQ998" s="167"/>
      <c r="AR998" s="167"/>
      <c r="AS998" s="167"/>
      <c r="AT998" s="167"/>
      <c r="AU998" s="167"/>
      <c r="AV998" s="167"/>
      <c r="AW998" s="167"/>
      <c r="AX998" s="167"/>
      <c r="AY998" s="167"/>
      <c r="AZ998" s="167"/>
      <c r="BA998" s="167"/>
      <c r="BB998" s="167"/>
      <c r="BC998" s="167"/>
      <c r="BD998" s="167"/>
      <c r="BE998" s="167"/>
      <c r="BF998" s="167"/>
      <c r="BG998" s="167"/>
      <c r="BH998" s="167"/>
      <c r="BI998" s="167"/>
      <c r="BJ998" s="167"/>
      <c r="BK998" s="167"/>
      <c r="BL998" s="167"/>
      <c r="BM998" s="167"/>
      <c r="BN998" s="167"/>
      <c r="BO998" s="167"/>
      <c r="BP998" s="167"/>
      <c r="BQ998" s="167"/>
      <c r="BR998" s="167"/>
      <c r="BS998" s="167"/>
      <c r="BT998" s="167"/>
      <c r="BU998" s="167"/>
      <c r="BV998" s="167"/>
      <c r="BW998" s="167"/>
      <c r="BX998" s="167"/>
      <c r="BY998" s="175"/>
    </row>
    <row r="999" spans="1:77" s="18" customFormat="1" x14ac:dyDescent="0.15">
      <c r="A999" s="148">
        <v>1414020043</v>
      </c>
      <c r="B999" s="158" t="s">
        <v>732</v>
      </c>
      <c r="C999" s="150" t="s">
        <v>100</v>
      </c>
      <c r="D999" s="150"/>
      <c r="E999" s="150" t="s">
        <v>83</v>
      </c>
      <c r="F999" s="150">
        <v>50000</v>
      </c>
      <c r="G999" s="150"/>
      <c r="H999" s="150"/>
      <c r="I999" s="150"/>
      <c r="J999" s="166"/>
      <c r="K999" s="166"/>
      <c r="L999" s="166"/>
      <c r="M999" s="166" t="s">
        <v>101</v>
      </c>
      <c r="N999" s="166" t="s">
        <v>852</v>
      </c>
      <c r="O999" s="150" t="s">
        <v>90</v>
      </c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  <c r="AA999" s="167"/>
      <c r="AB999" s="167"/>
      <c r="AC999" s="167">
        <v>1414020404</v>
      </c>
      <c r="AD999" s="167">
        <v>1414020304</v>
      </c>
      <c r="AE999" s="167"/>
      <c r="AF999" s="167"/>
      <c r="AG999" s="167"/>
      <c r="AH999" s="167"/>
      <c r="AI999" s="167"/>
      <c r="AJ999" s="167"/>
      <c r="AK999" s="167"/>
      <c r="AL999" s="167"/>
      <c r="AM999" s="167"/>
      <c r="AN999" s="167"/>
      <c r="AO999" s="167"/>
      <c r="AP999" s="167"/>
      <c r="AQ999" s="167"/>
      <c r="AR999" s="167"/>
      <c r="AS999" s="167"/>
      <c r="AT999" s="167"/>
      <c r="AU999" s="167"/>
      <c r="AV999" s="167"/>
      <c r="AW999" s="167"/>
      <c r="AX999" s="167"/>
      <c r="AY999" s="167"/>
      <c r="AZ999" s="167"/>
      <c r="BA999" s="167"/>
      <c r="BB999" s="167"/>
      <c r="BC999" s="167"/>
      <c r="BD999" s="167"/>
      <c r="BE999" s="167"/>
      <c r="BF999" s="167"/>
      <c r="BG999" s="167"/>
      <c r="BH999" s="167"/>
      <c r="BI999" s="167"/>
      <c r="BJ999" s="167"/>
      <c r="BK999" s="167"/>
      <c r="BL999" s="167"/>
      <c r="BM999" s="167"/>
      <c r="BN999" s="167"/>
      <c r="BO999" s="167"/>
      <c r="BP999" s="167"/>
      <c r="BQ999" s="167"/>
      <c r="BR999" s="167"/>
      <c r="BS999" s="167"/>
      <c r="BT999" s="167"/>
      <c r="BU999" s="167"/>
      <c r="BV999" s="167"/>
      <c r="BW999" s="167"/>
      <c r="BX999" s="167"/>
      <c r="BY999" s="175"/>
    </row>
    <row r="1000" spans="1:77" s="18" customFormat="1" x14ac:dyDescent="0.15">
      <c r="A1000" s="148">
        <v>1414040011</v>
      </c>
      <c r="B1000" s="158" t="s">
        <v>733</v>
      </c>
      <c r="C1000" s="150" t="s">
        <v>112</v>
      </c>
      <c r="D1000" s="150"/>
      <c r="E1000" s="150" t="s">
        <v>85</v>
      </c>
      <c r="F1000" s="150">
        <v>200000</v>
      </c>
      <c r="G1000" s="150">
        <v>400000</v>
      </c>
      <c r="H1000" s="150"/>
      <c r="I1000" s="150"/>
      <c r="J1000" s="166"/>
      <c r="K1000" s="166"/>
      <c r="L1000" s="166"/>
      <c r="M1000" s="166" t="s">
        <v>101</v>
      </c>
      <c r="N1000" s="166"/>
      <c r="O1000" s="150" t="s">
        <v>90</v>
      </c>
      <c r="P1000" s="167"/>
      <c r="Q1000" s="167"/>
      <c r="R1000" s="167"/>
      <c r="S1000" s="167"/>
      <c r="T1000" s="167"/>
      <c r="U1000" s="167"/>
      <c r="V1000" s="167"/>
      <c r="W1000" s="167"/>
      <c r="X1000" s="167"/>
      <c r="Y1000" s="167"/>
      <c r="Z1000" s="167"/>
      <c r="AA1000" s="167"/>
      <c r="AB1000" s="167"/>
      <c r="AC1000" s="167">
        <v>1414040301</v>
      </c>
      <c r="AD1000" s="167">
        <v>1414040101</v>
      </c>
      <c r="AE1000" s="167"/>
      <c r="AF1000" s="167"/>
      <c r="AG1000" s="167"/>
      <c r="AH1000" s="167"/>
      <c r="AI1000" s="167"/>
      <c r="AJ1000" s="167"/>
      <c r="AK1000" s="167"/>
      <c r="AL1000" s="167"/>
      <c r="AM1000" s="167"/>
      <c r="AN1000" s="167"/>
      <c r="AO1000" s="167"/>
      <c r="AP1000" s="167"/>
      <c r="AQ1000" s="167"/>
      <c r="AR1000" s="167"/>
      <c r="AS1000" s="167"/>
      <c r="AT1000" s="167"/>
      <c r="AU1000" s="167"/>
      <c r="AV1000" s="167"/>
      <c r="AW1000" s="167"/>
      <c r="AX1000" s="167"/>
      <c r="AY1000" s="167"/>
      <c r="AZ1000" s="167"/>
      <c r="BA1000" s="167"/>
      <c r="BB1000" s="167"/>
      <c r="BC1000" s="167"/>
      <c r="BD1000" s="167"/>
      <c r="BE1000" s="167"/>
      <c r="BF1000" s="167"/>
      <c r="BG1000" s="167"/>
      <c r="BH1000" s="167"/>
      <c r="BI1000" s="167"/>
      <c r="BJ1000" s="167"/>
      <c r="BK1000" s="167"/>
      <c r="BL1000" s="167"/>
      <c r="BM1000" s="167"/>
      <c r="BN1000" s="167"/>
      <c r="BO1000" s="167"/>
      <c r="BP1000" s="167"/>
      <c r="BQ1000" s="167"/>
      <c r="BR1000" s="167"/>
      <c r="BS1000" s="167"/>
      <c r="BT1000" s="167"/>
      <c r="BU1000" s="167"/>
      <c r="BV1000" s="167"/>
      <c r="BW1000" s="167"/>
      <c r="BX1000" s="167"/>
      <c r="BY1000" s="175"/>
    </row>
    <row r="1001" spans="1:77" s="18" customFormat="1" x14ac:dyDescent="0.15">
      <c r="A1001" s="148">
        <v>1414040021</v>
      </c>
      <c r="B1001" s="158" t="s">
        <v>733</v>
      </c>
      <c r="C1001" s="150" t="s">
        <v>112</v>
      </c>
      <c r="D1001" s="150"/>
      <c r="E1001" s="150" t="s">
        <v>85</v>
      </c>
      <c r="F1001" s="150">
        <v>200000</v>
      </c>
      <c r="G1001" s="150">
        <v>400000</v>
      </c>
      <c r="H1001" s="150"/>
      <c r="I1001" s="150"/>
      <c r="J1001" s="166"/>
      <c r="K1001" s="166"/>
      <c r="L1001" s="166"/>
      <c r="M1001" s="166" t="s">
        <v>101</v>
      </c>
      <c r="N1001" s="166"/>
      <c r="O1001" s="150" t="s">
        <v>90</v>
      </c>
      <c r="P1001" s="167"/>
      <c r="Q1001" s="167"/>
      <c r="R1001" s="167"/>
      <c r="S1001" s="167"/>
      <c r="T1001" s="167"/>
      <c r="U1001" s="167"/>
      <c r="V1001" s="167"/>
      <c r="W1001" s="167"/>
      <c r="X1001" s="167"/>
      <c r="Y1001" s="167"/>
      <c r="Z1001" s="167"/>
      <c r="AA1001" s="167"/>
      <c r="AB1001" s="167"/>
      <c r="AC1001" s="167">
        <v>1414040302</v>
      </c>
      <c r="AD1001" s="167">
        <v>1414040102</v>
      </c>
      <c r="AE1001" s="167"/>
      <c r="AF1001" s="167"/>
      <c r="AG1001" s="167"/>
      <c r="AH1001" s="167"/>
      <c r="AI1001" s="167"/>
      <c r="AJ1001" s="167"/>
      <c r="AK1001" s="167"/>
      <c r="AL1001" s="167"/>
      <c r="AM1001" s="167"/>
      <c r="AN1001" s="167"/>
      <c r="AO1001" s="167"/>
      <c r="AP1001" s="167"/>
      <c r="AQ1001" s="167"/>
      <c r="AR1001" s="167"/>
      <c r="AS1001" s="167"/>
      <c r="AT1001" s="167"/>
      <c r="AU1001" s="167"/>
      <c r="AV1001" s="167"/>
      <c r="AW1001" s="167"/>
      <c r="AX1001" s="167"/>
      <c r="AY1001" s="167"/>
      <c r="AZ1001" s="167"/>
      <c r="BA1001" s="167"/>
      <c r="BB1001" s="167"/>
      <c r="BC1001" s="167"/>
      <c r="BD1001" s="167"/>
      <c r="BE1001" s="167"/>
      <c r="BF1001" s="167"/>
      <c r="BG1001" s="167"/>
      <c r="BH1001" s="167"/>
      <c r="BI1001" s="167"/>
      <c r="BJ1001" s="167"/>
      <c r="BK1001" s="167"/>
      <c r="BL1001" s="167"/>
      <c r="BM1001" s="167"/>
      <c r="BN1001" s="167"/>
      <c r="BO1001" s="167"/>
      <c r="BP1001" s="167"/>
      <c r="BQ1001" s="167"/>
      <c r="BR1001" s="167"/>
      <c r="BS1001" s="167"/>
      <c r="BT1001" s="167"/>
      <c r="BU1001" s="167"/>
      <c r="BV1001" s="167"/>
      <c r="BW1001" s="167"/>
      <c r="BX1001" s="167"/>
      <c r="BY1001" s="175"/>
    </row>
    <row r="1002" spans="1:77" s="18" customFormat="1" x14ac:dyDescent="0.15">
      <c r="A1002" s="148">
        <v>1414040012</v>
      </c>
      <c r="B1002" s="158" t="s">
        <v>734</v>
      </c>
      <c r="C1002" s="150" t="s">
        <v>100</v>
      </c>
      <c r="D1002" s="150"/>
      <c r="E1002" s="150" t="s">
        <v>85</v>
      </c>
      <c r="F1002" s="150">
        <v>200000</v>
      </c>
      <c r="G1002" s="150">
        <v>400000</v>
      </c>
      <c r="H1002" s="150"/>
      <c r="I1002" s="150"/>
      <c r="J1002" s="166"/>
      <c r="K1002" s="166"/>
      <c r="L1002" s="166"/>
      <c r="M1002" s="166" t="s">
        <v>101</v>
      </c>
      <c r="N1002" s="166"/>
      <c r="O1002" s="150" t="s">
        <v>90</v>
      </c>
      <c r="P1002" s="167"/>
      <c r="Q1002" s="167"/>
      <c r="R1002" s="167"/>
      <c r="S1002" s="167"/>
      <c r="T1002" s="167"/>
      <c r="U1002" s="167"/>
      <c r="V1002" s="167"/>
      <c r="W1002" s="167"/>
      <c r="X1002" s="167"/>
      <c r="Y1002" s="167"/>
      <c r="Z1002" s="167"/>
      <c r="AA1002" s="167"/>
      <c r="AB1002" s="167"/>
      <c r="AC1002" s="167">
        <v>1414040201</v>
      </c>
      <c r="AD1002" s="167">
        <v>1414040201</v>
      </c>
      <c r="AE1002" s="167"/>
      <c r="AF1002" s="167"/>
      <c r="AG1002" s="167"/>
      <c r="AH1002" s="167"/>
      <c r="AI1002" s="167"/>
      <c r="AJ1002" s="167"/>
      <c r="AK1002" s="167"/>
      <c r="AL1002" s="167"/>
      <c r="AM1002" s="167"/>
      <c r="AN1002" s="167"/>
      <c r="AO1002" s="167"/>
      <c r="AP1002" s="167"/>
      <c r="AQ1002" s="167"/>
      <c r="AR1002" s="167"/>
      <c r="AS1002" s="167"/>
      <c r="AT1002" s="167"/>
      <c r="AU1002" s="167"/>
      <c r="AV1002" s="167"/>
      <c r="AW1002" s="167"/>
      <c r="AX1002" s="167"/>
      <c r="AY1002" s="167"/>
      <c r="AZ1002" s="167"/>
      <c r="BA1002" s="167"/>
      <c r="BB1002" s="167"/>
      <c r="BC1002" s="167"/>
      <c r="BD1002" s="167"/>
      <c r="BE1002" s="167"/>
      <c r="BF1002" s="167"/>
      <c r="BG1002" s="167"/>
      <c r="BH1002" s="167"/>
      <c r="BI1002" s="167"/>
      <c r="BJ1002" s="167"/>
      <c r="BK1002" s="167"/>
      <c r="BL1002" s="167"/>
      <c r="BM1002" s="167"/>
      <c r="BN1002" s="167"/>
      <c r="BO1002" s="167"/>
      <c r="BP1002" s="167"/>
      <c r="BQ1002" s="167"/>
      <c r="BR1002" s="167"/>
      <c r="BS1002" s="167"/>
      <c r="BT1002" s="167"/>
      <c r="BU1002" s="167"/>
      <c r="BV1002" s="167"/>
      <c r="BW1002" s="167"/>
      <c r="BX1002" s="167"/>
      <c r="BY1002" s="175"/>
    </row>
    <row r="1003" spans="1:77" s="18" customFormat="1" x14ac:dyDescent="0.15">
      <c r="A1003" s="148">
        <v>1414040022</v>
      </c>
      <c r="B1003" s="158" t="s">
        <v>734</v>
      </c>
      <c r="C1003" s="150" t="s">
        <v>100</v>
      </c>
      <c r="D1003" s="150"/>
      <c r="E1003" s="150" t="s">
        <v>85</v>
      </c>
      <c r="F1003" s="150">
        <v>200000</v>
      </c>
      <c r="G1003" s="150">
        <v>400000</v>
      </c>
      <c r="H1003" s="150"/>
      <c r="I1003" s="150"/>
      <c r="J1003" s="166"/>
      <c r="K1003" s="166"/>
      <c r="L1003" s="166"/>
      <c r="M1003" s="166" t="s">
        <v>101</v>
      </c>
      <c r="N1003" s="166"/>
      <c r="O1003" s="150" t="s">
        <v>90</v>
      </c>
      <c r="P1003" s="167"/>
      <c r="Q1003" s="167"/>
      <c r="R1003" s="167"/>
      <c r="S1003" s="167"/>
      <c r="T1003" s="167"/>
      <c r="U1003" s="167"/>
      <c r="V1003" s="167"/>
      <c r="W1003" s="167"/>
      <c r="X1003" s="167"/>
      <c r="Y1003" s="167"/>
      <c r="Z1003" s="167"/>
      <c r="AA1003" s="167"/>
      <c r="AB1003" s="167"/>
      <c r="AC1003" s="167">
        <v>1414040202</v>
      </c>
      <c r="AD1003" s="167">
        <v>1414040202</v>
      </c>
      <c r="AE1003" s="167"/>
      <c r="AF1003" s="167"/>
      <c r="AG1003" s="167"/>
      <c r="AH1003" s="167"/>
      <c r="AI1003" s="167"/>
      <c r="AJ1003" s="167"/>
      <c r="AK1003" s="167"/>
      <c r="AL1003" s="167"/>
      <c r="AM1003" s="167"/>
      <c r="AN1003" s="167"/>
      <c r="AO1003" s="167"/>
      <c r="AP1003" s="167"/>
      <c r="AQ1003" s="167"/>
      <c r="AR1003" s="167"/>
      <c r="AS1003" s="167"/>
      <c r="AT1003" s="167"/>
      <c r="AU1003" s="167"/>
      <c r="AV1003" s="167"/>
      <c r="AW1003" s="167"/>
      <c r="AX1003" s="167"/>
      <c r="AY1003" s="167"/>
      <c r="AZ1003" s="167"/>
      <c r="BA1003" s="167"/>
      <c r="BB1003" s="167"/>
      <c r="BC1003" s="167"/>
      <c r="BD1003" s="167"/>
      <c r="BE1003" s="167"/>
      <c r="BF1003" s="167"/>
      <c r="BG1003" s="167"/>
      <c r="BH1003" s="167"/>
      <c r="BI1003" s="167"/>
      <c r="BJ1003" s="167"/>
      <c r="BK1003" s="167"/>
      <c r="BL1003" s="167"/>
      <c r="BM1003" s="167"/>
      <c r="BN1003" s="167"/>
      <c r="BO1003" s="167"/>
      <c r="BP1003" s="167"/>
      <c r="BQ1003" s="167"/>
      <c r="BR1003" s="167"/>
      <c r="BS1003" s="167"/>
      <c r="BT1003" s="167"/>
      <c r="BU1003" s="167"/>
      <c r="BV1003" s="167"/>
      <c r="BW1003" s="167"/>
      <c r="BX1003" s="167"/>
      <c r="BY1003" s="175"/>
    </row>
    <row r="1004" spans="1:77" s="14" customFormat="1" x14ac:dyDescent="0.15">
      <c r="A1004" s="151">
        <v>1415001011</v>
      </c>
      <c r="B1004" s="152" t="s">
        <v>735</v>
      </c>
      <c r="C1004" s="153" t="s">
        <v>77</v>
      </c>
      <c r="D1004" s="153"/>
      <c r="E1004" s="153" t="s">
        <v>78</v>
      </c>
      <c r="F1004" s="153"/>
      <c r="G1004" s="153"/>
      <c r="H1004" s="153"/>
      <c r="I1004" s="153"/>
      <c r="J1004" s="162"/>
      <c r="K1004" s="162"/>
      <c r="L1004" s="162"/>
      <c r="M1004" s="162"/>
      <c r="N1004" s="162"/>
      <c r="O1004" s="153" t="s">
        <v>79</v>
      </c>
      <c r="P1004" s="163" t="s">
        <v>80</v>
      </c>
      <c r="Q1004" s="163"/>
      <c r="R1004" s="163">
        <v>10000</v>
      </c>
      <c r="S1004" s="163"/>
      <c r="T1004" s="163">
        <v>10000</v>
      </c>
      <c r="U1004" s="163"/>
      <c r="V1004" s="163" t="s">
        <v>101</v>
      </c>
      <c r="W1004" s="163"/>
      <c r="X1004" s="163"/>
      <c r="Y1004" s="163"/>
      <c r="Z1004" s="163"/>
      <c r="AA1004" s="163"/>
      <c r="AB1004" s="163"/>
      <c r="AC1004" s="163"/>
      <c r="AD1004" s="163"/>
      <c r="AE1004" s="163"/>
      <c r="AF1004" s="163"/>
      <c r="AG1004" s="163"/>
      <c r="AH1004" s="163"/>
      <c r="AI1004" s="163"/>
      <c r="AJ1004" s="163"/>
      <c r="AK1004" s="163"/>
      <c r="AL1004" s="163"/>
      <c r="AM1004" s="163"/>
      <c r="AN1004" s="163"/>
      <c r="AO1004" s="163"/>
      <c r="AP1004" s="163"/>
      <c r="AQ1004" s="163"/>
      <c r="AR1004" s="163"/>
      <c r="AS1004" s="163"/>
      <c r="AT1004" s="163"/>
      <c r="AU1004" s="163"/>
      <c r="AV1004" s="163"/>
      <c r="AW1004" s="163"/>
      <c r="AX1004" s="163"/>
      <c r="AY1004" s="163"/>
      <c r="AZ1004" s="163"/>
      <c r="BA1004" s="163"/>
      <c r="BB1004" s="163"/>
      <c r="BC1004" s="163"/>
      <c r="BD1004" s="163"/>
      <c r="BE1004" s="163"/>
      <c r="BF1004" s="163"/>
      <c r="BG1004" s="163"/>
      <c r="BH1004" s="163"/>
      <c r="BI1004" s="163"/>
      <c r="BJ1004" s="163"/>
      <c r="BK1004" s="163"/>
      <c r="BL1004" s="163"/>
      <c r="BM1004" s="163"/>
      <c r="BN1004" s="163"/>
      <c r="BO1004" s="163"/>
      <c r="BP1004" s="163"/>
      <c r="BQ1004" s="163"/>
      <c r="BR1004" s="163"/>
      <c r="BS1004" s="163"/>
      <c r="BT1004" s="163"/>
      <c r="BU1004" s="163"/>
      <c r="BV1004" s="163"/>
      <c r="BW1004" s="163"/>
      <c r="BX1004" s="163"/>
      <c r="BY1004" s="171"/>
    </row>
    <row r="1005" spans="1:77" s="14" customFormat="1" x14ac:dyDescent="0.15">
      <c r="A1005" s="151">
        <v>1415200011</v>
      </c>
      <c r="B1005" s="152" t="s">
        <v>736</v>
      </c>
      <c r="C1005" s="153" t="s">
        <v>89</v>
      </c>
      <c r="D1005" s="153"/>
      <c r="E1005" s="153" t="s">
        <v>78</v>
      </c>
      <c r="F1005" s="153"/>
      <c r="G1005" s="153"/>
      <c r="H1005" s="153"/>
      <c r="I1005" s="153"/>
      <c r="J1005" s="162"/>
      <c r="K1005" s="162"/>
      <c r="L1005" s="162"/>
      <c r="M1005" s="162"/>
      <c r="N1005" s="162"/>
      <c r="O1005" s="153" t="s">
        <v>90</v>
      </c>
      <c r="P1005" s="163"/>
      <c r="Q1005" s="163"/>
      <c r="R1005" s="163"/>
      <c r="S1005" s="163"/>
      <c r="T1005" s="163"/>
      <c r="U1005" s="163"/>
      <c r="V1005" s="163"/>
      <c r="W1005" s="163"/>
      <c r="X1005" s="163"/>
      <c r="Y1005" s="163"/>
      <c r="Z1005" s="163"/>
      <c r="AA1005" s="163"/>
      <c r="AB1005" s="163"/>
      <c r="AC1005" s="163"/>
      <c r="AD1005" s="163">
        <v>1415200101</v>
      </c>
      <c r="AE1005" s="163"/>
      <c r="AF1005" s="163"/>
      <c r="AG1005" s="163"/>
      <c r="AH1005" s="163"/>
      <c r="AI1005" s="163"/>
      <c r="AJ1005" s="163"/>
      <c r="AK1005" s="163"/>
      <c r="AL1005" s="163"/>
      <c r="AM1005" s="163"/>
      <c r="AN1005" s="163"/>
      <c r="AO1005" s="163"/>
      <c r="AP1005" s="163"/>
      <c r="AQ1005" s="163"/>
      <c r="AR1005" s="163"/>
      <c r="AS1005" s="163"/>
      <c r="AT1005" s="163"/>
      <c r="AU1005" s="163"/>
      <c r="AV1005" s="163"/>
      <c r="AW1005" s="163"/>
      <c r="AX1005" s="163"/>
      <c r="AY1005" s="163"/>
      <c r="AZ1005" s="163"/>
      <c r="BA1005" s="163"/>
      <c r="BB1005" s="163"/>
      <c r="BC1005" s="163"/>
      <c r="BD1005" s="163"/>
      <c r="BE1005" s="163"/>
      <c r="BF1005" s="163"/>
      <c r="BG1005" s="163"/>
      <c r="BH1005" s="163"/>
      <c r="BI1005" s="163"/>
      <c r="BJ1005" s="163"/>
      <c r="BK1005" s="163"/>
      <c r="BL1005" s="163"/>
      <c r="BM1005" s="163"/>
      <c r="BN1005" s="163"/>
      <c r="BO1005" s="163"/>
      <c r="BP1005" s="163"/>
      <c r="BQ1005" s="163"/>
      <c r="BR1005" s="163"/>
      <c r="BS1005" s="163"/>
      <c r="BT1005" s="163"/>
      <c r="BU1005" s="163"/>
      <c r="BV1005" s="163"/>
      <c r="BW1005" s="163"/>
      <c r="BX1005" s="163"/>
      <c r="BY1005" s="171"/>
    </row>
    <row r="1006" spans="1:77" s="14" customFormat="1" x14ac:dyDescent="0.15">
      <c r="A1006" s="151">
        <v>1415200012</v>
      </c>
      <c r="B1006" s="152" t="s">
        <v>737</v>
      </c>
      <c r="C1006" s="153" t="s">
        <v>89</v>
      </c>
      <c r="D1006" s="153"/>
      <c r="E1006" s="153" t="s">
        <v>78</v>
      </c>
      <c r="F1006" s="153"/>
      <c r="G1006" s="153"/>
      <c r="H1006" s="153"/>
      <c r="I1006" s="153"/>
      <c r="J1006" s="162"/>
      <c r="K1006" s="162"/>
      <c r="L1006" s="162"/>
      <c r="M1006" s="162"/>
      <c r="N1006" s="162"/>
      <c r="O1006" s="153" t="s">
        <v>90</v>
      </c>
      <c r="P1006" s="163"/>
      <c r="Q1006" s="163"/>
      <c r="R1006" s="163"/>
      <c r="S1006" s="163"/>
      <c r="T1006" s="163"/>
      <c r="U1006" s="163"/>
      <c r="V1006" s="163"/>
      <c r="W1006" s="163"/>
      <c r="X1006" s="163"/>
      <c r="Y1006" s="163"/>
      <c r="Z1006" s="163"/>
      <c r="AA1006" s="163"/>
      <c r="AB1006" s="163"/>
      <c r="AC1006" s="163"/>
      <c r="AD1006" s="163">
        <v>1415200201</v>
      </c>
      <c r="AE1006" s="163"/>
      <c r="AF1006" s="163"/>
      <c r="AG1006" s="163"/>
      <c r="AH1006" s="163"/>
      <c r="AI1006" s="163"/>
      <c r="AJ1006" s="163"/>
      <c r="AK1006" s="163"/>
      <c r="AL1006" s="163"/>
      <c r="AM1006" s="163"/>
      <c r="AN1006" s="163"/>
      <c r="AO1006" s="163"/>
      <c r="AP1006" s="163"/>
      <c r="AQ1006" s="163"/>
      <c r="AR1006" s="163"/>
      <c r="AS1006" s="163"/>
      <c r="AT1006" s="163"/>
      <c r="AU1006" s="163"/>
      <c r="AV1006" s="163"/>
      <c r="AW1006" s="163"/>
      <c r="AX1006" s="163"/>
      <c r="AY1006" s="163"/>
      <c r="AZ1006" s="163"/>
      <c r="BA1006" s="163"/>
      <c r="BB1006" s="163"/>
      <c r="BC1006" s="163"/>
      <c r="BD1006" s="163"/>
      <c r="BE1006" s="163"/>
      <c r="BF1006" s="163"/>
      <c r="BG1006" s="163"/>
      <c r="BH1006" s="163"/>
      <c r="BI1006" s="163"/>
      <c r="BJ1006" s="163"/>
      <c r="BK1006" s="163"/>
      <c r="BL1006" s="163"/>
      <c r="BM1006" s="163"/>
      <c r="BN1006" s="163"/>
      <c r="BO1006" s="163"/>
      <c r="BP1006" s="163"/>
      <c r="BQ1006" s="163"/>
      <c r="BR1006" s="163"/>
      <c r="BS1006" s="163"/>
      <c r="BT1006" s="163"/>
      <c r="BU1006" s="163"/>
      <c r="BV1006" s="163"/>
      <c r="BW1006" s="163"/>
      <c r="BX1006" s="163"/>
      <c r="BY1006" s="171"/>
    </row>
    <row r="1007" spans="1:77" s="14" customFormat="1" x14ac:dyDescent="0.15">
      <c r="A1007" s="151">
        <v>1415200022</v>
      </c>
      <c r="B1007" s="152" t="s">
        <v>737</v>
      </c>
      <c r="C1007" s="153" t="s">
        <v>89</v>
      </c>
      <c r="D1007" s="153"/>
      <c r="E1007" s="153" t="s">
        <v>78</v>
      </c>
      <c r="F1007" s="153"/>
      <c r="G1007" s="153"/>
      <c r="H1007" s="153"/>
      <c r="I1007" s="153"/>
      <c r="J1007" s="162"/>
      <c r="K1007" s="162"/>
      <c r="L1007" s="162"/>
      <c r="M1007" s="162"/>
      <c r="N1007" s="162"/>
      <c r="O1007" s="153" t="s">
        <v>90</v>
      </c>
      <c r="P1007" s="163"/>
      <c r="Q1007" s="163"/>
      <c r="R1007" s="163"/>
      <c r="S1007" s="163"/>
      <c r="T1007" s="163"/>
      <c r="U1007" s="163"/>
      <c r="V1007" s="163"/>
      <c r="W1007" s="163"/>
      <c r="X1007" s="163"/>
      <c r="Y1007" s="163"/>
      <c r="Z1007" s="163"/>
      <c r="AA1007" s="163"/>
      <c r="AB1007" s="163"/>
      <c r="AC1007" s="163"/>
      <c r="AD1007" s="163">
        <v>1415200202</v>
      </c>
      <c r="AE1007" s="163"/>
      <c r="AF1007" s="163"/>
      <c r="AG1007" s="163"/>
      <c r="AH1007" s="163"/>
      <c r="AI1007" s="163"/>
      <c r="AJ1007" s="163"/>
      <c r="AK1007" s="163"/>
      <c r="AL1007" s="163"/>
      <c r="AM1007" s="163"/>
      <c r="AN1007" s="163"/>
      <c r="AO1007" s="163"/>
      <c r="AP1007" s="163"/>
      <c r="AQ1007" s="163"/>
      <c r="AR1007" s="163"/>
      <c r="AS1007" s="163"/>
      <c r="AT1007" s="163"/>
      <c r="AU1007" s="163"/>
      <c r="AV1007" s="163"/>
      <c r="AW1007" s="163"/>
      <c r="AX1007" s="163"/>
      <c r="AY1007" s="163"/>
      <c r="AZ1007" s="163"/>
      <c r="BA1007" s="163"/>
      <c r="BB1007" s="163"/>
      <c r="BC1007" s="163"/>
      <c r="BD1007" s="163"/>
      <c r="BE1007" s="163"/>
      <c r="BF1007" s="163"/>
      <c r="BG1007" s="163"/>
      <c r="BH1007" s="163"/>
      <c r="BI1007" s="163"/>
      <c r="BJ1007" s="163"/>
      <c r="BK1007" s="163"/>
      <c r="BL1007" s="163"/>
      <c r="BM1007" s="163"/>
      <c r="BN1007" s="163"/>
      <c r="BO1007" s="163"/>
      <c r="BP1007" s="163"/>
      <c r="BQ1007" s="163"/>
      <c r="BR1007" s="163"/>
      <c r="BS1007" s="163"/>
      <c r="BT1007" s="163"/>
      <c r="BU1007" s="163"/>
      <c r="BV1007" s="163"/>
      <c r="BW1007" s="163"/>
      <c r="BX1007" s="163"/>
      <c r="BY1007" s="171"/>
    </row>
    <row r="1008" spans="1:77" s="14" customFormat="1" x14ac:dyDescent="0.15">
      <c r="A1008" s="151">
        <v>1415200032</v>
      </c>
      <c r="B1008" s="152" t="s">
        <v>737</v>
      </c>
      <c r="C1008" s="153" t="s">
        <v>89</v>
      </c>
      <c r="D1008" s="153"/>
      <c r="E1008" s="153" t="s">
        <v>78</v>
      </c>
      <c r="F1008" s="153"/>
      <c r="G1008" s="153"/>
      <c r="H1008" s="153"/>
      <c r="I1008" s="153"/>
      <c r="J1008" s="162"/>
      <c r="K1008" s="162"/>
      <c r="L1008" s="162"/>
      <c r="M1008" s="162"/>
      <c r="N1008" s="162"/>
      <c r="O1008" s="153" t="s">
        <v>90</v>
      </c>
      <c r="P1008" s="163"/>
      <c r="Q1008" s="163"/>
      <c r="R1008" s="163"/>
      <c r="S1008" s="163"/>
      <c r="T1008" s="163"/>
      <c r="U1008" s="163"/>
      <c r="V1008" s="163"/>
      <c r="W1008" s="163"/>
      <c r="X1008" s="163"/>
      <c r="Y1008" s="163"/>
      <c r="Z1008" s="163"/>
      <c r="AA1008" s="163"/>
      <c r="AB1008" s="163"/>
      <c r="AC1008" s="163"/>
      <c r="AD1008" s="163">
        <v>1415200203</v>
      </c>
      <c r="AE1008" s="163"/>
      <c r="AF1008" s="163"/>
      <c r="AG1008" s="163"/>
      <c r="AH1008" s="163"/>
      <c r="AI1008" s="163"/>
      <c r="AJ1008" s="163"/>
      <c r="AK1008" s="163"/>
      <c r="AL1008" s="163"/>
      <c r="AM1008" s="163"/>
      <c r="AN1008" s="163"/>
      <c r="AO1008" s="163"/>
      <c r="AP1008" s="163"/>
      <c r="AQ1008" s="163"/>
      <c r="AR1008" s="163"/>
      <c r="AS1008" s="163"/>
      <c r="AT1008" s="163"/>
      <c r="AU1008" s="163"/>
      <c r="AV1008" s="163"/>
      <c r="AW1008" s="163"/>
      <c r="AX1008" s="163"/>
      <c r="AY1008" s="163"/>
      <c r="AZ1008" s="163"/>
      <c r="BA1008" s="163"/>
      <c r="BB1008" s="163"/>
      <c r="BC1008" s="163"/>
      <c r="BD1008" s="163"/>
      <c r="BE1008" s="163"/>
      <c r="BF1008" s="163"/>
      <c r="BG1008" s="163"/>
      <c r="BH1008" s="163"/>
      <c r="BI1008" s="163"/>
      <c r="BJ1008" s="163"/>
      <c r="BK1008" s="163"/>
      <c r="BL1008" s="163"/>
      <c r="BM1008" s="163"/>
      <c r="BN1008" s="163"/>
      <c r="BO1008" s="163"/>
      <c r="BP1008" s="163"/>
      <c r="BQ1008" s="163"/>
      <c r="BR1008" s="163"/>
      <c r="BS1008" s="163"/>
      <c r="BT1008" s="163"/>
      <c r="BU1008" s="163"/>
      <c r="BV1008" s="163"/>
      <c r="BW1008" s="163"/>
      <c r="BX1008" s="163"/>
      <c r="BY1008" s="171"/>
    </row>
    <row r="1009" spans="1:77" s="14" customFormat="1" x14ac:dyDescent="0.15">
      <c r="A1009" s="151">
        <v>1415002011</v>
      </c>
      <c r="B1009" s="152" t="s">
        <v>738</v>
      </c>
      <c r="C1009" s="153" t="s">
        <v>77</v>
      </c>
      <c r="D1009" s="153"/>
      <c r="E1009" s="153" t="s">
        <v>78</v>
      </c>
      <c r="F1009" s="153"/>
      <c r="G1009" s="153"/>
      <c r="H1009" s="153"/>
      <c r="I1009" s="153"/>
      <c r="J1009" s="162"/>
      <c r="K1009" s="162"/>
      <c r="L1009" s="162"/>
      <c r="M1009" s="162" t="s">
        <v>101</v>
      </c>
      <c r="N1009" s="162" t="s">
        <v>842</v>
      </c>
      <c r="O1009" s="153" t="s">
        <v>79</v>
      </c>
      <c r="P1009" s="163" t="s">
        <v>102</v>
      </c>
      <c r="Q1009" s="163">
        <v>150</v>
      </c>
      <c r="R1009" s="163"/>
      <c r="S1009" s="163">
        <v>3000</v>
      </c>
      <c r="T1009" s="163"/>
      <c r="U1009" s="163"/>
      <c r="V1009" s="163"/>
      <c r="W1009" s="163"/>
      <c r="X1009" s="163"/>
      <c r="Y1009" s="163"/>
      <c r="Z1009" s="163"/>
      <c r="AA1009" s="163"/>
      <c r="AB1009" s="163"/>
      <c r="AC1009" s="163"/>
      <c r="AD1009" s="163"/>
      <c r="AE1009" s="163"/>
      <c r="AF1009" s="163"/>
      <c r="AG1009" s="163"/>
      <c r="AH1009" s="163"/>
      <c r="AI1009" s="163"/>
      <c r="AJ1009" s="163"/>
      <c r="AK1009" s="163"/>
      <c r="AL1009" s="163"/>
      <c r="AM1009" s="163"/>
      <c r="AN1009" s="163"/>
      <c r="AO1009" s="163"/>
      <c r="AP1009" s="163"/>
      <c r="AQ1009" s="163"/>
      <c r="AR1009" s="163"/>
      <c r="AS1009" s="163"/>
      <c r="AT1009" s="163"/>
      <c r="AU1009" s="163"/>
      <c r="AV1009" s="163"/>
      <c r="AW1009" s="163"/>
      <c r="AX1009" s="163"/>
      <c r="AY1009" s="163"/>
      <c r="AZ1009" s="163"/>
      <c r="BA1009" s="163"/>
      <c r="BB1009" s="163"/>
      <c r="BC1009" s="163"/>
      <c r="BD1009" s="163"/>
      <c r="BE1009" s="163"/>
      <c r="BF1009" s="163"/>
      <c r="BG1009" s="163"/>
      <c r="BH1009" s="163"/>
      <c r="BI1009" s="163"/>
      <c r="BJ1009" s="163"/>
      <c r="BK1009" s="163"/>
      <c r="BL1009" s="163"/>
      <c r="BM1009" s="163"/>
      <c r="BN1009" s="163"/>
      <c r="BO1009" s="163"/>
      <c r="BP1009" s="163"/>
      <c r="BQ1009" s="163"/>
      <c r="BR1009" s="163"/>
      <c r="BS1009" s="163"/>
      <c r="BT1009" s="163"/>
      <c r="BU1009" s="163"/>
      <c r="BV1009" s="163"/>
      <c r="BW1009" s="163"/>
      <c r="BX1009" s="163"/>
      <c r="BY1009" s="171"/>
    </row>
    <row r="1010" spans="1:77" s="14" customFormat="1" x14ac:dyDescent="0.15">
      <c r="A1010" s="151">
        <v>1415002021</v>
      </c>
      <c r="B1010" s="152" t="s">
        <v>738</v>
      </c>
      <c r="C1010" s="153" t="s">
        <v>77</v>
      </c>
      <c r="D1010" s="153"/>
      <c r="E1010" s="153" t="s">
        <v>78</v>
      </c>
      <c r="F1010" s="153"/>
      <c r="G1010" s="153"/>
      <c r="H1010" s="153"/>
      <c r="I1010" s="153"/>
      <c r="J1010" s="162"/>
      <c r="K1010" s="162"/>
      <c r="L1010" s="162"/>
      <c r="M1010" s="162" t="s">
        <v>101</v>
      </c>
      <c r="N1010" s="162" t="s">
        <v>842</v>
      </c>
      <c r="O1010" s="153" t="s">
        <v>79</v>
      </c>
      <c r="P1010" s="163" t="s">
        <v>102</v>
      </c>
      <c r="Q1010" s="163">
        <v>200</v>
      </c>
      <c r="R1010" s="163"/>
      <c r="S1010" s="163">
        <v>3000</v>
      </c>
      <c r="T1010" s="163"/>
      <c r="U1010" s="163"/>
      <c r="V1010" s="163"/>
      <c r="W1010" s="163"/>
      <c r="X1010" s="163"/>
      <c r="Y1010" s="163"/>
      <c r="Z1010" s="163"/>
      <c r="AA1010" s="163"/>
      <c r="AB1010" s="163"/>
      <c r="AC1010" s="163"/>
      <c r="AD1010" s="163"/>
      <c r="AE1010" s="163"/>
      <c r="AF1010" s="163"/>
      <c r="AG1010" s="163"/>
      <c r="AH1010" s="163"/>
      <c r="AI1010" s="163"/>
      <c r="AJ1010" s="163"/>
      <c r="AK1010" s="163"/>
      <c r="AL1010" s="163"/>
      <c r="AM1010" s="163"/>
      <c r="AN1010" s="163"/>
      <c r="AO1010" s="163"/>
      <c r="AP1010" s="163"/>
      <c r="AQ1010" s="163"/>
      <c r="AR1010" s="163"/>
      <c r="AS1010" s="163"/>
      <c r="AT1010" s="163"/>
      <c r="AU1010" s="163"/>
      <c r="AV1010" s="163"/>
      <c r="AW1010" s="163"/>
      <c r="AX1010" s="163"/>
      <c r="AY1010" s="163"/>
      <c r="AZ1010" s="163"/>
      <c r="BA1010" s="163"/>
      <c r="BB1010" s="163"/>
      <c r="BC1010" s="163"/>
      <c r="BD1010" s="163"/>
      <c r="BE1010" s="163"/>
      <c r="BF1010" s="163"/>
      <c r="BG1010" s="163"/>
      <c r="BH1010" s="163"/>
      <c r="BI1010" s="163"/>
      <c r="BJ1010" s="163"/>
      <c r="BK1010" s="163"/>
      <c r="BL1010" s="163"/>
      <c r="BM1010" s="163"/>
      <c r="BN1010" s="163"/>
      <c r="BO1010" s="163"/>
      <c r="BP1010" s="163"/>
      <c r="BQ1010" s="163"/>
      <c r="BR1010" s="163"/>
      <c r="BS1010" s="163"/>
      <c r="BT1010" s="163"/>
      <c r="BU1010" s="163"/>
      <c r="BV1010" s="163"/>
      <c r="BW1010" s="163"/>
      <c r="BX1010" s="163"/>
      <c r="BY1010" s="171"/>
    </row>
    <row r="1011" spans="1:77" s="14" customFormat="1" x14ac:dyDescent="0.15">
      <c r="A1011" s="151">
        <v>1415002031</v>
      </c>
      <c r="B1011" s="152" t="s">
        <v>738</v>
      </c>
      <c r="C1011" s="153" t="s">
        <v>77</v>
      </c>
      <c r="D1011" s="153"/>
      <c r="E1011" s="153" t="s">
        <v>78</v>
      </c>
      <c r="F1011" s="153"/>
      <c r="G1011" s="153"/>
      <c r="H1011" s="153"/>
      <c r="I1011" s="153"/>
      <c r="J1011" s="162"/>
      <c r="K1011" s="162"/>
      <c r="L1011" s="162"/>
      <c r="M1011" s="162" t="s">
        <v>101</v>
      </c>
      <c r="N1011" s="162" t="s">
        <v>842</v>
      </c>
      <c r="O1011" s="153" t="s">
        <v>79</v>
      </c>
      <c r="P1011" s="163" t="s">
        <v>102</v>
      </c>
      <c r="Q1011" s="163">
        <v>250</v>
      </c>
      <c r="R1011" s="163"/>
      <c r="S1011" s="163">
        <v>3000</v>
      </c>
      <c r="T1011" s="163"/>
      <c r="U1011" s="163"/>
      <c r="V1011" s="163"/>
      <c r="W1011" s="163"/>
      <c r="X1011" s="163"/>
      <c r="Y1011" s="163"/>
      <c r="Z1011" s="163"/>
      <c r="AA1011" s="163"/>
      <c r="AB1011" s="163"/>
      <c r="AC1011" s="163"/>
      <c r="AD1011" s="163"/>
      <c r="AE1011" s="163"/>
      <c r="AF1011" s="163"/>
      <c r="AG1011" s="163"/>
      <c r="AH1011" s="163"/>
      <c r="AI1011" s="163"/>
      <c r="AJ1011" s="163"/>
      <c r="AK1011" s="163"/>
      <c r="AL1011" s="163"/>
      <c r="AM1011" s="163"/>
      <c r="AN1011" s="163"/>
      <c r="AO1011" s="163"/>
      <c r="AP1011" s="163"/>
      <c r="AQ1011" s="163"/>
      <c r="AR1011" s="163"/>
      <c r="AS1011" s="163"/>
      <c r="AT1011" s="163"/>
      <c r="AU1011" s="163"/>
      <c r="AV1011" s="163"/>
      <c r="AW1011" s="163"/>
      <c r="AX1011" s="163"/>
      <c r="AY1011" s="163"/>
      <c r="AZ1011" s="163"/>
      <c r="BA1011" s="163"/>
      <c r="BB1011" s="163"/>
      <c r="BC1011" s="163"/>
      <c r="BD1011" s="163"/>
      <c r="BE1011" s="163"/>
      <c r="BF1011" s="163"/>
      <c r="BG1011" s="163"/>
      <c r="BH1011" s="163"/>
      <c r="BI1011" s="163"/>
      <c r="BJ1011" s="163"/>
      <c r="BK1011" s="163"/>
      <c r="BL1011" s="163"/>
      <c r="BM1011" s="163"/>
      <c r="BN1011" s="163"/>
      <c r="BO1011" s="163"/>
      <c r="BP1011" s="163"/>
      <c r="BQ1011" s="163"/>
      <c r="BR1011" s="163"/>
      <c r="BS1011" s="163"/>
      <c r="BT1011" s="163"/>
      <c r="BU1011" s="163"/>
      <c r="BV1011" s="163"/>
      <c r="BW1011" s="163"/>
      <c r="BX1011" s="163"/>
      <c r="BY1011" s="171"/>
    </row>
    <row r="1012" spans="1:77" s="14" customFormat="1" x14ac:dyDescent="0.15">
      <c r="A1012" s="151">
        <v>1415002012</v>
      </c>
      <c r="B1012" s="152" t="s">
        <v>739</v>
      </c>
      <c r="C1012" s="153" t="s">
        <v>100</v>
      </c>
      <c r="D1012" s="153"/>
      <c r="E1012" s="153" t="s">
        <v>83</v>
      </c>
      <c r="F1012" s="153">
        <v>50000</v>
      </c>
      <c r="G1012" s="153"/>
      <c r="H1012" s="153"/>
      <c r="I1012" s="153"/>
      <c r="J1012" s="162"/>
      <c r="K1012" s="162"/>
      <c r="L1012" s="162"/>
      <c r="M1012" s="162" t="s">
        <v>101</v>
      </c>
      <c r="N1012" s="162" t="s">
        <v>842</v>
      </c>
      <c r="O1012" s="153" t="s">
        <v>79</v>
      </c>
      <c r="P1012" s="163" t="s">
        <v>102</v>
      </c>
      <c r="Q1012" s="163">
        <v>150</v>
      </c>
      <c r="R1012" s="163"/>
      <c r="S1012" s="163">
        <v>3000</v>
      </c>
      <c r="T1012" s="163"/>
      <c r="U1012" s="163"/>
      <c r="V1012" s="163"/>
      <c r="W1012" s="163"/>
      <c r="X1012" s="163"/>
      <c r="Y1012" s="163"/>
      <c r="Z1012" s="163"/>
      <c r="AA1012" s="163"/>
      <c r="AB1012" s="163"/>
      <c r="AC1012" s="163"/>
      <c r="AD1012" s="163"/>
      <c r="AE1012" s="163"/>
      <c r="AF1012" s="163"/>
      <c r="AG1012" s="163"/>
      <c r="AH1012" s="163"/>
      <c r="AI1012" s="163"/>
      <c r="AJ1012" s="163"/>
      <c r="AK1012" s="163"/>
      <c r="AL1012" s="163"/>
      <c r="AM1012" s="163"/>
      <c r="AN1012" s="163"/>
      <c r="AO1012" s="163"/>
      <c r="AP1012" s="163"/>
      <c r="AQ1012" s="163"/>
      <c r="AR1012" s="163"/>
      <c r="AS1012" s="163"/>
      <c r="AT1012" s="163"/>
      <c r="AU1012" s="163"/>
      <c r="AV1012" s="163"/>
      <c r="AW1012" s="163"/>
      <c r="AX1012" s="163"/>
      <c r="AY1012" s="163"/>
      <c r="AZ1012" s="163"/>
      <c r="BA1012" s="163"/>
      <c r="BB1012" s="163"/>
      <c r="BC1012" s="163"/>
      <c r="BD1012" s="163"/>
      <c r="BE1012" s="163"/>
      <c r="BF1012" s="163"/>
      <c r="BG1012" s="163"/>
      <c r="BH1012" s="163"/>
      <c r="BI1012" s="163"/>
      <c r="BJ1012" s="163"/>
      <c r="BK1012" s="163"/>
      <c r="BL1012" s="163"/>
      <c r="BM1012" s="163"/>
      <c r="BN1012" s="163"/>
      <c r="BO1012" s="163"/>
      <c r="BP1012" s="163"/>
      <c r="BQ1012" s="163"/>
      <c r="BR1012" s="163"/>
      <c r="BS1012" s="163"/>
      <c r="BT1012" s="163"/>
      <c r="BU1012" s="163"/>
      <c r="BV1012" s="163"/>
      <c r="BW1012" s="163"/>
      <c r="BX1012" s="163"/>
      <c r="BY1012" s="171"/>
    </row>
    <row r="1013" spans="1:77" s="14" customFormat="1" x14ac:dyDescent="0.15">
      <c r="A1013" s="151">
        <v>1415002022</v>
      </c>
      <c r="B1013" s="152" t="s">
        <v>739</v>
      </c>
      <c r="C1013" s="153" t="s">
        <v>100</v>
      </c>
      <c r="D1013" s="153"/>
      <c r="E1013" s="153" t="s">
        <v>83</v>
      </c>
      <c r="F1013" s="153">
        <v>50000</v>
      </c>
      <c r="G1013" s="153"/>
      <c r="H1013" s="153"/>
      <c r="I1013" s="153"/>
      <c r="J1013" s="162"/>
      <c r="K1013" s="162"/>
      <c r="L1013" s="162"/>
      <c r="M1013" s="162" t="s">
        <v>101</v>
      </c>
      <c r="N1013" s="162" t="s">
        <v>842</v>
      </c>
      <c r="O1013" s="153" t="s">
        <v>79</v>
      </c>
      <c r="P1013" s="163" t="s">
        <v>102</v>
      </c>
      <c r="Q1013" s="163">
        <v>200</v>
      </c>
      <c r="R1013" s="163"/>
      <c r="S1013" s="163">
        <v>3000</v>
      </c>
      <c r="T1013" s="163"/>
      <c r="U1013" s="163"/>
      <c r="V1013" s="163"/>
      <c r="W1013" s="163"/>
      <c r="X1013" s="163"/>
      <c r="Y1013" s="163"/>
      <c r="Z1013" s="163"/>
      <c r="AA1013" s="163"/>
      <c r="AB1013" s="163"/>
      <c r="AC1013" s="163"/>
      <c r="AD1013" s="163"/>
      <c r="AE1013" s="163"/>
      <c r="AF1013" s="163"/>
      <c r="AG1013" s="163"/>
      <c r="AH1013" s="163"/>
      <c r="AI1013" s="163"/>
      <c r="AJ1013" s="163"/>
      <c r="AK1013" s="163"/>
      <c r="AL1013" s="163"/>
      <c r="AM1013" s="163"/>
      <c r="AN1013" s="163"/>
      <c r="AO1013" s="163"/>
      <c r="AP1013" s="163"/>
      <c r="AQ1013" s="163"/>
      <c r="AR1013" s="163"/>
      <c r="AS1013" s="163"/>
      <c r="AT1013" s="163"/>
      <c r="AU1013" s="163"/>
      <c r="AV1013" s="163"/>
      <c r="AW1013" s="163"/>
      <c r="AX1013" s="163"/>
      <c r="AY1013" s="163"/>
      <c r="AZ1013" s="163"/>
      <c r="BA1013" s="163"/>
      <c r="BB1013" s="163"/>
      <c r="BC1013" s="163"/>
      <c r="BD1013" s="163"/>
      <c r="BE1013" s="163"/>
      <c r="BF1013" s="163"/>
      <c r="BG1013" s="163"/>
      <c r="BH1013" s="163"/>
      <c r="BI1013" s="163"/>
      <c r="BJ1013" s="163"/>
      <c r="BK1013" s="163"/>
      <c r="BL1013" s="163"/>
      <c r="BM1013" s="163"/>
      <c r="BN1013" s="163"/>
      <c r="BO1013" s="163"/>
      <c r="BP1013" s="163"/>
      <c r="BQ1013" s="163"/>
      <c r="BR1013" s="163"/>
      <c r="BS1013" s="163"/>
      <c r="BT1013" s="163"/>
      <c r="BU1013" s="163"/>
      <c r="BV1013" s="163"/>
      <c r="BW1013" s="163"/>
      <c r="BX1013" s="163"/>
      <c r="BY1013" s="171"/>
    </row>
    <row r="1014" spans="1:77" s="14" customFormat="1" x14ac:dyDescent="0.15">
      <c r="A1014" s="151">
        <v>1415002032</v>
      </c>
      <c r="B1014" s="152" t="s">
        <v>739</v>
      </c>
      <c r="C1014" s="153" t="s">
        <v>100</v>
      </c>
      <c r="D1014" s="153"/>
      <c r="E1014" s="153" t="s">
        <v>83</v>
      </c>
      <c r="F1014" s="153">
        <v>50000</v>
      </c>
      <c r="G1014" s="153"/>
      <c r="H1014" s="153"/>
      <c r="I1014" s="153"/>
      <c r="J1014" s="162"/>
      <c r="K1014" s="162"/>
      <c r="L1014" s="162"/>
      <c r="M1014" s="162" t="s">
        <v>101</v>
      </c>
      <c r="N1014" s="162" t="s">
        <v>842</v>
      </c>
      <c r="O1014" s="153" t="s">
        <v>79</v>
      </c>
      <c r="P1014" s="163" t="s">
        <v>102</v>
      </c>
      <c r="Q1014" s="163">
        <v>250</v>
      </c>
      <c r="R1014" s="163"/>
      <c r="S1014" s="163">
        <v>3000</v>
      </c>
      <c r="T1014" s="163"/>
      <c r="U1014" s="163"/>
      <c r="V1014" s="163"/>
      <c r="W1014" s="163"/>
      <c r="X1014" s="163"/>
      <c r="Y1014" s="163"/>
      <c r="Z1014" s="163"/>
      <c r="AA1014" s="163"/>
      <c r="AB1014" s="163"/>
      <c r="AC1014" s="163"/>
      <c r="AD1014" s="163"/>
      <c r="AE1014" s="163"/>
      <c r="AF1014" s="163"/>
      <c r="AG1014" s="163"/>
      <c r="AH1014" s="163"/>
      <c r="AI1014" s="163"/>
      <c r="AJ1014" s="163"/>
      <c r="AK1014" s="163"/>
      <c r="AL1014" s="163"/>
      <c r="AM1014" s="163"/>
      <c r="AN1014" s="163"/>
      <c r="AO1014" s="163"/>
      <c r="AP1014" s="163"/>
      <c r="AQ1014" s="163"/>
      <c r="AR1014" s="163"/>
      <c r="AS1014" s="163"/>
      <c r="AT1014" s="163"/>
      <c r="AU1014" s="163"/>
      <c r="AV1014" s="163"/>
      <c r="AW1014" s="163"/>
      <c r="AX1014" s="163"/>
      <c r="AY1014" s="163"/>
      <c r="AZ1014" s="163"/>
      <c r="BA1014" s="163"/>
      <c r="BB1014" s="163"/>
      <c r="BC1014" s="163"/>
      <c r="BD1014" s="163"/>
      <c r="BE1014" s="163"/>
      <c r="BF1014" s="163"/>
      <c r="BG1014" s="163"/>
      <c r="BH1014" s="163"/>
      <c r="BI1014" s="163"/>
      <c r="BJ1014" s="163"/>
      <c r="BK1014" s="163"/>
      <c r="BL1014" s="163"/>
      <c r="BM1014" s="163"/>
      <c r="BN1014" s="163"/>
      <c r="BO1014" s="163"/>
      <c r="BP1014" s="163"/>
      <c r="BQ1014" s="163"/>
      <c r="BR1014" s="163"/>
      <c r="BS1014" s="163"/>
      <c r="BT1014" s="163"/>
      <c r="BU1014" s="163"/>
      <c r="BV1014" s="163"/>
      <c r="BW1014" s="163"/>
      <c r="BX1014" s="163"/>
      <c r="BY1014" s="171"/>
    </row>
    <row r="1015" spans="1:77" s="14" customFormat="1" x14ac:dyDescent="0.15">
      <c r="A1015" s="151">
        <v>1415002013</v>
      </c>
      <c r="B1015" s="152" t="s">
        <v>740</v>
      </c>
      <c r="C1015" s="153" t="s">
        <v>89</v>
      </c>
      <c r="D1015" s="153"/>
      <c r="E1015" s="153" t="s">
        <v>78</v>
      </c>
      <c r="F1015" s="153"/>
      <c r="G1015" s="153"/>
      <c r="H1015" s="153"/>
      <c r="I1015" s="153"/>
      <c r="J1015" s="162"/>
      <c r="K1015" s="162"/>
      <c r="L1015" s="162"/>
      <c r="M1015" s="162"/>
      <c r="N1015" s="162"/>
      <c r="O1015" s="153" t="s">
        <v>277</v>
      </c>
      <c r="P1015" s="163"/>
      <c r="Q1015" s="163"/>
      <c r="R1015" s="163"/>
      <c r="S1015" s="163"/>
      <c r="T1015" s="163"/>
      <c r="U1015" s="163"/>
      <c r="V1015" s="163"/>
      <c r="W1015" s="163"/>
      <c r="X1015" s="163"/>
      <c r="Y1015" s="163"/>
      <c r="Z1015" s="163"/>
      <c r="AA1015" s="163"/>
      <c r="AB1015" s="163"/>
      <c r="AC1015" s="163"/>
      <c r="AD1015" s="163" t="s">
        <v>655</v>
      </c>
      <c r="AE1015" s="163">
        <v>14152001</v>
      </c>
      <c r="AF1015" s="163"/>
      <c r="AG1015" s="163"/>
      <c r="AH1015" s="163"/>
      <c r="AI1015" s="163"/>
      <c r="AJ1015" s="163"/>
      <c r="AK1015" s="163"/>
      <c r="AL1015" s="163"/>
      <c r="AM1015" s="163"/>
      <c r="AN1015" s="163"/>
      <c r="AO1015" s="163"/>
      <c r="AP1015" s="163"/>
      <c r="AQ1015" s="163"/>
      <c r="AR1015" s="163"/>
      <c r="AS1015" s="163"/>
      <c r="AT1015" s="163"/>
      <c r="AU1015" s="163"/>
      <c r="AV1015" s="163"/>
      <c r="AW1015" s="163"/>
      <c r="AX1015" s="163"/>
      <c r="AY1015" s="163"/>
      <c r="AZ1015" s="163"/>
      <c r="BA1015" s="163"/>
      <c r="BB1015" s="163"/>
      <c r="BC1015" s="163"/>
      <c r="BD1015" s="163"/>
      <c r="BE1015" s="163"/>
      <c r="BF1015" s="163"/>
      <c r="BG1015" s="163"/>
      <c r="BH1015" s="163"/>
      <c r="BI1015" s="163"/>
      <c r="BJ1015" s="163"/>
      <c r="BK1015" s="163"/>
      <c r="BL1015" s="163"/>
      <c r="BM1015" s="163"/>
      <c r="BN1015" s="163"/>
      <c r="BO1015" s="163"/>
      <c r="BP1015" s="163"/>
      <c r="BQ1015" s="163"/>
      <c r="BR1015" s="163"/>
      <c r="BS1015" s="163"/>
      <c r="BT1015" s="163"/>
      <c r="BU1015" s="163"/>
      <c r="BV1015" s="163"/>
      <c r="BW1015" s="163"/>
      <c r="BX1015" s="163"/>
      <c r="BY1015" s="171"/>
    </row>
    <row r="1016" spans="1:77" s="14" customFormat="1" x14ac:dyDescent="0.15">
      <c r="A1016" s="151">
        <v>1415010011</v>
      </c>
      <c r="B1016" s="152" t="s">
        <v>741</v>
      </c>
      <c r="C1016" s="153" t="s">
        <v>100</v>
      </c>
      <c r="D1016" s="153"/>
      <c r="E1016" s="153" t="s">
        <v>85</v>
      </c>
      <c r="F1016" s="153">
        <v>100000</v>
      </c>
      <c r="G1016" s="153">
        <v>50000</v>
      </c>
      <c r="H1016" s="153"/>
      <c r="I1016" s="153"/>
      <c r="J1016" s="162"/>
      <c r="K1016" s="162"/>
      <c r="L1016" s="162"/>
      <c r="M1016" s="162" t="s">
        <v>101</v>
      </c>
      <c r="N1016" s="162"/>
      <c r="O1016" s="153" t="s">
        <v>79</v>
      </c>
      <c r="P1016" s="163" t="s">
        <v>102</v>
      </c>
      <c r="Q1016" s="163">
        <v>70</v>
      </c>
      <c r="R1016" s="163"/>
      <c r="S1016" s="163">
        <v>4000</v>
      </c>
      <c r="T1016" s="163"/>
      <c r="U1016" s="163">
        <v>5000</v>
      </c>
      <c r="V1016" s="163"/>
      <c r="W1016" s="163"/>
      <c r="X1016" s="163"/>
      <c r="Y1016" s="163"/>
      <c r="Z1016" s="163"/>
      <c r="AA1016" s="163"/>
      <c r="AB1016" s="163"/>
      <c r="AC1016" s="163"/>
      <c r="AD1016" s="163"/>
      <c r="AE1016" s="163"/>
      <c r="AF1016" s="163"/>
      <c r="AG1016" s="163"/>
      <c r="AH1016" s="163"/>
      <c r="AI1016" s="163"/>
      <c r="AJ1016" s="163"/>
      <c r="AK1016" s="163"/>
      <c r="AL1016" s="163"/>
      <c r="AM1016" s="163"/>
      <c r="AN1016" s="163"/>
      <c r="AO1016" s="163"/>
      <c r="AP1016" s="163"/>
      <c r="AQ1016" s="163"/>
      <c r="AR1016" s="163"/>
      <c r="AS1016" s="163"/>
      <c r="AT1016" s="163"/>
      <c r="AU1016" s="163"/>
      <c r="AV1016" s="163"/>
      <c r="AW1016" s="163"/>
      <c r="AX1016" s="163"/>
      <c r="AY1016" s="163"/>
      <c r="AZ1016" s="163"/>
      <c r="BA1016" s="163"/>
      <c r="BB1016" s="163"/>
      <c r="BC1016" s="163"/>
      <c r="BD1016" s="163"/>
      <c r="BE1016" s="163"/>
      <c r="BF1016" s="163"/>
      <c r="BG1016" s="163"/>
      <c r="BH1016" s="163"/>
      <c r="BI1016" s="163"/>
      <c r="BJ1016" s="163"/>
      <c r="BK1016" s="163"/>
      <c r="BL1016" s="163"/>
      <c r="BM1016" s="163"/>
      <c r="BN1016" s="163"/>
      <c r="BO1016" s="163"/>
      <c r="BP1016" s="163"/>
      <c r="BQ1016" s="163"/>
      <c r="BR1016" s="163"/>
      <c r="BS1016" s="163"/>
      <c r="BT1016" s="163"/>
      <c r="BU1016" s="163"/>
      <c r="BV1016" s="163"/>
      <c r="BW1016" s="163"/>
      <c r="BX1016" s="163"/>
      <c r="BY1016" s="171"/>
    </row>
    <row r="1017" spans="1:77" s="14" customFormat="1" x14ac:dyDescent="0.15">
      <c r="A1017" s="151">
        <v>1415010021</v>
      </c>
      <c r="B1017" s="152" t="s">
        <v>741</v>
      </c>
      <c r="C1017" s="153" t="s">
        <v>100</v>
      </c>
      <c r="D1017" s="153"/>
      <c r="E1017" s="153" t="s">
        <v>85</v>
      </c>
      <c r="F1017" s="153">
        <v>100000</v>
      </c>
      <c r="G1017" s="153">
        <v>50000</v>
      </c>
      <c r="H1017" s="153"/>
      <c r="I1017" s="153"/>
      <c r="J1017" s="162"/>
      <c r="K1017" s="162"/>
      <c r="L1017" s="162"/>
      <c r="M1017" s="162" t="s">
        <v>101</v>
      </c>
      <c r="N1017" s="162"/>
      <c r="O1017" s="153" t="s">
        <v>79</v>
      </c>
      <c r="P1017" s="163" t="s">
        <v>102</v>
      </c>
      <c r="Q1017" s="163">
        <v>135</v>
      </c>
      <c r="R1017" s="163"/>
      <c r="S1017" s="163">
        <v>4000</v>
      </c>
      <c r="T1017" s="163"/>
      <c r="U1017" s="163">
        <v>5000</v>
      </c>
      <c r="V1017" s="163"/>
      <c r="W1017" s="163"/>
      <c r="X1017" s="163"/>
      <c r="Y1017" s="163"/>
      <c r="Z1017" s="163"/>
      <c r="AA1017" s="163"/>
      <c r="AB1017" s="163"/>
      <c r="AC1017" s="163"/>
      <c r="AD1017" s="163"/>
      <c r="AE1017" s="163"/>
      <c r="AF1017" s="163"/>
      <c r="AG1017" s="163"/>
      <c r="AH1017" s="163"/>
      <c r="AI1017" s="163"/>
      <c r="AJ1017" s="163"/>
      <c r="AK1017" s="163"/>
      <c r="AL1017" s="163"/>
      <c r="AM1017" s="163"/>
      <c r="AN1017" s="163"/>
      <c r="AO1017" s="163"/>
      <c r="AP1017" s="163"/>
      <c r="AQ1017" s="163"/>
      <c r="AR1017" s="163"/>
      <c r="AS1017" s="163"/>
      <c r="AT1017" s="163"/>
      <c r="AU1017" s="163"/>
      <c r="AV1017" s="163"/>
      <c r="AW1017" s="163"/>
      <c r="AX1017" s="163"/>
      <c r="AY1017" s="163"/>
      <c r="AZ1017" s="163"/>
      <c r="BA1017" s="163"/>
      <c r="BB1017" s="163"/>
      <c r="BC1017" s="163"/>
      <c r="BD1017" s="163"/>
      <c r="BE1017" s="163"/>
      <c r="BF1017" s="163"/>
      <c r="BG1017" s="163"/>
      <c r="BH1017" s="163"/>
      <c r="BI1017" s="163"/>
      <c r="BJ1017" s="163"/>
      <c r="BK1017" s="163"/>
      <c r="BL1017" s="163"/>
      <c r="BM1017" s="163"/>
      <c r="BN1017" s="163"/>
      <c r="BO1017" s="163"/>
      <c r="BP1017" s="163"/>
      <c r="BQ1017" s="163"/>
      <c r="BR1017" s="163"/>
      <c r="BS1017" s="163"/>
      <c r="BT1017" s="163"/>
      <c r="BU1017" s="163"/>
      <c r="BV1017" s="163"/>
      <c r="BW1017" s="163"/>
      <c r="BX1017" s="163"/>
      <c r="BY1017" s="171"/>
    </row>
    <row r="1018" spans="1:77" s="14" customFormat="1" x14ac:dyDescent="0.15">
      <c r="A1018" s="151">
        <v>1415010031</v>
      </c>
      <c r="B1018" s="152" t="s">
        <v>741</v>
      </c>
      <c r="C1018" s="153" t="s">
        <v>100</v>
      </c>
      <c r="D1018" s="153"/>
      <c r="E1018" s="153" t="s">
        <v>85</v>
      </c>
      <c r="F1018" s="153">
        <v>100000</v>
      </c>
      <c r="G1018" s="153">
        <v>50000</v>
      </c>
      <c r="H1018" s="153"/>
      <c r="I1018" s="153"/>
      <c r="J1018" s="162"/>
      <c r="K1018" s="162"/>
      <c r="L1018" s="162"/>
      <c r="M1018" s="162" t="s">
        <v>101</v>
      </c>
      <c r="N1018" s="162"/>
      <c r="O1018" s="153" t="s">
        <v>79</v>
      </c>
      <c r="P1018" s="163" t="s">
        <v>102</v>
      </c>
      <c r="Q1018" s="163">
        <v>200</v>
      </c>
      <c r="R1018" s="163"/>
      <c r="S1018" s="163">
        <v>4000</v>
      </c>
      <c r="T1018" s="163"/>
      <c r="U1018" s="163">
        <v>5000</v>
      </c>
      <c r="V1018" s="163"/>
      <c r="W1018" s="163"/>
      <c r="X1018" s="163"/>
      <c r="Y1018" s="163"/>
      <c r="Z1018" s="163"/>
      <c r="AA1018" s="163"/>
      <c r="AB1018" s="163"/>
      <c r="AC1018" s="163"/>
      <c r="AD1018" s="163"/>
      <c r="AE1018" s="163"/>
      <c r="AF1018" s="163"/>
      <c r="AG1018" s="163"/>
      <c r="AH1018" s="163"/>
      <c r="AI1018" s="163"/>
      <c r="AJ1018" s="163"/>
      <c r="AK1018" s="163"/>
      <c r="AL1018" s="163"/>
      <c r="AM1018" s="163"/>
      <c r="AN1018" s="163"/>
      <c r="AO1018" s="163"/>
      <c r="AP1018" s="163"/>
      <c r="AQ1018" s="163"/>
      <c r="AR1018" s="163"/>
      <c r="AS1018" s="163"/>
      <c r="AT1018" s="163"/>
      <c r="AU1018" s="163"/>
      <c r="AV1018" s="163"/>
      <c r="AW1018" s="163"/>
      <c r="AX1018" s="163"/>
      <c r="AY1018" s="163"/>
      <c r="AZ1018" s="163"/>
      <c r="BA1018" s="163"/>
      <c r="BB1018" s="163"/>
      <c r="BC1018" s="163"/>
      <c r="BD1018" s="163"/>
      <c r="BE1018" s="163"/>
      <c r="BF1018" s="163"/>
      <c r="BG1018" s="163"/>
      <c r="BH1018" s="163"/>
      <c r="BI1018" s="163"/>
      <c r="BJ1018" s="163"/>
      <c r="BK1018" s="163"/>
      <c r="BL1018" s="163"/>
      <c r="BM1018" s="163"/>
      <c r="BN1018" s="163"/>
      <c r="BO1018" s="163"/>
      <c r="BP1018" s="163"/>
      <c r="BQ1018" s="163"/>
      <c r="BR1018" s="163"/>
      <c r="BS1018" s="163"/>
      <c r="BT1018" s="163"/>
      <c r="BU1018" s="163"/>
      <c r="BV1018" s="163"/>
      <c r="BW1018" s="163"/>
      <c r="BX1018" s="163"/>
      <c r="BY1018" s="171"/>
    </row>
    <row r="1019" spans="1:77" s="14" customFormat="1" x14ac:dyDescent="0.15">
      <c r="A1019" s="151">
        <v>1415010041</v>
      </c>
      <c r="B1019" s="152" t="s">
        <v>741</v>
      </c>
      <c r="C1019" s="153" t="s">
        <v>100</v>
      </c>
      <c r="D1019" s="153"/>
      <c r="E1019" s="153" t="s">
        <v>85</v>
      </c>
      <c r="F1019" s="153">
        <v>100000</v>
      </c>
      <c r="G1019" s="153">
        <v>50000</v>
      </c>
      <c r="H1019" s="153"/>
      <c r="I1019" s="153"/>
      <c r="J1019" s="162"/>
      <c r="K1019" s="162"/>
      <c r="L1019" s="162"/>
      <c r="M1019" s="162" t="s">
        <v>101</v>
      </c>
      <c r="N1019" s="162"/>
      <c r="O1019" s="153" t="s">
        <v>79</v>
      </c>
      <c r="P1019" s="163" t="s">
        <v>102</v>
      </c>
      <c r="Q1019" s="163">
        <v>265</v>
      </c>
      <c r="R1019" s="163"/>
      <c r="S1019" s="163">
        <v>4000</v>
      </c>
      <c r="T1019" s="163"/>
      <c r="U1019" s="163">
        <v>5000</v>
      </c>
      <c r="V1019" s="163"/>
      <c r="W1019" s="163"/>
      <c r="X1019" s="163"/>
      <c r="Y1019" s="163"/>
      <c r="Z1019" s="163"/>
      <c r="AA1019" s="163"/>
      <c r="AB1019" s="163"/>
      <c r="AC1019" s="163"/>
      <c r="AD1019" s="163"/>
      <c r="AE1019" s="163"/>
      <c r="AF1019" s="163"/>
      <c r="AG1019" s="163"/>
      <c r="AH1019" s="163"/>
      <c r="AI1019" s="163"/>
      <c r="AJ1019" s="163"/>
      <c r="AK1019" s="163"/>
      <c r="AL1019" s="163"/>
      <c r="AM1019" s="163"/>
      <c r="AN1019" s="163"/>
      <c r="AO1019" s="163"/>
      <c r="AP1019" s="163"/>
      <c r="AQ1019" s="163"/>
      <c r="AR1019" s="163"/>
      <c r="AS1019" s="163"/>
      <c r="AT1019" s="163"/>
      <c r="AU1019" s="163"/>
      <c r="AV1019" s="163"/>
      <c r="AW1019" s="163"/>
      <c r="AX1019" s="163"/>
      <c r="AY1019" s="163"/>
      <c r="AZ1019" s="163"/>
      <c r="BA1019" s="163"/>
      <c r="BB1019" s="163"/>
      <c r="BC1019" s="163"/>
      <c r="BD1019" s="163"/>
      <c r="BE1019" s="163"/>
      <c r="BF1019" s="163"/>
      <c r="BG1019" s="163"/>
      <c r="BH1019" s="163"/>
      <c r="BI1019" s="163"/>
      <c r="BJ1019" s="163"/>
      <c r="BK1019" s="163"/>
      <c r="BL1019" s="163"/>
      <c r="BM1019" s="163"/>
      <c r="BN1019" s="163"/>
      <c r="BO1019" s="163"/>
      <c r="BP1019" s="163"/>
      <c r="BQ1019" s="163"/>
      <c r="BR1019" s="163"/>
      <c r="BS1019" s="163"/>
      <c r="BT1019" s="163"/>
      <c r="BU1019" s="163"/>
      <c r="BV1019" s="163"/>
      <c r="BW1019" s="163"/>
      <c r="BX1019" s="163"/>
      <c r="BY1019" s="171"/>
    </row>
    <row r="1020" spans="1:77" s="14" customFormat="1" x14ac:dyDescent="0.15">
      <c r="A1020" s="151">
        <v>1415010012</v>
      </c>
      <c r="B1020" s="152" t="s">
        <v>742</v>
      </c>
      <c r="C1020" s="153" t="s">
        <v>100</v>
      </c>
      <c r="D1020" s="153"/>
      <c r="E1020" s="153" t="s">
        <v>83</v>
      </c>
      <c r="F1020" s="153">
        <v>50000</v>
      </c>
      <c r="G1020" s="153"/>
      <c r="H1020" s="153"/>
      <c r="I1020" s="153"/>
      <c r="J1020" s="162"/>
      <c r="K1020" s="162"/>
      <c r="L1020" s="162"/>
      <c r="M1020" s="162" t="s">
        <v>101</v>
      </c>
      <c r="N1020" s="162"/>
      <c r="O1020" s="153" t="s">
        <v>98</v>
      </c>
      <c r="P1020" s="163"/>
      <c r="Q1020" s="163"/>
      <c r="R1020" s="163"/>
      <c r="S1020" s="163"/>
      <c r="T1020" s="163"/>
      <c r="U1020" s="163"/>
      <c r="V1020" s="163"/>
      <c r="W1020" s="163"/>
      <c r="X1020" s="163"/>
      <c r="Y1020" s="163"/>
      <c r="Z1020" s="163"/>
      <c r="AA1020" s="163"/>
      <c r="AB1020" s="163"/>
      <c r="AC1020" s="163"/>
      <c r="AD1020" s="163"/>
      <c r="AE1020" s="163">
        <v>141501001</v>
      </c>
      <c r="AF1020" s="163"/>
      <c r="AG1020" s="163"/>
      <c r="AH1020" s="163"/>
      <c r="AI1020" s="163"/>
      <c r="AJ1020" s="153" t="s">
        <v>98</v>
      </c>
      <c r="AK1020" s="163"/>
      <c r="AL1020" s="163"/>
      <c r="AM1020" s="163"/>
      <c r="AN1020" s="163"/>
      <c r="AO1020" s="163"/>
      <c r="AP1020" s="163"/>
      <c r="AQ1020" s="163"/>
      <c r="AR1020" s="163"/>
      <c r="AS1020" s="163"/>
      <c r="AT1020" s="163"/>
      <c r="AU1020" s="163"/>
      <c r="AV1020" s="163"/>
      <c r="AW1020" s="163"/>
      <c r="AX1020" s="163"/>
      <c r="AY1020" s="163"/>
      <c r="AZ1020" s="163">
        <v>141501005</v>
      </c>
      <c r="BA1020" s="163"/>
      <c r="BB1020" s="163"/>
      <c r="BC1020" s="163"/>
      <c r="BD1020" s="163"/>
      <c r="BE1020" s="163"/>
      <c r="BF1020" s="163"/>
      <c r="BG1020" s="163"/>
      <c r="BH1020" s="163"/>
      <c r="BI1020" s="163"/>
      <c r="BJ1020" s="163"/>
      <c r="BK1020" s="163"/>
      <c r="BL1020" s="163"/>
      <c r="BM1020" s="163"/>
      <c r="BN1020" s="163"/>
      <c r="BO1020" s="163"/>
      <c r="BP1020" s="163"/>
      <c r="BQ1020" s="163"/>
      <c r="BR1020" s="163"/>
      <c r="BS1020" s="163"/>
      <c r="BT1020" s="163"/>
      <c r="BU1020" s="163"/>
      <c r="BV1020" s="163"/>
      <c r="BW1020" s="163"/>
      <c r="BX1020" s="163"/>
      <c r="BY1020" s="171"/>
    </row>
    <row r="1021" spans="1:77" s="14" customFormat="1" x14ac:dyDescent="0.15">
      <c r="A1021" s="151">
        <v>1415010022</v>
      </c>
      <c r="B1021" s="152" t="s">
        <v>742</v>
      </c>
      <c r="C1021" s="153" t="s">
        <v>100</v>
      </c>
      <c r="D1021" s="153"/>
      <c r="E1021" s="153" t="s">
        <v>83</v>
      </c>
      <c r="F1021" s="153">
        <v>50000</v>
      </c>
      <c r="G1021" s="153"/>
      <c r="H1021" s="153"/>
      <c r="I1021" s="153"/>
      <c r="J1021" s="162"/>
      <c r="K1021" s="162"/>
      <c r="L1021" s="162"/>
      <c r="M1021" s="162" t="s">
        <v>101</v>
      </c>
      <c r="N1021" s="162"/>
      <c r="O1021" s="153" t="s">
        <v>98</v>
      </c>
      <c r="P1021" s="163"/>
      <c r="Q1021" s="163"/>
      <c r="R1021" s="163"/>
      <c r="S1021" s="163"/>
      <c r="T1021" s="163"/>
      <c r="U1021" s="163"/>
      <c r="V1021" s="163"/>
      <c r="W1021" s="163"/>
      <c r="X1021" s="163"/>
      <c r="Y1021" s="163"/>
      <c r="Z1021" s="163"/>
      <c r="AA1021" s="163"/>
      <c r="AB1021" s="163"/>
      <c r="AC1021" s="163"/>
      <c r="AD1021" s="163"/>
      <c r="AE1021" s="163">
        <v>141501002</v>
      </c>
      <c r="AF1021" s="163"/>
      <c r="AG1021" s="163"/>
      <c r="AH1021" s="163"/>
      <c r="AI1021" s="163"/>
      <c r="AJ1021" s="153" t="s">
        <v>98</v>
      </c>
      <c r="AK1021" s="163"/>
      <c r="AL1021" s="163"/>
      <c r="AM1021" s="163"/>
      <c r="AN1021" s="163"/>
      <c r="AO1021" s="163"/>
      <c r="AP1021" s="163"/>
      <c r="AQ1021" s="163"/>
      <c r="AR1021" s="163"/>
      <c r="AS1021" s="163"/>
      <c r="AT1021" s="163"/>
      <c r="AU1021" s="163"/>
      <c r="AV1021" s="163"/>
      <c r="AW1021" s="163"/>
      <c r="AX1021" s="163"/>
      <c r="AY1021" s="163"/>
      <c r="AZ1021" s="163">
        <v>141501006</v>
      </c>
      <c r="BA1021" s="163"/>
      <c r="BB1021" s="163"/>
      <c r="BC1021" s="163"/>
      <c r="BD1021" s="163"/>
      <c r="BE1021" s="163"/>
      <c r="BF1021" s="163"/>
      <c r="BG1021" s="163"/>
      <c r="BH1021" s="163"/>
      <c r="BI1021" s="163"/>
      <c r="BJ1021" s="163"/>
      <c r="BK1021" s="163"/>
      <c r="BL1021" s="163"/>
      <c r="BM1021" s="163"/>
      <c r="BN1021" s="163"/>
      <c r="BO1021" s="163"/>
      <c r="BP1021" s="163"/>
      <c r="BQ1021" s="163"/>
      <c r="BR1021" s="163"/>
      <c r="BS1021" s="163"/>
      <c r="BT1021" s="163"/>
      <c r="BU1021" s="163"/>
      <c r="BV1021" s="163"/>
      <c r="BW1021" s="163"/>
      <c r="BX1021" s="163"/>
      <c r="BY1021" s="171"/>
    </row>
    <row r="1022" spans="1:77" s="14" customFormat="1" x14ac:dyDescent="0.15">
      <c r="A1022" s="151">
        <v>1415010032</v>
      </c>
      <c r="B1022" s="152" t="s">
        <v>742</v>
      </c>
      <c r="C1022" s="153" t="s">
        <v>100</v>
      </c>
      <c r="D1022" s="153"/>
      <c r="E1022" s="153" t="s">
        <v>83</v>
      </c>
      <c r="F1022" s="153">
        <v>50000</v>
      </c>
      <c r="G1022" s="153"/>
      <c r="H1022" s="153"/>
      <c r="I1022" s="153"/>
      <c r="J1022" s="162"/>
      <c r="K1022" s="162"/>
      <c r="L1022" s="162"/>
      <c r="M1022" s="162" t="s">
        <v>101</v>
      </c>
      <c r="N1022" s="162"/>
      <c r="O1022" s="153" t="s">
        <v>98</v>
      </c>
      <c r="P1022" s="163"/>
      <c r="Q1022" s="163"/>
      <c r="R1022" s="163"/>
      <c r="S1022" s="163"/>
      <c r="T1022" s="163"/>
      <c r="U1022" s="163"/>
      <c r="V1022" s="163"/>
      <c r="W1022" s="163"/>
      <c r="X1022" s="163"/>
      <c r="Y1022" s="163"/>
      <c r="Z1022" s="163"/>
      <c r="AA1022" s="163"/>
      <c r="AB1022" s="163"/>
      <c r="AC1022" s="163"/>
      <c r="AD1022" s="163"/>
      <c r="AE1022" s="163">
        <v>141501003</v>
      </c>
      <c r="AF1022" s="163"/>
      <c r="AG1022" s="163"/>
      <c r="AH1022" s="163"/>
      <c r="AI1022" s="163"/>
      <c r="AJ1022" s="153" t="s">
        <v>98</v>
      </c>
      <c r="AK1022" s="163"/>
      <c r="AL1022" s="163"/>
      <c r="AM1022" s="163"/>
      <c r="AN1022" s="163"/>
      <c r="AO1022" s="163"/>
      <c r="AP1022" s="163"/>
      <c r="AQ1022" s="163"/>
      <c r="AR1022" s="163"/>
      <c r="AS1022" s="163"/>
      <c r="AT1022" s="163"/>
      <c r="AU1022" s="163"/>
      <c r="AV1022" s="163"/>
      <c r="AW1022" s="163"/>
      <c r="AX1022" s="163"/>
      <c r="AY1022" s="163"/>
      <c r="AZ1022" s="163">
        <v>141501007</v>
      </c>
      <c r="BA1022" s="163"/>
      <c r="BB1022" s="163"/>
      <c r="BC1022" s="163"/>
      <c r="BD1022" s="163"/>
      <c r="BE1022" s="163"/>
      <c r="BF1022" s="163"/>
      <c r="BG1022" s="163"/>
      <c r="BH1022" s="163"/>
      <c r="BI1022" s="163"/>
      <c r="BJ1022" s="163"/>
      <c r="BK1022" s="163"/>
      <c r="BL1022" s="163"/>
      <c r="BM1022" s="163"/>
      <c r="BN1022" s="163"/>
      <c r="BO1022" s="163"/>
      <c r="BP1022" s="163"/>
      <c r="BQ1022" s="163"/>
      <c r="BR1022" s="163"/>
      <c r="BS1022" s="163"/>
      <c r="BT1022" s="163"/>
      <c r="BU1022" s="163"/>
      <c r="BV1022" s="163"/>
      <c r="BW1022" s="163"/>
      <c r="BX1022" s="163"/>
      <c r="BY1022" s="171"/>
    </row>
    <row r="1023" spans="1:77" s="14" customFormat="1" x14ac:dyDescent="0.15">
      <c r="A1023" s="151">
        <v>1415010042</v>
      </c>
      <c r="B1023" s="152" t="s">
        <v>742</v>
      </c>
      <c r="C1023" s="153" t="s">
        <v>100</v>
      </c>
      <c r="D1023" s="153"/>
      <c r="E1023" s="153" t="s">
        <v>83</v>
      </c>
      <c r="F1023" s="153">
        <v>50000</v>
      </c>
      <c r="G1023" s="153"/>
      <c r="H1023" s="153"/>
      <c r="I1023" s="153"/>
      <c r="J1023" s="162"/>
      <c r="K1023" s="162"/>
      <c r="L1023" s="162"/>
      <c r="M1023" s="162" t="s">
        <v>101</v>
      </c>
      <c r="N1023" s="162"/>
      <c r="O1023" s="153" t="s">
        <v>98</v>
      </c>
      <c r="P1023" s="163"/>
      <c r="Q1023" s="163"/>
      <c r="R1023" s="163"/>
      <c r="S1023" s="163"/>
      <c r="T1023" s="163"/>
      <c r="U1023" s="163"/>
      <c r="V1023" s="163"/>
      <c r="W1023" s="163"/>
      <c r="X1023" s="163"/>
      <c r="Y1023" s="163"/>
      <c r="Z1023" s="163"/>
      <c r="AA1023" s="163"/>
      <c r="AB1023" s="163"/>
      <c r="AC1023" s="163"/>
      <c r="AD1023" s="163"/>
      <c r="AE1023" s="163">
        <v>141501004</v>
      </c>
      <c r="AF1023" s="163"/>
      <c r="AG1023" s="163"/>
      <c r="AH1023" s="163"/>
      <c r="AI1023" s="163"/>
      <c r="AJ1023" s="153" t="s">
        <v>98</v>
      </c>
      <c r="AK1023" s="163"/>
      <c r="AL1023" s="163"/>
      <c r="AM1023" s="163"/>
      <c r="AN1023" s="163"/>
      <c r="AO1023" s="163"/>
      <c r="AP1023" s="163"/>
      <c r="AQ1023" s="163"/>
      <c r="AR1023" s="163"/>
      <c r="AS1023" s="163"/>
      <c r="AT1023" s="163"/>
      <c r="AU1023" s="163"/>
      <c r="AV1023" s="163"/>
      <c r="AW1023" s="163"/>
      <c r="AX1023" s="163"/>
      <c r="AY1023" s="163"/>
      <c r="AZ1023" s="163">
        <v>141501008</v>
      </c>
      <c r="BA1023" s="163"/>
      <c r="BB1023" s="163"/>
      <c r="BC1023" s="163"/>
      <c r="BD1023" s="163"/>
      <c r="BE1023" s="163"/>
      <c r="BF1023" s="163"/>
      <c r="BG1023" s="163"/>
      <c r="BH1023" s="163"/>
      <c r="BI1023" s="163"/>
      <c r="BJ1023" s="163"/>
      <c r="BK1023" s="163"/>
      <c r="BL1023" s="163"/>
      <c r="BM1023" s="163"/>
      <c r="BN1023" s="163"/>
      <c r="BO1023" s="163"/>
      <c r="BP1023" s="163"/>
      <c r="BQ1023" s="163"/>
      <c r="BR1023" s="163"/>
      <c r="BS1023" s="163"/>
      <c r="BT1023" s="163"/>
      <c r="BU1023" s="163"/>
      <c r="BV1023" s="163"/>
      <c r="BW1023" s="163"/>
      <c r="BX1023" s="163"/>
      <c r="BY1023" s="171"/>
    </row>
    <row r="1024" spans="1:77" s="14" customFormat="1" x14ac:dyDescent="0.15">
      <c r="A1024" s="151">
        <v>1415010013</v>
      </c>
      <c r="B1024" s="152" t="s">
        <v>743</v>
      </c>
      <c r="C1024" s="153" t="s">
        <v>100</v>
      </c>
      <c r="D1024" s="153"/>
      <c r="E1024" s="153" t="s">
        <v>78</v>
      </c>
      <c r="F1024" s="153"/>
      <c r="G1024" s="153"/>
      <c r="H1024" s="153"/>
      <c r="I1024" s="153"/>
      <c r="J1024" s="162"/>
      <c r="K1024" s="162"/>
      <c r="L1024" s="162"/>
      <c r="M1024" s="162" t="s">
        <v>101</v>
      </c>
      <c r="N1024" s="162"/>
      <c r="O1024" s="153" t="s">
        <v>79</v>
      </c>
      <c r="P1024" s="163" t="s">
        <v>102</v>
      </c>
      <c r="Q1024" s="163">
        <f>Q1016/2.5</f>
        <v>28</v>
      </c>
      <c r="R1024" s="163"/>
      <c r="S1024" s="163">
        <f>S1016/2.5</f>
        <v>1600</v>
      </c>
      <c r="T1024" s="163"/>
      <c r="U1024" s="163">
        <v>5000</v>
      </c>
      <c r="V1024" s="163"/>
      <c r="W1024" s="163"/>
      <c r="X1024" s="163"/>
      <c r="Y1024" s="163"/>
      <c r="Z1024" s="163"/>
      <c r="AA1024" s="163"/>
      <c r="AB1024" s="163"/>
      <c r="AC1024" s="163"/>
      <c r="AD1024" s="163"/>
      <c r="AE1024" s="163"/>
      <c r="AF1024" s="163"/>
      <c r="AG1024" s="163"/>
      <c r="AH1024" s="163"/>
      <c r="AI1024" s="163"/>
      <c r="AJ1024" s="163"/>
      <c r="AK1024" s="163"/>
      <c r="AL1024" s="163"/>
      <c r="AM1024" s="163"/>
      <c r="AN1024" s="163"/>
      <c r="AO1024" s="163"/>
      <c r="AP1024" s="163"/>
      <c r="AQ1024" s="163"/>
      <c r="AR1024" s="163"/>
      <c r="AS1024" s="163"/>
      <c r="AT1024" s="163"/>
      <c r="AU1024" s="163"/>
      <c r="AV1024" s="163"/>
      <c r="AW1024" s="163"/>
      <c r="AX1024" s="163"/>
      <c r="AY1024" s="163"/>
      <c r="AZ1024" s="163"/>
      <c r="BA1024" s="163"/>
      <c r="BB1024" s="163"/>
      <c r="BC1024" s="163"/>
      <c r="BD1024" s="163"/>
      <c r="BE1024" s="163"/>
      <c r="BF1024" s="163"/>
      <c r="BG1024" s="163"/>
      <c r="BH1024" s="163"/>
      <c r="BI1024" s="163"/>
      <c r="BJ1024" s="163"/>
      <c r="BK1024" s="163"/>
      <c r="BL1024" s="163"/>
      <c r="BM1024" s="163"/>
      <c r="BN1024" s="163"/>
      <c r="BO1024" s="163"/>
      <c r="BP1024" s="163"/>
      <c r="BQ1024" s="163"/>
      <c r="BR1024" s="163"/>
      <c r="BS1024" s="163"/>
      <c r="BT1024" s="163"/>
      <c r="BU1024" s="163"/>
      <c r="BV1024" s="163"/>
      <c r="BW1024" s="163"/>
      <c r="BX1024" s="163"/>
      <c r="BY1024" s="171"/>
    </row>
    <row r="1025" spans="1:77" s="14" customFormat="1" x14ac:dyDescent="0.15">
      <c r="A1025" s="151">
        <v>1415010023</v>
      </c>
      <c r="B1025" s="152" t="s">
        <v>743</v>
      </c>
      <c r="C1025" s="153" t="s">
        <v>100</v>
      </c>
      <c r="D1025" s="153"/>
      <c r="E1025" s="153" t="s">
        <v>78</v>
      </c>
      <c r="F1025" s="153"/>
      <c r="G1025" s="153"/>
      <c r="H1025" s="153"/>
      <c r="I1025" s="153"/>
      <c r="J1025" s="162"/>
      <c r="K1025" s="162"/>
      <c r="L1025" s="162"/>
      <c r="M1025" s="162" t="s">
        <v>101</v>
      </c>
      <c r="N1025" s="162"/>
      <c r="O1025" s="153" t="s">
        <v>79</v>
      </c>
      <c r="P1025" s="163" t="s">
        <v>102</v>
      </c>
      <c r="Q1025" s="163">
        <f>Q1017/2.5</f>
        <v>54</v>
      </c>
      <c r="R1025" s="163"/>
      <c r="S1025" s="163">
        <f t="shared" ref="S1025:S1027" si="6">S1017/2.5</f>
        <v>1600</v>
      </c>
      <c r="T1025" s="163"/>
      <c r="U1025" s="163">
        <v>5000</v>
      </c>
      <c r="V1025" s="163"/>
      <c r="W1025" s="163"/>
      <c r="X1025" s="163"/>
      <c r="Y1025" s="163"/>
      <c r="Z1025" s="163"/>
      <c r="AA1025" s="163"/>
      <c r="AB1025" s="163"/>
      <c r="AC1025" s="163"/>
      <c r="AD1025" s="163"/>
      <c r="AE1025" s="163"/>
      <c r="AF1025" s="163"/>
      <c r="AG1025" s="163"/>
      <c r="AH1025" s="163"/>
      <c r="AI1025" s="163"/>
      <c r="AJ1025" s="163"/>
      <c r="AK1025" s="163"/>
      <c r="AL1025" s="163"/>
      <c r="AM1025" s="163"/>
      <c r="AN1025" s="163"/>
      <c r="AO1025" s="163"/>
      <c r="AP1025" s="163"/>
      <c r="AQ1025" s="163"/>
      <c r="AR1025" s="163"/>
      <c r="AS1025" s="163"/>
      <c r="AT1025" s="163"/>
      <c r="AU1025" s="163"/>
      <c r="AV1025" s="163"/>
      <c r="AW1025" s="163"/>
      <c r="AX1025" s="163"/>
      <c r="AY1025" s="163"/>
      <c r="AZ1025" s="163"/>
      <c r="BA1025" s="163"/>
      <c r="BB1025" s="163"/>
      <c r="BC1025" s="163"/>
      <c r="BD1025" s="163"/>
      <c r="BE1025" s="163"/>
      <c r="BF1025" s="163"/>
      <c r="BG1025" s="163"/>
      <c r="BH1025" s="163"/>
      <c r="BI1025" s="163"/>
      <c r="BJ1025" s="163"/>
      <c r="BK1025" s="163"/>
      <c r="BL1025" s="163"/>
      <c r="BM1025" s="163"/>
      <c r="BN1025" s="163"/>
      <c r="BO1025" s="163"/>
      <c r="BP1025" s="163"/>
      <c r="BQ1025" s="163"/>
      <c r="BR1025" s="163"/>
      <c r="BS1025" s="163"/>
      <c r="BT1025" s="163"/>
      <c r="BU1025" s="163"/>
      <c r="BV1025" s="163"/>
      <c r="BW1025" s="163"/>
      <c r="BX1025" s="163"/>
      <c r="BY1025" s="171"/>
    </row>
    <row r="1026" spans="1:77" s="14" customFormat="1" x14ac:dyDescent="0.15">
      <c r="A1026" s="151">
        <v>1415010033</v>
      </c>
      <c r="B1026" s="152" t="s">
        <v>743</v>
      </c>
      <c r="C1026" s="153" t="s">
        <v>100</v>
      </c>
      <c r="D1026" s="153"/>
      <c r="E1026" s="153" t="s">
        <v>78</v>
      </c>
      <c r="F1026" s="153"/>
      <c r="G1026" s="153"/>
      <c r="H1026" s="153"/>
      <c r="I1026" s="153"/>
      <c r="J1026" s="162"/>
      <c r="K1026" s="162"/>
      <c r="L1026" s="162"/>
      <c r="M1026" s="162" t="s">
        <v>101</v>
      </c>
      <c r="N1026" s="162"/>
      <c r="O1026" s="153" t="s">
        <v>79</v>
      </c>
      <c r="P1026" s="163" t="s">
        <v>102</v>
      </c>
      <c r="Q1026" s="163">
        <f t="shared" ref="Q1026:Q1027" si="7">Q1018/2.5</f>
        <v>80</v>
      </c>
      <c r="R1026" s="163"/>
      <c r="S1026" s="163">
        <f t="shared" si="6"/>
        <v>1600</v>
      </c>
      <c r="T1026" s="163"/>
      <c r="U1026" s="163">
        <v>5000</v>
      </c>
      <c r="V1026" s="163"/>
      <c r="W1026" s="163"/>
      <c r="X1026" s="163"/>
      <c r="Y1026" s="163"/>
      <c r="Z1026" s="163"/>
      <c r="AA1026" s="163"/>
      <c r="AB1026" s="163"/>
      <c r="AC1026" s="163"/>
      <c r="AD1026" s="163"/>
      <c r="AE1026" s="163"/>
      <c r="AF1026" s="163"/>
      <c r="AG1026" s="163"/>
      <c r="AH1026" s="163"/>
      <c r="AI1026" s="163"/>
      <c r="AJ1026" s="163"/>
      <c r="AK1026" s="163"/>
      <c r="AL1026" s="163"/>
      <c r="AM1026" s="163"/>
      <c r="AN1026" s="163"/>
      <c r="AO1026" s="163"/>
      <c r="AP1026" s="163"/>
      <c r="AQ1026" s="163"/>
      <c r="AR1026" s="163"/>
      <c r="AS1026" s="163"/>
      <c r="AT1026" s="163"/>
      <c r="AU1026" s="163"/>
      <c r="AV1026" s="163"/>
      <c r="AW1026" s="163"/>
      <c r="AX1026" s="163"/>
      <c r="AY1026" s="163"/>
      <c r="AZ1026" s="163"/>
      <c r="BA1026" s="163"/>
      <c r="BB1026" s="163"/>
      <c r="BC1026" s="163"/>
      <c r="BD1026" s="163"/>
      <c r="BE1026" s="163"/>
      <c r="BF1026" s="163"/>
      <c r="BG1026" s="163"/>
      <c r="BH1026" s="163"/>
      <c r="BI1026" s="163"/>
      <c r="BJ1026" s="163"/>
      <c r="BK1026" s="163"/>
      <c r="BL1026" s="163"/>
      <c r="BM1026" s="163"/>
      <c r="BN1026" s="163"/>
      <c r="BO1026" s="163"/>
      <c r="BP1026" s="163"/>
      <c r="BQ1026" s="163"/>
      <c r="BR1026" s="163"/>
      <c r="BS1026" s="163"/>
      <c r="BT1026" s="163"/>
      <c r="BU1026" s="163"/>
      <c r="BV1026" s="163"/>
      <c r="BW1026" s="163"/>
      <c r="BX1026" s="163"/>
      <c r="BY1026" s="171"/>
    </row>
    <row r="1027" spans="1:77" s="14" customFormat="1" x14ac:dyDescent="0.15">
      <c r="A1027" s="151">
        <v>1415010043</v>
      </c>
      <c r="B1027" s="152" t="s">
        <v>743</v>
      </c>
      <c r="C1027" s="153" t="s">
        <v>100</v>
      </c>
      <c r="D1027" s="153"/>
      <c r="E1027" s="153" t="s">
        <v>78</v>
      </c>
      <c r="F1027" s="153"/>
      <c r="G1027" s="153"/>
      <c r="H1027" s="153"/>
      <c r="I1027" s="153"/>
      <c r="J1027" s="162"/>
      <c r="K1027" s="162"/>
      <c r="L1027" s="162"/>
      <c r="M1027" s="162" t="s">
        <v>101</v>
      </c>
      <c r="N1027" s="162"/>
      <c r="O1027" s="153" t="s">
        <v>79</v>
      </c>
      <c r="P1027" s="163" t="s">
        <v>102</v>
      </c>
      <c r="Q1027" s="163">
        <f t="shared" si="7"/>
        <v>106</v>
      </c>
      <c r="R1027" s="163"/>
      <c r="S1027" s="163">
        <f t="shared" si="6"/>
        <v>1600</v>
      </c>
      <c r="T1027" s="163"/>
      <c r="U1027" s="163">
        <v>5000</v>
      </c>
      <c r="V1027" s="163"/>
      <c r="W1027" s="163"/>
      <c r="X1027" s="163"/>
      <c r="Y1027" s="163"/>
      <c r="Z1027" s="163"/>
      <c r="AA1027" s="163"/>
      <c r="AB1027" s="163"/>
      <c r="AC1027" s="163"/>
      <c r="AD1027" s="163"/>
      <c r="AE1027" s="163"/>
      <c r="AF1027" s="163"/>
      <c r="AG1027" s="163"/>
      <c r="AH1027" s="163"/>
      <c r="AI1027" s="163"/>
      <c r="AJ1027" s="163"/>
      <c r="AK1027" s="163"/>
      <c r="AL1027" s="163"/>
      <c r="AM1027" s="163"/>
      <c r="AN1027" s="163"/>
      <c r="AO1027" s="163"/>
      <c r="AP1027" s="163"/>
      <c r="AQ1027" s="163"/>
      <c r="AR1027" s="163"/>
      <c r="AS1027" s="163"/>
      <c r="AT1027" s="163"/>
      <c r="AU1027" s="163"/>
      <c r="AV1027" s="163"/>
      <c r="AW1027" s="163"/>
      <c r="AX1027" s="163"/>
      <c r="AY1027" s="163"/>
      <c r="AZ1027" s="163"/>
      <c r="BA1027" s="163"/>
      <c r="BB1027" s="163"/>
      <c r="BC1027" s="163"/>
      <c r="BD1027" s="163"/>
      <c r="BE1027" s="163"/>
      <c r="BF1027" s="163"/>
      <c r="BG1027" s="163"/>
      <c r="BH1027" s="163"/>
      <c r="BI1027" s="163"/>
      <c r="BJ1027" s="163"/>
      <c r="BK1027" s="163"/>
      <c r="BL1027" s="163"/>
      <c r="BM1027" s="163"/>
      <c r="BN1027" s="163"/>
      <c r="BO1027" s="163"/>
      <c r="BP1027" s="163"/>
      <c r="BQ1027" s="163"/>
      <c r="BR1027" s="163"/>
      <c r="BS1027" s="163"/>
      <c r="BT1027" s="163"/>
      <c r="BU1027" s="163"/>
      <c r="BV1027" s="163"/>
      <c r="BW1027" s="163"/>
      <c r="BX1027" s="163"/>
      <c r="BY1027" s="171"/>
    </row>
    <row r="1028" spans="1:77" s="14" customFormat="1" x14ac:dyDescent="0.15">
      <c r="A1028" s="151">
        <v>1415020011</v>
      </c>
      <c r="B1028" s="152" t="s">
        <v>744</v>
      </c>
      <c r="C1028" s="153" t="s">
        <v>100</v>
      </c>
      <c r="D1028" s="153"/>
      <c r="E1028" s="153" t="s">
        <v>83</v>
      </c>
      <c r="F1028" s="153">
        <v>60000</v>
      </c>
      <c r="G1028" s="153"/>
      <c r="H1028" s="153"/>
      <c r="I1028" s="153"/>
      <c r="J1028" s="162"/>
      <c r="K1028" s="162"/>
      <c r="L1028" s="162"/>
      <c r="M1028" s="162" t="s">
        <v>101</v>
      </c>
      <c r="N1028" s="162" t="s">
        <v>842</v>
      </c>
      <c r="O1028" s="153" t="s">
        <v>90</v>
      </c>
      <c r="P1028" s="163"/>
      <c r="Q1028" s="163"/>
      <c r="R1028" s="163"/>
      <c r="S1028" s="163"/>
      <c r="T1028" s="163"/>
      <c r="U1028" s="163"/>
      <c r="V1028" s="163"/>
      <c r="W1028" s="163"/>
      <c r="X1028" s="163"/>
      <c r="Y1028" s="163"/>
      <c r="Z1028" s="163"/>
      <c r="AA1028" s="163"/>
      <c r="AB1028" s="163"/>
      <c r="AC1028" s="163">
        <v>1415020401</v>
      </c>
      <c r="AD1028" s="163">
        <v>1415020301</v>
      </c>
      <c r="AE1028" s="163"/>
      <c r="AF1028" s="163"/>
      <c r="AG1028" s="163"/>
      <c r="AH1028" s="163"/>
      <c r="AI1028" s="163"/>
      <c r="AJ1028" s="163" t="s">
        <v>90</v>
      </c>
      <c r="AK1028" s="163"/>
      <c r="AL1028" s="163"/>
      <c r="AM1028" s="163"/>
      <c r="AN1028" s="163"/>
      <c r="AO1028" s="163"/>
      <c r="AP1028" s="163"/>
      <c r="AQ1028" s="163"/>
      <c r="AR1028" s="163"/>
      <c r="AS1028" s="163"/>
      <c r="AT1028" s="163"/>
      <c r="AU1028" s="163"/>
      <c r="AV1028" s="163"/>
      <c r="AW1028" s="163"/>
      <c r="AX1028" s="163">
        <v>1415020201</v>
      </c>
      <c r="AY1028" s="163">
        <v>1415020101</v>
      </c>
      <c r="AZ1028" s="163"/>
      <c r="BA1028" s="163"/>
      <c r="BB1028" s="163"/>
      <c r="BC1028" s="163"/>
      <c r="BD1028" s="163"/>
      <c r="BE1028" s="163"/>
      <c r="BF1028" s="163"/>
      <c r="BG1028" s="163"/>
      <c r="BH1028" s="163"/>
      <c r="BI1028" s="163"/>
      <c r="BJ1028" s="163"/>
      <c r="BK1028" s="163"/>
      <c r="BL1028" s="163"/>
      <c r="BM1028" s="163"/>
      <c r="BN1028" s="163"/>
      <c r="BO1028" s="163"/>
      <c r="BP1028" s="163"/>
      <c r="BQ1028" s="163"/>
      <c r="BR1028" s="163"/>
      <c r="BS1028" s="163"/>
      <c r="BT1028" s="163"/>
      <c r="BU1028" s="163"/>
      <c r="BV1028" s="163"/>
      <c r="BW1028" s="163"/>
      <c r="BX1028" s="163"/>
      <c r="BY1028" s="171"/>
    </row>
    <row r="1029" spans="1:77" s="14" customFormat="1" x14ac:dyDescent="0.15">
      <c r="A1029" s="151">
        <v>1415020021</v>
      </c>
      <c r="B1029" s="152" t="s">
        <v>744</v>
      </c>
      <c r="C1029" s="153" t="s">
        <v>100</v>
      </c>
      <c r="D1029" s="153"/>
      <c r="E1029" s="153" t="s">
        <v>83</v>
      </c>
      <c r="F1029" s="153">
        <v>60000</v>
      </c>
      <c r="G1029" s="153"/>
      <c r="H1029" s="153"/>
      <c r="I1029" s="153"/>
      <c r="J1029" s="162"/>
      <c r="K1029" s="162"/>
      <c r="L1029" s="162"/>
      <c r="M1029" s="162" t="s">
        <v>101</v>
      </c>
      <c r="N1029" s="162" t="s">
        <v>842</v>
      </c>
      <c r="O1029" s="153" t="s">
        <v>90</v>
      </c>
      <c r="P1029" s="163"/>
      <c r="Q1029" s="163"/>
      <c r="R1029" s="163"/>
      <c r="S1029" s="163"/>
      <c r="T1029" s="163"/>
      <c r="U1029" s="163"/>
      <c r="V1029" s="163"/>
      <c r="W1029" s="163"/>
      <c r="X1029" s="163"/>
      <c r="Y1029" s="163"/>
      <c r="Z1029" s="163"/>
      <c r="AA1029" s="163"/>
      <c r="AB1029" s="163"/>
      <c r="AC1029" s="163">
        <v>1415020402</v>
      </c>
      <c r="AD1029" s="163">
        <v>1415020302</v>
      </c>
      <c r="AE1029" s="163"/>
      <c r="AF1029" s="163"/>
      <c r="AG1029" s="163"/>
      <c r="AH1029" s="163"/>
      <c r="AI1029" s="163"/>
      <c r="AJ1029" s="163" t="s">
        <v>90</v>
      </c>
      <c r="AK1029" s="163"/>
      <c r="AL1029" s="163"/>
      <c r="AM1029" s="163"/>
      <c r="AN1029" s="163"/>
      <c r="AO1029" s="163"/>
      <c r="AP1029" s="163"/>
      <c r="AQ1029" s="163"/>
      <c r="AR1029" s="163"/>
      <c r="AS1029" s="163"/>
      <c r="AT1029" s="163"/>
      <c r="AU1029" s="163"/>
      <c r="AV1029" s="163"/>
      <c r="AW1029" s="163"/>
      <c r="AX1029" s="163">
        <v>1415020202</v>
      </c>
      <c r="AY1029" s="163">
        <v>1415020102</v>
      </c>
      <c r="AZ1029" s="163"/>
      <c r="BA1029" s="163"/>
      <c r="BB1029" s="163"/>
      <c r="BC1029" s="163"/>
      <c r="BD1029" s="163"/>
      <c r="BE1029" s="163"/>
      <c r="BF1029" s="163"/>
      <c r="BG1029" s="163"/>
      <c r="BH1029" s="163"/>
      <c r="BI1029" s="163"/>
      <c r="BJ1029" s="163"/>
      <c r="BK1029" s="163"/>
      <c r="BL1029" s="163"/>
      <c r="BM1029" s="163"/>
      <c r="BN1029" s="163"/>
      <c r="BO1029" s="163"/>
      <c r="BP1029" s="163"/>
      <c r="BQ1029" s="163"/>
      <c r="BR1029" s="163"/>
      <c r="BS1029" s="163"/>
      <c r="BT1029" s="163"/>
      <c r="BU1029" s="163"/>
      <c r="BV1029" s="163"/>
      <c r="BW1029" s="163"/>
      <c r="BX1029" s="163"/>
      <c r="BY1029" s="171"/>
    </row>
    <row r="1030" spans="1:77" s="14" customFormat="1" x14ac:dyDescent="0.15">
      <c r="A1030" s="151">
        <v>1415020031</v>
      </c>
      <c r="B1030" s="152" t="s">
        <v>744</v>
      </c>
      <c r="C1030" s="153" t="s">
        <v>100</v>
      </c>
      <c r="D1030" s="153"/>
      <c r="E1030" s="153" t="s">
        <v>83</v>
      </c>
      <c r="F1030" s="153">
        <v>60000</v>
      </c>
      <c r="G1030" s="153"/>
      <c r="H1030" s="153"/>
      <c r="I1030" s="153"/>
      <c r="J1030" s="162"/>
      <c r="K1030" s="162"/>
      <c r="L1030" s="162"/>
      <c r="M1030" s="162" t="s">
        <v>101</v>
      </c>
      <c r="N1030" s="162" t="s">
        <v>842</v>
      </c>
      <c r="O1030" s="153" t="s">
        <v>90</v>
      </c>
      <c r="P1030" s="163"/>
      <c r="Q1030" s="163"/>
      <c r="R1030" s="163"/>
      <c r="S1030" s="163"/>
      <c r="T1030" s="163"/>
      <c r="U1030" s="163"/>
      <c r="V1030" s="163"/>
      <c r="W1030" s="163"/>
      <c r="X1030" s="163"/>
      <c r="Y1030" s="163"/>
      <c r="Z1030" s="163"/>
      <c r="AA1030" s="163"/>
      <c r="AB1030" s="163"/>
      <c r="AC1030" s="163">
        <v>1415020403</v>
      </c>
      <c r="AD1030" s="163">
        <v>1415020303</v>
      </c>
      <c r="AE1030" s="163"/>
      <c r="AF1030" s="163"/>
      <c r="AG1030" s="163"/>
      <c r="AH1030" s="163"/>
      <c r="AI1030" s="163"/>
      <c r="AJ1030" s="163" t="s">
        <v>90</v>
      </c>
      <c r="AK1030" s="163"/>
      <c r="AL1030" s="163"/>
      <c r="AM1030" s="163"/>
      <c r="AN1030" s="163"/>
      <c r="AO1030" s="163"/>
      <c r="AP1030" s="163"/>
      <c r="AQ1030" s="163"/>
      <c r="AR1030" s="163"/>
      <c r="AS1030" s="163"/>
      <c r="AT1030" s="163"/>
      <c r="AU1030" s="163"/>
      <c r="AV1030" s="163"/>
      <c r="AW1030" s="163"/>
      <c r="AX1030" s="163">
        <v>1415020203</v>
      </c>
      <c r="AY1030" s="163">
        <v>1415020103</v>
      </c>
      <c r="AZ1030" s="163"/>
      <c r="BA1030" s="163"/>
      <c r="BB1030" s="163"/>
      <c r="BC1030" s="163"/>
      <c r="BD1030" s="163"/>
      <c r="BE1030" s="163"/>
      <c r="BF1030" s="163"/>
      <c r="BG1030" s="163"/>
      <c r="BH1030" s="163"/>
      <c r="BI1030" s="163"/>
      <c r="BJ1030" s="163"/>
      <c r="BK1030" s="163"/>
      <c r="BL1030" s="163"/>
      <c r="BM1030" s="163"/>
      <c r="BN1030" s="163"/>
      <c r="BO1030" s="163"/>
      <c r="BP1030" s="163"/>
      <c r="BQ1030" s="163"/>
      <c r="BR1030" s="163"/>
      <c r="BS1030" s="163"/>
      <c r="BT1030" s="163"/>
      <c r="BU1030" s="163"/>
      <c r="BV1030" s="163"/>
      <c r="BW1030" s="163"/>
      <c r="BX1030" s="163"/>
      <c r="BY1030" s="171"/>
    </row>
    <row r="1031" spans="1:77" s="14" customFormat="1" x14ac:dyDescent="0.15">
      <c r="A1031" s="151">
        <v>1415020041</v>
      </c>
      <c r="B1031" s="152" t="s">
        <v>744</v>
      </c>
      <c r="C1031" s="153" t="s">
        <v>100</v>
      </c>
      <c r="D1031" s="153"/>
      <c r="E1031" s="153" t="s">
        <v>83</v>
      </c>
      <c r="F1031" s="153">
        <v>60000</v>
      </c>
      <c r="G1031" s="153"/>
      <c r="H1031" s="153"/>
      <c r="I1031" s="153"/>
      <c r="J1031" s="162"/>
      <c r="K1031" s="162"/>
      <c r="L1031" s="162"/>
      <c r="M1031" s="162" t="s">
        <v>101</v>
      </c>
      <c r="N1031" s="162" t="s">
        <v>842</v>
      </c>
      <c r="O1031" s="153" t="s">
        <v>90</v>
      </c>
      <c r="P1031" s="163"/>
      <c r="Q1031" s="163"/>
      <c r="R1031" s="163"/>
      <c r="S1031" s="163"/>
      <c r="T1031" s="163"/>
      <c r="U1031" s="163"/>
      <c r="V1031" s="163"/>
      <c r="W1031" s="163"/>
      <c r="X1031" s="163"/>
      <c r="Y1031" s="163"/>
      <c r="Z1031" s="163"/>
      <c r="AA1031" s="163"/>
      <c r="AB1031" s="163"/>
      <c r="AC1031" s="163">
        <v>1415020404</v>
      </c>
      <c r="AD1031" s="163">
        <v>1415020304</v>
      </c>
      <c r="AE1031" s="163"/>
      <c r="AF1031" s="163"/>
      <c r="AG1031" s="163"/>
      <c r="AH1031" s="163"/>
      <c r="AI1031" s="163"/>
      <c r="AJ1031" s="163" t="s">
        <v>90</v>
      </c>
      <c r="AK1031" s="163"/>
      <c r="AL1031" s="163"/>
      <c r="AM1031" s="163"/>
      <c r="AN1031" s="163"/>
      <c r="AO1031" s="163"/>
      <c r="AP1031" s="163"/>
      <c r="AQ1031" s="163"/>
      <c r="AR1031" s="163"/>
      <c r="AS1031" s="163"/>
      <c r="AT1031" s="163"/>
      <c r="AU1031" s="163"/>
      <c r="AV1031" s="163"/>
      <c r="AW1031" s="163"/>
      <c r="AX1031" s="163">
        <v>1415020204</v>
      </c>
      <c r="AY1031" s="163">
        <v>1415020104</v>
      </c>
      <c r="AZ1031" s="163"/>
      <c r="BA1031" s="163"/>
      <c r="BB1031" s="163"/>
      <c r="BC1031" s="163"/>
      <c r="BD1031" s="163"/>
      <c r="BE1031" s="163"/>
      <c r="BF1031" s="163"/>
      <c r="BG1031" s="163"/>
      <c r="BH1031" s="163"/>
      <c r="BI1031" s="163"/>
      <c r="BJ1031" s="163"/>
      <c r="BK1031" s="163"/>
      <c r="BL1031" s="163"/>
      <c r="BM1031" s="163"/>
      <c r="BN1031" s="163"/>
      <c r="BO1031" s="163"/>
      <c r="BP1031" s="163"/>
      <c r="BQ1031" s="163"/>
      <c r="BR1031" s="163"/>
      <c r="BS1031" s="163"/>
      <c r="BT1031" s="163"/>
      <c r="BU1031" s="163"/>
      <c r="BV1031" s="163"/>
      <c r="BW1031" s="163"/>
      <c r="BX1031" s="163"/>
      <c r="BY1031" s="171"/>
    </row>
    <row r="1032" spans="1:77" s="14" customFormat="1" x14ac:dyDescent="0.15">
      <c r="A1032" s="151">
        <v>1415020012</v>
      </c>
      <c r="B1032" s="152" t="s">
        <v>745</v>
      </c>
      <c r="C1032" s="153" t="s">
        <v>112</v>
      </c>
      <c r="D1032" s="153"/>
      <c r="E1032" s="153" t="s">
        <v>83</v>
      </c>
      <c r="F1032" s="153">
        <v>60000</v>
      </c>
      <c r="G1032" s="153"/>
      <c r="H1032" s="153"/>
      <c r="I1032" s="153"/>
      <c r="J1032" s="162"/>
      <c r="K1032" s="162"/>
      <c r="L1032" s="162"/>
      <c r="M1032" s="162" t="s">
        <v>101</v>
      </c>
      <c r="N1032" s="162"/>
      <c r="O1032" s="153" t="s">
        <v>90</v>
      </c>
      <c r="P1032" s="163"/>
      <c r="Q1032" s="163"/>
      <c r="R1032" s="163"/>
      <c r="S1032" s="163"/>
      <c r="T1032" s="163"/>
      <c r="U1032" s="163"/>
      <c r="V1032" s="163"/>
      <c r="W1032" s="163"/>
      <c r="X1032" s="163"/>
      <c r="Y1032" s="163"/>
      <c r="Z1032" s="163"/>
      <c r="AA1032" s="163"/>
      <c r="AB1032" s="163"/>
      <c r="AC1032" s="163">
        <v>1415020601</v>
      </c>
      <c r="AD1032" s="163">
        <v>1415020501</v>
      </c>
      <c r="AE1032" s="163"/>
      <c r="AF1032" s="163"/>
      <c r="AG1032" s="163"/>
      <c r="AH1032" s="163"/>
      <c r="AI1032" s="163"/>
      <c r="AJ1032" s="163" t="s">
        <v>90</v>
      </c>
      <c r="AK1032" s="163"/>
      <c r="AL1032" s="163"/>
      <c r="AM1032" s="163"/>
      <c r="AN1032" s="163"/>
      <c r="AO1032" s="163"/>
      <c r="AP1032" s="163"/>
      <c r="AQ1032" s="163"/>
      <c r="AR1032" s="163"/>
      <c r="AS1032" s="163"/>
      <c r="AT1032" s="163"/>
      <c r="AU1032" s="163"/>
      <c r="AV1032" s="163"/>
      <c r="AW1032" s="163"/>
      <c r="AX1032" s="163">
        <v>1415020201</v>
      </c>
      <c r="AY1032" s="163">
        <v>1415020101</v>
      </c>
      <c r="AZ1032" s="163"/>
      <c r="BA1032" s="163"/>
      <c r="BB1032" s="163"/>
      <c r="BC1032" s="163"/>
      <c r="BD1032" s="163"/>
      <c r="BE1032" s="163"/>
      <c r="BF1032" s="163"/>
      <c r="BG1032" s="163"/>
      <c r="BH1032" s="163"/>
      <c r="BI1032" s="163"/>
      <c r="BJ1032" s="163"/>
      <c r="BK1032" s="163"/>
      <c r="BL1032" s="163"/>
      <c r="BM1032" s="163"/>
      <c r="BN1032" s="163"/>
      <c r="BO1032" s="163"/>
      <c r="BP1032" s="163"/>
      <c r="BQ1032" s="163"/>
      <c r="BR1032" s="163"/>
      <c r="BS1032" s="163"/>
      <c r="BT1032" s="163"/>
      <c r="BU1032" s="163"/>
      <c r="BV1032" s="163"/>
      <c r="BW1032" s="163"/>
      <c r="BX1032" s="163"/>
      <c r="BY1032" s="171"/>
    </row>
    <row r="1033" spans="1:77" s="14" customFormat="1" x14ac:dyDescent="0.15">
      <c r="A1033" s="151">
        <v>1415020022</v>
      </c>
      <c r="B1033" s="152" t="s">
        <v>745</v>
      </c>
      <c r="C1033" s="153" t="s">
        <v>112</v>
      </c>
      <c r="D1033" s="153"/>
      <c r="E1033" s="153" t="s">
        <v>83</v>
      </c>
      <c r="F1033" s="153">
        <v>60000</v>
      </c>
      <c r="G1033" s="153"/>
      <c r="H1033" s="153"/>
      <c r="I1033" s="153"/>
      <c r="J1033" s="162"/>
      <c r="K1033" s="162"/>
      <c r="L1033" s="162"/>
      <c r="M1033" s="162" t="s">
        <v>101</v>
      </c>
      <c r="N1033" s="162"/>
      <c r="O1033" s="153" t="s">
        <v>90</v>
      </c>
      <c r="P1033" s="163"/>
      <c r="Q1033" s="163"/>
      <c r="R1033" s="163"/>
      <c r="S1033" s="163"/>
      <c r="T1033" s="163"/>
      <c r="U1033" s="163"/>
      <c r="V1033" s="163"/>
      <c r="W1033" s="163"/>
      <c r="X1033" s="163"/>
      <c r="Y1033" s="163"/>
      <c r="Z1033" s="163"/>
      <c r="AA1033" s="163"/>
      <c r="AB1033" s="163"/>
      <c r="AC1033" s="163">
        <v>1415020602</v>
      </c>
      <c r="AD1033" s="163">
        <v>1415020502</v>
      </c>
      <c r="AE1033" s="163"/>
      <c r="AF1033" s="163"/>
      <c r="AG1033" s="163"/>
      <c r="AH1033" s="163"/>
      <c r="AI1033" s="163"/>
      <c r="AJ1033" s="163" t="s">
        <v>90</v>
      </c>
      <c r="AK1033" s="163"/>
      <c r="AL1033" s="163"/>
      <c r="AM1033" s="163"/>
      <c r="AN1033" s="163"/>
      <c r="AO1033" s="163"/>
      <c r="AP1033" s="163"/>
      <c r="AQ1033" s="163"/>
      <c r="AR1033" s="163"/>
      <c r="AS1033" s="163"/>
      <c r="AT1033" s="163"/>
      <c r="AU1033" s="163"/>
      <c r="AV1033" s="163"/>
      <c r="AW1033" s="163"/>
      <c r="AX1033" s="163">
        <v>1415020202</v>
      </c>
      <c r="AY1033" s="163">
        <v>1415020102</v>
      </c>
      <c r="AZ1033" s="163"/>
      <c r="BA1033" s="163"/>
      <c r="BB1033" s="163"/>
      <c r="BC1033" s="163"/>
      <c r="BD1033" s="163"/>
      <c r="BE1033" s="163"/>
      <c r="BF1033" s="163"/>
      <c r="BG1033" s="163"/>
      <c r="BH1033" s="163"/>
      <c r="BI1033" s="163"/>
      <c r="BJ1033" s="163"/>
      <c r="BK1033" s="163"/>
      <c r="BL1033" s="163"/>
      <c r="BM1033" s="163"/>
      <c r="BN1033" s="163"/>
      <c r="BO1033" s="163"/>
      <c r="BP1033" s="163"/>
      <c r="BQ1033" s="163"/>
      <c r="BR1033" s="163"/>
      <c r="BS1033" s="163"/>
      <c r="BT1033" s="163"/>
      <c r="BU1033" s="163"/>
      <c r="BV1033" s="163"/>
      <c r="BW1033" s="163"/>
      <c r="BX1033" s="163"/>
      <c r="BY1033" s="171"/>
    </row>
    <row r="1034" spans="1:77" s="14" customFormat="1" x14ac:dyDescent="0.15">
      <c r="A1034" s="151">
        <v>1415020032</v>
      </c>
      <c r="B1034" s="152" t="s">
        <v>745</v>
      </c>
      <c r="C1034" s="153" t="s">
        <v>112</v>
      </c>
      <c r="D1034" s="153"/>
      <c r="E1034" s="153" t="s">
        <v>83</v>
      </c>
      <c r="F1034" s="153">
        <v>60000</v>
      </c>
      <c r="G1034" s="153"/>
      <c r="H1034" s="153"/>
      <c r="I1034" s="153"/>
      <c r="J1034" s="162"/>
      <c r="K1034" s="162"/>
      <c r="L1034" s="162"/>
      <c r="M1034" s="162" t="s">
        <v>101</v>
      </c>
      <c r="N1034" s="162"/>
      <c r="O1034" s="153" t="s">
        <v>90</v>
      </c>
      <c r="P1034" s="163"/>
      <c r="Q1034" s="163"/>
      <c r="R1034" s="163"/>
      <c r="S1034" s="163"/>
      <c r="T1034" s="163"/>
      <c r="U1034" s="163"/>
      <c r="V1034" s="163"/>
      <c r="W1034" s="163"/>
      <c r="X1034" s="163"/>
      <c r="Y1034" s="163"/>
      <c r="Z1034" s="163"/>
      <c r="AA1034" s="163"/>
      <c r="AB1034" s="163"/>
      <c r="AC1034" s="163">
        <v>1415020603</v>
      </c>
      <c r="AD1034" s="163">
        <v>1415020503</v>
      </c>
      <c r="AE1034" s="163"/>
      <c r="AF1034" s="163"/>
      <c r="AG1034" s="163"/>
      <c r="AH1034" s="163"/>
      <c r="AI1034" s="163"/>
      <c r="AJ1034" s="163" t="s">
        <v>90</v>
      </c>
      <c r="AK1034" s="163"/>
      <c r="AL1034" s="163"/>
      <c r="AM1034" s="163"/>
      <c r="AN1034" s="163"/>
      <c r="AO1034" s="163"/>
      <c r="AP1034" s="163"/>
      <c r="AQ1034" s="163"/>
      <c r="AR1034" s="163"/>
      <c r="AS1034" s="163"/>
      <c r="AT1034" s="163"/>
      <c r="AU1034" s="163"/>
      <c r="AV1034" s="163"/>
      <c r="AW1034" s="163"/>
      <c r="AX1034" s="163">
        <v>1415020203</v>
      </c>
      <c r="AY1034" s="163">
        <v>1415020103</v>
      </c>
      <c r="AZ1034" s="163"/>
      <c r="BA1034" s="163"/>
      <c r="BB1034" s="163"/>
      <c r="BC1034" s="163"/>
      <c r="BD1034" s="163"/>
      <c r="BE1034" s="163"/>
      <c r="BF1034" s="163"/>
      <c r="BG1034" s="163"/>
      <c r="BH1034" s="163"/>
      <c r="BI1034" s="163"/>
      <c r="BJ1034" s="163"/>
      <c r="BK1034" s="163"/>
      <c r="BL1034" s="163"/>
      <c r="BM1034" s="163"/>
      <c r="BN1034" s="163"/>
      <c r="BO1034" s="163"/>
      <c r="BP1034" s="163"/>
      <c r="BQ1034" s="163"/>
      <c r="BR1034" s="163"/>
      <c r="BS1034" s="163"/>
      <c r="BT1034" s="163"/>
      <c r="BU1034" s="163"/>
      <c r="BV1034" s="163"/>
      <c r="BW1034" s="163"/>
      <c r="BX1034" s="163"/>
      <c r="BY1034" s="171"/>
    </row>
    <row r="1035" spans="1:77" s="14" customFormat="1" x14ac:dyDescent="0.15">
      <c r="A1035" s="151">
        <v>1415020042</v>
      </c>
      <c r="B1035" s="152" t="s">
        <v>745</v>
      </c>
      <c r="C1035" s="153" t="s">
        <v>112</v>
      </c>
      <c r="D1035" s="153"/>
      <c r="E1035" s="153" t="s">
        <v>83</v>
      </c>
      <c r="F1035" s="153">
        <v>60000</v>
      </c>
      <c r="G1035" s="153"/>
      <c r="H1035" s="153"/>
      <c r="I1035" s="153"/>
      <c r="J1035" s="162"/>
      <c r="K1035" s="162"/>
      <c r="L1035" s="162"/>
      <c r="M1035" s="162" t="s">
        <v>101</v>
      </c>
      <c r="N1035" s="162"/>
      <c r="O1035" s="153" t="s">
        <v>90</v>
      </c>
      <c r="P1035" s="163"/>
      <c r="Q1035" s="163"/>
      <c r="R1035" s="163"/>
      <c r="S1035" s="163"/>
      <c r="T1035" s="163"/>
      <c r="U1035" s="163"/>
      <c r="V1035" s="163"/>
      <c r="W1035" s="163"/>
      <c r="X1035" s="163"/>
      <c r="Y1035" s="163"/>
      <c r="Z1035" s="163"/>
      <c r="AA1035" s="163"/>
      <c r="AB1035" s="163"/>
      <c r="AC1035" s="163">
        <v>1415020604</v>
      </c>
      <c r="AD1035" s="163">
        <v>1415020504</v>
      </c>
      <c r="AE1035" s="163"/>
      <c r="AF1035" s="163"/>
      <c r="AG1035" s="163"/>
      <c r="AH1035" s="163"/>
      <c r="AI1035" s="163"/>
      <c r="AJ1035" s="163" t="s">
        <v>90</v>
      </c>
      <c r="AK1035" s="163"/>
      <c r="AL1035" s="163"/>
      <c r="AM1035" s="163"/>
      <c r="AN1035" s="163"/>
      <c r="AO1035" s="163"/>
      <c r="AP1035" s="163"/>
      <c r="AQ1035" s="163"/>
      <c r="AR1035" s="163"/>
      <c r="AS1035" s="163"/>
      <c r="AT1035" s="163"/>
      <c r="AU1035" s="163"/>
      <c r="AV1035" s="163"/>
      <c r="AW1035" s="163"/>
      <c r="AX1035" s="163">
        <v>1415020204</v>
      </c>
      <c r="AY1035" s="163">
        <v>1415020104</v>
      </c>
      <c r="AZ1035" s="163"/>
      <c r="BA1035" s="163"/>
      <c r="BB1035" s="163"/>
      <c r="BC1035" s="163"/>
      <c r="BD1035" s="163"/>
      <c r="BE1035" s="163"/>
      <c r="BF1035" s="163"/>
      <c r="BG1035" s="163"/>
      <c r="BH1035" s="163"/>
      <c r="BI1035" s="163"/>
      <c r="BJ1035" s="163"/>
      <c r="BK1035" s="163"/>
      <c r="BL1035" s="163"/>
      <c r="BM1035" s="163"/>
      <c r="BN1035" s="163"/>
      <c r="BO1035" s="163"/>
      <c r="BP1035" s="163"/>
      <c r="BQ1035" s="163"/>
      <c r="BR1035" s="163"/>
      <c r="BS1035" s="163"/>
      <c r="BT1035" s="163"/>
      <c r="BU1035" s="163"/>
      <c r="BV1035" s="163"/>
      <c r="BW1035" s="163"/>
      <c r="BX1035" s="163"/>
      <c r="BY1035" s="171"/>
    </row>
    <row r="1036" spans="1:77" s="14" customFormat="1" x14ac:dyDescent="0.15">
      <c r="A1036" s="151">
        <v>1415020013</v>
      </c>
      <c r="B1036" s="152" t="s">
        <v>746</v>
      </c>
      <c r="C1036" s="153" t="s">
        <v>100</v>
      </c>
      <c r="D1036" s="153"/>
      <c r="E1036" s="153" t="s">
        <v>78</v>
      </c>
      <c r="F1036" s="153"/>
      <c r="G1036" s="153"/>
      <c r="H1036" s="153"/>
      <c r="I1036" s="153"/>
      <c r="J1036" s="162"/>
      <c r="K1036" s="162"/>
      <c r="L1036" s="162"/>
      <c r="M1036" s="162" t="s">
        <v>101</v>
      </c>
      <c r="N1036" s="162" t="s">
        <v>842</v>
      </c>
      <c r="O1036" s="153" t="s">
        <v>79</v>
      </c>
      <c r="P1036" s="163" t="s">
        <v>102</v>
      </c>
      <c r="Q1036" s="182">
        <v>150</v>
      </c>
      <c r="R1036" s="182"/>
      <c r="S1036" s="182">
        <v>2400</v>
      </c>
      <c r="T1036" s="163"/>
      <c r="U1036" s="163">
        <v>5000</v>
      </c>
      <c r="V1036" s="163"/>
      <c r="W1036" s="163"/>
      <c r="X1036" s="163"/>
      <c r="Y1036" s="163"/>
      <c r="Z1036" s="163"/>
      <c r="AA1036" s="163"/>
      <c r="AB1036" s="163"/>
      <c r="AC1036" s="163"/>
      <c r="AD1036" s="163"/>
      <c r="AE1036" s="163"/>
      <c r="AF1036" s="163"/>
      <c r="AG1036" s="163"/>
      <c r="AH1036" s="163"/>
      <c r="AI1036" s="163"/>
      <c r="AJ1036" s="163"/>
      <c r="AK1036" s="163"/>
      <c r="AL1036" s="163"/>
      <c r="AM1036" s="163"/>
      <c r="AN1036" s="163"/>
      <c r="AO1036" s="163"/>
      <c r="AP1036" s="163"/>
      <c r="AQ1036" s="163"/>
      <c r="AR1036" s="163"/>
      <c r="AS1036" s="163"/>
      <c r="AT1036" s="163"/>
      <c r="AU1036" s="163"/>
      <c r="AV1036" s="163"/>
      <c r="AW1036" s="163"/>
      <c r="AX1036" s="163"/>
      <c r="AY1036" s="163"/>
      <c r="AZ1036" s="163"/>
      <c r="BA1036" s="163"/>
      <c r="BB1036" s="163"/>
      <c r="BC1036" s="163"/>
      <c r="BD1036" s="163"/>
      <c r="BE1036" s="163"/>
      <c r="BF1036" s="163"/>
      <c r="BG1036" s="163"/>
      <c r="BH1036" s="163"/>
      <c r="BI1036" s="163"/>
      <c r="BJ1036" s="163"/>
      <c r="BK1036" s="163"/>
      <c r="BL1036" s="163"/>
      <c r="BM1036" s="163"/>
      <c r="BN1036" s="163"/>
      <c r="BO1036" s="163"/>
      <c r="BP1036" s="163"/>
      <c r="BQ1036" s="163"/>
      <c r="BR1036" s="163"/>
      <c r="BS1036" s="163"/>
      <c r="BT1036" s="163"/>
      <c r="BU1036" s="163"/>
      <c r="BV1036" s="163"/>
      <c r="BW1036" s="163"/>
      <c r="BX1036" s="163"/>
      <c r="BY1036" s="171"/>
    </row>
    <row r="1037" spans="1:77" s="14" customFormat="1" x14ac:dyDescent="0.15">
      <c r="A1037" s="151">
        <v>1415020023</v>
      </c>
      <c r="B1037" s="152" t="s">
        <v>746</v>
      </c>
      <c r="C1037" s="153" t="s">
        <v>100</v>
      </c>
      <c r="D1037" s="153"/>
      <c r="E1037" s="153" t="s">
        <v>78</v>
      </c>
      <c r="F1037" s="153"/>
      <c r="G1037" s="153"/>
      <c r="H1037" s="153"/>
      <c r="I1037" s="153"/>
      <c r="J1037" s="162"/>
      <c r="K1037" s="162"/>
      <c r="L1037" s="162"/>
      <c r="M1037" s="162" t="s">
        <v>101</v>
      </c>
      <c r="N1037" s="162" t="s">
        <v>842</v>
      </c>
      <c r="O1037" s="153" t="s">
        <v>79</v>
      </c>
      <c r="P1037" s="163" t="s">
        <v>102</v>
      </c>
      <c r="Q1037" s="182">
        <v>220</v>
      </c>
      <c r="R1037" s="182"/>
      <c r="S1037" s="182">
        <v>2400</v>
      </c>
      <c r="T1037" s="163"/>
      <c r="U1037" s="163">
        <v>5000</v>
      </c>
      <c r="V1037" s="163"/>
      <c r="W1037" s="163"/>
      <c r="X1037" s="163"/>
      <c r="Y1037" s="163"/>
      <c r="Z1037" s="163"/>
      <c r="AA1037" s="163"/>
      <c r="AB1037" s="163"/>
      <c r="AC1037" s="163"/>
      <c r="AD1037" s="163"/>
      <c r="AE1037" s="163"/>
      <c r="AF1037" s="163"/>
      <c r="AG1037" s="163"/>
      <c r="AH1037" s="163"/>
      <c r="AI1037" s="163"/>
      <c r="AJ1037" s="163"/>
      <c r="AK1037" s="163"/>
      <c r="AL1037" s="163"/>
      <c r="AM1037" s="163"/>
      <c r="AN1037" s="163"/>
      <c r="AO1037" s="163"/>
      <c r="AP1037" s="163"/>
      <c r="AQ1037" s="163"/>
      <c r="AR1037" s="163"/>
      <c r="AS1037" s="163"/>
      <c r="AT1037" s="163"/>
      <c r="AU1037" s="163"/>
      <c r="AV1037" s="163"/>
      <c r="AW1037" s="163"/>
      <c r="AX1037" s="163"/>
      <c r="AY1037" s="163"/>
      <c r="AZ1037" s="163"/>
      <c r="BA1037" s="163"/>
      <c r="BB1037" s="163"/>
      <c r="BC1037" s="163"/>
      <c r="BD1037" s="163"/>
      <c r="BE1037" s="163"/>
      <c r="BF1037" s="163"/>
      <c r="BG1037" s="163"/>
      <c r="BH1037" s="163"/>
      <c r="BI1037" s="163"/>
      <c r="BJ1037" s="163"/>
      <c r="BK1037" s="163"/>
      <c r="BL1037" s="163"/>
      <c r="BM1037" s="163"/>
      <c r="BN1037" s="163"/>
      <c r="BO1037" s="163"/>
      <c r="BP1037" s="163"/>
      <c r="BQ1037" s="163"/>
      <c r="BR1037" s="163"/>
      <c r="BS1037" s="163"/>
      <c r="BT1037" s="163"/>
      <c r="BU1037" s="163"/>
      <c r="BV1037" s="163"/>
      <c r="BW1037" s="163"/>
      <c r="BX1037" s="163"/>
      <c r="BY1037" s="171"/>
    </row>
    <row r="1038" spans="1:77" s="14" customFormat="1" x14ac:dyDescent="0.15">
      <c r="A1038" s="151">
        <v>1415020033</v>
      </c>
      <c r="B1038" s="152" t="s">
        <v>746</v>
      </c>
      <c r="C1038" s="153" t="s">
        <v>100</v>
      </c>
      <c r="D1038" s="153"/>
      <c r="E1038" s="153" t="s">
        <v>78</v>
      </c>
      <c r="F1038" s="153"/>
      <c r="G1038" s="153"/>
      <c r="H1038" s="153"/>
      <c r="I1038" s="153"/>
      <c r="J1038" s="162"/>
      <c r="K1038" s="162"/>
      <c r="L1038" s="162"/>
      <c r="M1038" s="162" t="s">
        <v>101</v>
      </c>
      <c r="N1038" s="162" t="s">
        <v>842</v>
      </c>
      <c r="O1038" s="153" t="s">
        <v>79</v>
      </c>
      <c r="P1038" s="163" t="s">
        <v>102</v>
      </c>
      <c r="Q1038" s="182">
        <v>290</v>
      </c>
      <c r="R1038" s="182"/>
      <c r="S1038" s="182">
        <v>2400</v>
      </c>
      <c r="T1038" s="163"/>
      <c r="U1038" s="163">
        <v>5000</v>
      </c>
      <c r="V1038" s="163"/>
      <c r="W1038" s="163"/>
      <c r="X1038" s="163"/>
      <c r="Y1038" s="163"/>
      <c r="Z1038" s="163"/>
      <c r="AA1038" s="163"/>
      <c r="AB1038" s="163"/>
      <c r="AC1038" s="163"/>
      <c r="AD1038" s="163"/>
      <c r="AE1038" s="163"/>
      <c r="AF1038" s="163"/>
      <c r="AG1038" s="163"/>
      <c r="AH1038" s="163"/>
      <c r="AI1038" s="163"/>
      <c r="AJ1038" s="163"/>
      <c r="AK1038" s="163"/>
      <c r="AL1038" s="163"/>
      <c r="AM1038" s="163"/>
      <c r="AN1038" s="163"/>
      <c r="AO1038" s="163"/>
      <c r="AP1038" s="163"/>
      <c r="AQ1038" s="163"/>
      <c r="AR1038" s="163"/>
      <c r="AS1038" s="163"/>
      <c r="AT1038" s="163"/>
      <c r="AU1038" s="163"/>
      <c r="AV1038" s="163"/>
      <c r="AW1038" s="163"/>
      <c r="AX1038" s="163"/>
      <c r="AY1038" s="163"/>
      <c r="AZ1038" s="163"/>
      <c r="BA1038" s="163"/>
      <c r="BB1038" s="163"/>
      <c r="BC1038" s="163"/>
      <c r="BD1038" s="163"/>
      <c r="BE1038" s="163"/>
      <c r="BF1038" s="163"/>
      <c r="BG1038" s="163"/>
      <c r="BH1038" s="163"/>
      <c r="BI1038" s="163"/>
      <c r="BJ1038" s="163"/>
      <c r="BK1038" s="163"/>
      <c r="BL1038" s="163"/>
      <c r="BM1038" s="163"/>
      <c r="BN1038" s="163"/>
      <c r="BO1038" s="163"/>
      <c r="BP1038" s="163"/>
      <c r="BQ1038" s="163"/>
      <c r="BR1038" s="163"/>
      <c r="BS1038" s="163"/>
      <c r="BT1038" s="163"/>
      <c r="BU1038" s="163"/>
      <c r="BV1038" s="163"/>
      <c r="BW1038" s="163"/>
      <c r="BX1038" s="163"/>
      <c r="BY1038" s="171"/>
    </row>
    <row r="1039" spans="1:77" s="14" customFormat="1" x14ac:dyDescent="0.15">
      <c r="A1039" s="151">
        <v>1415020043</v>
      </c>
      <c r="B1039" s="152" t="s">
        <v>746</v>
      </c>
      <c r="C1039" s="153" t="s">
        <v>100</v>
      </c>
      <c r="D1039" s="153"/>
      <c r="E1039" s="153" t="s">
        <v>78</v>
      </c>
      <c r="F1039" s="153"/>
      <c r="G1039" s="153"/>
      <c r="H1039" s="153"/>
      <c r="I1039" s="153"/>
      <c r="J1039" s="162"/>
      <c r="K1039" s="162"/>
      <c r="L1039" s="162"/>
      <c r="M1039" s="162" t="s">
        <v>101</v>
      </c>
      <c r="N1039" s="162" t="s">
        <v>842</v>
      </c>
      <c r="O1039" s="153" t="s">
        <v>79</v>
      </c>
      <c r="P1039" s="163" t="s">
        <v>102</v>
      </c>
      <c r="Q1039" s="182">
        <v>360</v>
      </c>
      <c r="R1039" s="182"/>
      <c r="S1039" s="182">
        <v>2400</v>
      </c>
      <c r="T1039" s="163"/>
      <c r="U1039" s="163">
        <v>5000</v>
      </c>
      <c r="V1039" s="163"/>
      <c r="W1039" s="163"/>
      <c r="X1039" s="163"/>
      <c r="Y1039" s="163"/>
      <c r="Z1039" s="163"/>
      <c r="AA1039" s="163"/>
      <c r="AB1039" s="163"/>
      <c r="AC1039" s="163"/>
      <c r="AD1039" s="163"/>
      <c r="AE1039" s="163"/>
      <c r="AF1039" s="163"/>
      <c r="AG1039" s="163"/>
      <c r="AH1039" s="163"/>
      <c r="AI1039" s="163"/>
      <c r="AJ1039" s="163"/>
      <c r="AK1039" s="163"/>
      <c r="AL1039" s="163"/>
      <c r="AM1039" s="163"/>
      <c r="AN1039" s="163"/>
      <c r="AO1039" s="163"/>
      <c r="AP1039" s="163"/>
      <c r="AQ1039" s="163"/>
      <c r="AR1039" s="163"/>
      <c r="AS1039" s="163"/>
      <c r="AT1039" s="163"/>
      <c r="AU1039" s="163"/>
      <c r="AV1039" s="163"/>
      <c r="AW1039" s="163"/>
      <c r="AX1039" s="163"/>
      <c r="AY1039" s="163"/>
      <c r="AZ1039" s="163"/>
      <c r="BA1039" s="163"/>
      <c r="BB1039" s="163"/>
      <c r="BC1039" s="163"/>
      <c r="BD1039" s="163"/>
      <c r="BE1039" s="163"/>
      <c r="BF1039" s="163"/>
      <c r="BG1039" s="163"/>
      <c r="BH1039" s="163"/>
      <c r="BI1039" s="163"/>
      <c r="BJ1039" s="163"/>
      <c r="BK1039" s="163"/>
      <c r="BL1039" s="163"/>
      <c r="BM1039" s="163"/>
      <c r="BN1039" s="163"/>
      <c r="BO1039" s="163"/>
      <c r="BP1039" s="163"/>
      <c r="BQ1039" s="163"/>
      <c r="BR1039" s="163"/>
      <c r="BS1039" s="163"/>
      <c r="BT1039" s="163"/>
      <c r="BU1039" s="163"/>
      <c r="BV1039" s="163"/>
      <c r="BW1039" s="163"/>
      <c r="BX1039" s="163"/>
      <c r="BY1039" s="171"/>
    </row>
    <row r="1040" spans="1:77" s="14" customFormat="1" x14ac:dyDescent="0.15">
      <c r="A1040" s="151">
        <v>1415020014</v>
      </c>
      <c r="B1040" s="152" t="s">
        <v>747</v>
      </c>
      <c r="C1040" s="153" t="s">
        <v>112</v>
      </c>
      <c r="D1040" s="153"/>
      <c r="E1040" s="153" t="s">
        <v>78</v>
      </c>
      <c r="F1040" s="153"/>
      <c r="G1040" s="153"/>
      <c r="H1040" s="153"/>
      <c r="I1040" s="153"/>
      <c r="J1040" s="162"/>
      <c r="K1040" s="162"/>
      <c r="L1040" s="162"/>
      <c r="M1040" s="162" t="s">
        <v>101</v>
      </c>
      <c r="N1040" s="162"/>
      <c r="O1040" s="153" t="s">
        <v>306</v>
      </c>
      <c r="P1040" s="163"/>
      <c r="Q1040" s="182">
        <v>150</v>
      </c>
      <c r="R1040" s="182"/>
      <c r="S1040" s="182">
        <v>2400</v>
      </c>
      <c r="T1040" s="163"/>
      <c r="U1040" s="163"/>
      <c r="V1040" s="163"/>
      <c r="W1040" s="163"/>
      <c r="X1040" s="163"/>
      <c r="Y1040" s="163"/>
      <c r="Z1040" s="163"/>
      <c r="AA1040" s="163"/>
      <c r="AB1040" s="163"/>
      <c r="AC1040" s="163"/>
      <c r="AD1040" s="163"/>
      <c r="AE1040" s="163"/>
      <c r="AF1040" s="163"/>
      <c r="AG1040" s="163"/>
      <c r="AH1040" s="163"/>
      <c r="AI1040" s="163"/>
      <c r="AJ1040" s="163"/>
      <c r="AK1040" s="163"/>
      <c r="AL1040" s="163"/>
      <c r="AM1040" s="163"/>
      <c r="AN1040" s="163"/>
      <c r="AO1040" s="163"/>
      <c r="AP1040" s="163"/>
      <c r="AQ1040" s="163"/>
      <c r="AR1040" s="163"/>
      <c r="AS1040" s="163"/>
      <c r="AT1040" s="163"/>
      <c r="AU1040" s="163"/>
      <c r="AV1040" s="163"/>
      <c r="AW1040" s="163"/>
      <c r="AX1040" s="163"/>
      <c r="AY1040" s="163"/>
      <c r="AZ1040" s="163"/>
      <c r="BA1040" s="163"/>
      <c r="BB1040" s="163"/>
      <c r="BC1040" s="163"/>
      <c r="BD1040" s="163"/>
      <c r="BE1040" s="163"/>
      <c r="BF1040" s="163"/>
      <c r="BG1040" s="163"/>
      <c r="BH1040" s="163"/>
      <c r="BI1040" s="163"/>
      <c r="BJ1040" s="163"/>
      <c r="BK1040" s="163"/>
      <c r="BL1040" s="163"/>
      <c r="BM1040" s="163"/>
      <c r="BN1040" s="163"/>
      <c r="BO1040" s="163"/>
      <c r="BP1040" s="163"/>
      <c r="BQ1040" s="163"/>
      <c r="BR1040" s="163"/>
      <c r="BS1040" s="163"/>
      <c r="BT1040" s="163"/>
      <c r="BU1040" s="163"/>
      <c r="BV1040" s="163"/>
      <c r="BW1040" s="163"/>
      <c r="BX1040" s="163"/>
      <c r="BY1040" s="171"/>
    </row>
    <row r="1041" spans="1:77" s="14" customFormat="1" x14ac:dyDescent="0.15">
      <c r="A1041" s="151">
        <v>1415020024</v>
      </c>
      <c r="B1041" s="152" t="s">
        <v>747</v>
      </c>
      <c r="C1041" s="153" t="s">
        <v>112</v>
      </c>
      <c r="D1041" s="153"/>
      <c r="E1041" s="153" t="s">
        <v>78</v>
      </c>
      <c r="F1041" s="153"/>
      <c r="G1041" s="153"/>
      <c r="H1041" s="153"/>
      <c r="I1041" s="153"/>
      <c r="J1041" s="162"/>
      <c r="K1041" s="162"/>
      <c r="L1041" s="162"/>
      <c r="M1041" s="162" t="s">
        <v>101</v>
      </c>
      <c r="N1041" s="162"/>
      <c r="O1041" s="153" t="s">
        <v>306</v>
      </c>
      <c r="P1041" s="163"/>
      <c r="Q1041" s="182">
        <v>220</v>
      </c>
      <c r="R1041" s="182"/>
      <c r="S1041" s="182">
        <v>2400</v>
      </c>
      <c r="T1041" s="163"/>
      <c r="U1041" s="163"/>
      <c r="V1041" s="163"/>
      <c r="W1041" s="163"/>
      <c r="X1041" s="163"/>
      <c r="Y1041" s="163"/>
      <c r="Z1041" s="163"/>
      <c r="AA1041" s="163"/>
      <c r="AB1041" s="163"/>
      <c r="AC1041" s="163"/>
      <c r="AD1041" s="163"/>
      <c r="AE1041" s="163"/>
      <c r="AF1041" s="163"/>
      <c r="AG1041" s="163"/>
      <c r="AH1041" s="163"/>
      <c r="AI1041" s="163"/>
      <c r="AJ1041" s="163"/>
      <c r="AK1041" s="163"/>
      <c r="AL1041" s="163"/>
      <c r="AM1041" s="163"/>
      <c r="AN1041" s="163"/>
      <c r="AO1041" s="163"/>
      <c r="AP1041" s="163"/>
      <c r="AQ1041" s="163"/>
      <c r="AR1041" s="163"/>
      <c r="AS1041" s="163"/>
      <c r="AT1041" s="163"/>
      <c r="AU1041" s="163"/>
      <c r="AV1041" s="163"/>
      <c r="AW1041" s="163"/>
      <c r="AX1041" s="163"/>
      <c r="AY1041" s="163"/>
      <c r="AZ1041" s="163"/>
      <c r="BA1041" s="163"/>
      <c r="BB1041" s="163"/>
      <c r="BC1041" s="163"/>
      <c r="BD1041" s="163"/>
      <c r="BE1041" s="163"/>
      <c r="BF1041" s="163"/>
      <c r="BG1041" s="163"/>
      <c r="BH1041" s="163"/>
      <c r="BI1041" s="163"/>
      <c r="BJ1041" s="163"/>
      <c r="BK1041" s="163"/>
      <c r="BL1041" s="163"/>
      <c r="BM1041" s="163"/>
      <c r="BN1041" s="163"/>
      <c r="BO1041" s="163"/>
      <c r="BP1041" s="163"/>
      <c r="BQ1041" s="163"/>
      <c r="BR1041" s="163"/>
      <c r="BS1041" s="163"/>
      <c r="BT1041" s="163"/>
      <c r="BU1041" s="163"/>
      <c r="BV1041" s="163"/>
      <c r="BW1041" s="163"/>
      <c r="BX1041" s="163"/>
      <c r="BY1041" s="171"/>
    </row>
    <row r="1042" spans="1:77" s="14" customFormat="1" x14ac:dyDescent="0.15">
      <c r="A1042" s="151">
        <v>1415020034</v>
      </c>
      <c r="B1042" s="152" t="s">
        <v>747</v>
      </c>
      <c r="C1042" s="153" t="s">
        <v>112</v>
      </c>
      <c r="D1042" s="153"/>
      <c r="E1042" s="153" t="s">
        <v>78</v>
      </c>
      <c r="F1042" s="153"/>
      <c r="G1042" s="153"/>
      <c r="H1042" s="153"/>
      <c r="I1042" s="153"/>
      <c r="J1042" s="162"/>
      <c r="K1042" s="162"/>
      <c r="L1042" s="162"/>
      <c r="M1042" s="162" t="s">
        <v>101</v>
      </c>
      <c r="N1042" s="162"/>
      <c r="O1042" s="153" t="s">
        <v>306</v>
      </c>
      <c r="P1042" s="163"/>
      <c r="Q1042" s="182">
        <v>290</v>
      </c>
      <c r="R1042" s="182"/>
      <c r="S1042" s="182">
        <v>2400</v>
      </c>
      <c r="T1042" s="163"/>
      <c r="U1042" s="163"/>
      <c r="V1042" s="163"/>
      <c r="W1042" s="163"/>
      <c r="X1042" s="163"/>
      <c r="Y1042" s="163"/>
      <c r="Z1042" s="163"/>
      <c r="AA1042" s="163"/>
      <c r="AB1042" s="163"/>
      <c r="AC1042" s="163"/>
      <c r="AD1042" s="163"/>
      <c r="AE1042" s="163"/>
      <c r="AF1042" s="163"/>
      <c r="AG1042" s="163"/>
      <c r="AH1042" s="163"/>
      <c r="AI1042" s="163"/>
      <c r="AJ1042" s="163"/>
      <c r="AK1042" s="163"/>
      <c r="AL1042" s="163"/>
      <c r="AM1042" s="163"/>
      <c r="AN1042" s="163"/>
      <c r="AO1042" s="163"/>
      <c r="AP1042" s="163"/>
      <c r="AQ1042" s="163"/>
      <c r="AR1042" s="163"/>
      <c r="AS1042" s="163"/>
      <c r="AT1042" s="163"/>
      <c r="AU1042" s="163"/>
      <c r="AV1042" s="163"/>
      <c r="AW1042" s="163"/>
      <c r="AX1042" s="163"/>
      <c r="AY1042" s="163"/>
      <c r="AZ1042" s="163"/>
      <c r="BA1042" s="163"/>
      <c r="BB1042" s="163"/>
      <c r="BC1042" s="163"/>
      <c r="BD1042" s="163"/>
      <c r="BE1042" s="163"/>
      <c r="BF1042" s="163"/>
      <c r="BG1042" s="163"/>
      <c r="BH1042" s="163"/>
      <c r="BI1042" s="163"/>
      <c r="BJ1042" s="163"/>
      <c r="BK1042" s="163"/>
      <c r="BL1042" s="163"/>
      <c r="BM1042" s="163"/>
      <c r="BN1042" s="163"/>
      <c r="BO1042" s="163"/>
      <c r="BP1042" s="163"/>
      <c r="BQ1042" s="163"/>
      <c r="BR1042" s="163"/>
      <c r="BS1042" s="163"/>
      <c r="BT1042" s="163"/>
      <c r="BU1042" s="163"/>
      <c r="BV1042" s="163"/>
      <c r="BW1042" s="163"/>
      <c r="BX1042" s="163"/>
      <c r="BY1042" s="171"/>
    </row>
    <row r="1043" spans="1:77" s="14" customFormat="1" x14ac:dyDescent="0.15">
      <c r="A1043" s="151">
        <v>1415020044</v>
      </c>
      <c r="B1043" s="152" t="s">
        <v>747</v>
      </c>
      <c r="C1043" s="153" t="s">
        <v>112</v>
      </c>
      <c r="D1043" s="153"/>
      <c r="E1043" s="153" t="s">
        <v>78</v>
      </c>
      <c r="F1043" s="153"/>
      <c r="G1043" s="153"/>
      <c r="H1043" s="153"/>
      <c r="I1043" s="153"/>
      <c r="J1043" s="162"/>
      <c r="K1043" s="162"/>
      <c r="L1043" s="162"/>
      <c r="M1043" s="162" t="s">
        <v>101</v>
      </c>
      <c r="N1043" s="162"/>
      <c r="O1043" s="153" t="s">
        <v>306</v>
      </c>
      <c r="P1043" s="163"/>
      <c r="Q1043" s="182">
        <v>360</v>
      </c>
      <c r="R1043" s="182"/>
      <c r="S1043" s="182">
        <v>2400</v>
      </c>
      <c r="T1043" s="163"/>
      <c r="U1043" s="163"/>
      <c r="V1043" s="163"/>
      <c r="W1043" s="163"/>
      <c r="X1043" s="163"/>
      <c r="Y1043" s="163"/>
      <c r="Z1043" s="163"/>
      <c r="AA1043" s="163"/>
      <c r="AB1043" s="163"/>
      <c r="AC1043" s="163"/>
      <c r="AD1043" s="163"/>
      <c r="AE1043" s="163"/>
      <c r="AF1043" s="163"/>
      <c r="AG1043" s="163"/>
      <c r="AH1043" s="163"/>
      <c r="AI1043" s="163"/>
      <c r="AJ1043" s="163"/>
      <c r="AK1043" s="163"/>
      <c r="AL1043" s="163"/>
      <c r="AM1043" s="163"/>
      <c r="AN1043" s="163"/>
      <c r="AO1043" s="163"/>
      <c r="AP1043" s="163"/>
      <c r="AQ1043" s="163"/>
      <c r="AR1043" s="163"/>
      <c r="AS1043" s="163"/>
      <c r="AT1043" s="163"/>
      <c r="AU1043" s="163"/>
      <c r="AV1043" s="163"/>
      <c r="AW1043" s="163"/>
      <c r="AX1043" s="163"/>
      <c r="AY1043" s="163"/>
      <c r="AZ1043" s="163"/>
      <c r="BA1043" s="163"/>
      <c r="BB1043" s="163"/>
      <c r="BC1043" s="163"/>
      <c r="BD1043" s="163"/>
      <c r="BE1043" s="163"/>
      <c r="BF1043" s="163"/>
      <c r="BG1043" s="163"/>
      <c r="BH1043" s="163"/>
      <c r="BI1043" s="163"/>
      <c r="BJ1043" s="163"/>
      <c r="BK1043" s="163"/>
      <c r="BL1043" s="163"/>
      <c r="BM1043" s="163"/>
      <c r="BN1043" s="163"/>
      <c r="BO1043" s="163"/>
      <c r="BP1043" s="163"/>
      <c r="BQ1043" s="163"/>
      <c r="BR1043" s="163"/>
      <c r="BS1043" s="163"/>
      <c r="BT1043" s="163"/>
      <c r="BU1043" s="163"/>
      <c r="BV1043" s="163"/>
      <c r="BW1043" s="163"/>
      <c r="BX1043" s="163"/>
      <c r="BY1043" s="171"/>
    </row>
    <row r="1044" spans="1:77" s="14" customFormat="1" x14ac:dyDescent="0.15">
      <c r="A1044" s="151">
        <v>1415040011</v>
      </c>
      <c r="B1044" s="152" t="s">
        <v>748</v>
      </c>
      <c r="C1044" s="153" t="s">
        <v>584</v>
      </c>
      <c r="D1044" s="153"/>
      <c r="E1044" s="153" t="s">
        <v>83</v>
      </c>
      <c r="F1044" s="153">
        <v>150000</v>
      </c>
      <c r="G1044" s="153"/>
      <c r="H1044" s="153"/>
      <c r="I1044" s="153"/>
      <c r="J1044" s="162"/>
      <c r="K1044" s="162"/>
      <c r="L1044" s="162"/>
      <c r="M1044" s="162"/>
      <c r="N1044" s="162"/>
      <c r="O1044" s="153" t="s">
        <v>90</v>
      </c>
      <c r="P1044" s="163"/>
      <c r="Q1044" s="163"/>
      <c r="R1044" s="163"/>
      <c r="S1044" s="163"/>
      <c r="T1044" s="163"/>
      <c r="U1044" s="163"/>
      <c r="V1044" s="163"/>
      <c r="W1044" s="163"/>
      <c r="X1044" s="163"/>
      <c r="Y1044" s="163"/>
      <c r="Z1044" s="163"/>
      <c r="AA1044" s="163"/>
      <c r="AB1044" s="163"/>
      <c r="AC1044" s="163"/>
      <c r="AD1044" s="163">
        <v>1415040101</v>
      </c>
      <c r="AE1044" s="163"/>
      <c r="AF1044" s="163"/>
      <c r="AG1044" s="163"/>
      <c r="AH1044" s="163"/>
      <c r="AI1044" s="163"/>
      <c r="AJ1044" s="163"/>
      <c r="AK1044" s="163"/>
      <c r="AL1044" s="163"/>
      <c r="AM1044" s="163"/>
      <c r="AN1044" s="163"/>
      <c r="AO1044" s="163"/>
      <c r="AP1044" s="163"/>
      <c r="AQ1044" s="163"/>
      <c r="AR1044" s="163"/>
      <c r="AS1044" s="163"/>
      <c r="AT1044" s="163"/>
      <c r="AU1044" s="163"/>
      <c r="AV1044" s="163"/>
      <c r="AW1044" s="163"/>
      <c r="AX1044" s="163"/>
      <c r="AY1044" s="163"/>
      <c r="AZ1044" s="163"/>
      <c r="BA1044" s="163"/>
      <c r="BB1044" s="163"/>
      <c r="BC1044" s="163"/>
      <c r="BD1044" s="163"/>
      <c r="BE1044" s="163"/>
      <c r="BF1044" s="163"/>
      <c r="BG1044" s="163"/>
      <c r="BH1044" s="163"/>
      <c r="BI1044" s="163"/>
      <c r="BJ1044" s="163"/>
      <c r="BK1044" s="163"/>
      <c r="BL1044" s="163"/>
      <c r="BM1044" s="163"/>
      <c r="BN1044" s="163"/>
      <c r="BO1044" s="163"/>
      <c r="BP1044" s="163"/>
      <c r="BQ1044" s="163"/>
      <c r="BR1044" s="163"/>
      <c r="BS1044" s="163"/>
      <c r="BT1044" s="163"/>
      <c r="BU1044" s="163"/>
      <c r="BV1044" s="163"/>
      <c r="BW1044" s="163"/>
      <c r="BX1044" s="163"/>
      <c r="BY1044" s="171"/>
    </row>
    <row r="1045" spans="1:77" s="14" customFormat="1" x14ac:dyDescent="0.15">
      <c r="A1045" s="151">
        <v>1415040012</v>
      </c>
      <c r="B1045" s="152" t="s">
        <v>749</v>
      </c>
      <c r="C1045" s="153" t="s">
        <v>134</v>
      </c>
      <c r="D1045" s="153"/>
      <c r="E1045" s="153" t="s">
        <v>78</v>
      </c>
      <c r="F1045" s="153"/>
      <c r="G1045" s="153"/>
      <c r="H1045" s="153"/>
      <c r="I1045" s="153"/>
      <c r="J1045" s="162"/>
      <c r="K1045" s="162"/>
      <c r="L1045" s="162"/>
      <c r="M1045" s="162"/>
      <c r="N1045" s="162"/>
      <c r="O1045" s="153" t="s">
        <v>90</v>
      </c>
      <c r="P1045" s="163"/>
      <c r="Q1045" s="163"/>
      <c r="R1045" s="163"/>
      <c r="S1045" s="163"/>
      <c r="T1045" s="163"/>
      <c r="U1045" s="163"/>
      <c r="V1045" s="163"/>
      <c r="W1045" s="163"/>
      <c r="X1045" s="163"/>
      <c r="Y1045" s="163"/>
      <c r="Z1045" s="163"/>
      <c r="AA1045" s="163"/>
      <c r="AB1045" s="163"/>
      <c r="AC1045" s="163">
        <v>1415040201</v>
      </c>
      <c r="AD1045" s="163"/>
      <c r="AE1045" s="163"/>
      <c r="AF1045" s="163"/>
      <c r="AG1045" s="163"/>
      <c r="AH1045" s="163"/>
      <c r="AI1045" s="163"/>
      <c r="AJ1045" s="163"/>
      <c r="AK1045" s="163"/>
      <c r="AL1045" s="163"/>
      <c r="AM1045" s="163"/>
      <c r="AN1045" s="163"/>
      <c r="AO1045" s="163"/>
      <c r="AP1045" s="163"/>
      <c r="AQ1045" s="163"/>
      <c r="AR1045" s="163"/>
      <c r="AS1045" s="163"/>
      <c r="AT1045" s="163"/>
      <c r="AU1045" s="163"/>
      <c r="AV1045" s="163"/>
      <c r="AW1045" s="163"/>
      <c r="AX1045" s="163"/>
      <c r="AY1045" s="163"/>
      <c r="AZ1045" s="163"/>
      <c r="BA1045" s="163"/>
      <c r="BB1045" s="163"/>
      <c r="BC1045" s="163"/>
      <c r="BD1045" s="163"/>
      <c r="BE1045" s="163"/>
      <c r="BF1045" s="163"/>
      <c r="BG1045" s="163"/>
      <c r="BH1045" s="163"/>
      <c r="BI1045" s="163"/>
      <c r="BJ1045" s="163"/>
      <c r="BK1045" s="163"/>
      <c r="BL1045" s="163"/>
      <c r="BM1045" s="163"/>
      <c r="BN1045" s="163"/>
      <c r="BO1045" s="163"/>
      <c r="BP1045" s="163"/>
      <c r="BQ1045" s="163"/>
      <c r="BR1045" s="163"/>
      <c r="BS1045" s="163"/>
      <c r="BT1045" s="163"/>
      <c r="BU1045" s="163"/>
      <c r="BV1045" s="163"/>
      <c r="BW1045" s="163"/>
      <c r="BX1045" s="163"/>
      <c r="BY1045" s="171"/>
    </row>
    <row r="1046" spans="1:77" s="14" customFormat="1" x14ac:dyDescent="0.15">
      <c r="A1046" s="151">
        <v>1415040013</v>
      </c>
      <c r="B1046" s="152" t="s">
        <v>750</v>
      </c>
      <c r="C1046" s="153" t="s">
        <v>584</v>
      </c>
      <c r="D1046" s="153"/>
      <c r="E1046" s="153" t="s">
        <v>78</v>
      </c>
      <c r="F1046" s="153"/>
      <c r="G1046" s="153"/>
      <c r="H1046" s="153"/>
      <c r="I1046" s="153"/>
      <c r="J1046" s="162"/>
      <c r="K1046" s="162"/>
      <c r="L1046" s="162"/>
      <c r="M1046" s="162"/>
      <c r="N1046" s="162"/>
      <c r="O1046" s="153" t="s">
        <v>277</v>
      </c>
      <c r="P1046" s="163"/>
      <c r="Q1046" s="163"/>
      <c r="R1046" s="163"/>
      <c r="S1046" s="163"/>
      <c r="T1046" s="163"/>
      <c r="U1046" s="163"/>
      <c r="V1046" s="163"/>
      <c r="W1046" s="163"/>
      <c r="X1046" s="163"/>
      <c r="Y1046" s="163"/>
      <c r="Z1046" s="163"/>
      <c r="AA1046" s="163"/>
      <c r="AB1046" s="163"/>
      <c r="AC1046" s="163"/>
      <c r="AD1046" s="163"/>
      <c r="AE1046" s="163">
        <v>14150401</v>
      </c>
      <c r="AF1046" s="163"/>
      <c r="AG1046" s="163"/>
      <c r="AH1046" s="163"/>
      <c r="AI1046" s="163"/>
      <c r="AJ1046" s="163"/>
      <c r="AK1046" s="163"/>
      <c r="AL1046" s="163"/>
      <c r="AM1046" s="163"/>
      <c r="AN1046" s="163"/>
      <c r="AO1046" s="163"/>
      <c r="AP1046" s="163"/>
      <c r="AQ1046" s="163"/>
      <c r="AR1046" s="163"/>
      <c r="AS1046" s="163"/>
      <c r="AT1046" s="163"/>
      <c r="AU1046" s="163"/>
      <c r="AV1046" s="163"/>
      <c r="AW1046" s="163"/>
      <c r="AX1046" s="163"/>
      <c r="AY1046" s="163"/>
      <c r="AZ1046" s="163"/>
      <c r="BA1046" s="163"/>
      <c r="BB1046" s="163"/>
      <c r="BC1046" s="163"/>
      <c r="BD1046" s="163"/>
      <c r="BE1046" s="163"/>
      <c r="BF1046" s="163"/>
      <c r="BG1046" s="163"/>
      <c r="BH1046" s="163"/>
      <c r="BI1046" s="163"/>
      <c r="BJ1046" s="163"/>
      <c r="BK1046" s="163"/>
      <c r="BL1046" s="163"/>
      <c r="BM1046" s="163"/>
      <c r="BN1046" s="163"/>
      <c r="BO1046" s="163"/>
      <c r="BP1046" s="163"/>
      <c r="BQ1046" s="163"/>
      <c r="BR1046" s="163"/>
      <c r="BS1046" s="163"/>
      <c r="BT1046" s="163"/>
      <c r="BU1046" s="163"/>
      <c r="BV1046" s="163"/>
      <c r="BW1046" s="163"/>
      <c r="BX1046" s="163"/>
      <c r="BY1046" s="171"/>
    </row>
    <row r="1047" spans="1:77" s="14" customFormat="1" x14ac:dyDescent="0.15">
      <c r="A1047" s="151">
        <v>1415040014</v>
      </c>
      <c r="B1047" s="152" t="s">
        <v>751</v>
      </c>
      <c r="C1047" s="153" t="s">
        <v>134</v>
      </c>
      <c r="D1047" s="153"/>
      <c r="E1047" s="153" t="s">
        <v>78</v>
      </c>
      <c r="F1047" s="153"/>
      <c r="G1047" s="153"/>
      <c r="H1047" s="153"/>
      <c r="I1047" s="153"/>
      <c r="J1047" s="162"/>
      <c r="K1047" s="162"/>
      <c r="L1047" s="162"/>
      <c r="M1047" s="162"/>
      <c r="N1047" s="162"/>
      <c r="O1047" s="153" t="s">
        <v>277</v>
      </c>
      <c r="P1047" s="163"/>
      <c r="Q1047" s="163"/>
      <c r="R1047" s="163"/>
      <c r="S1047" s="163"/>
      <c r="T1047" s="163"/>
      <c r="U1047" s="163"/>
      <c r="V1047" s="163"/>
      <c r="W1047" s="163"/>
      <c r="X1047" s="163"/>
      <c r="Y1047" s="163"/>
      <c r="Z1047" s="163"/>
      <c r="AA1047" s="163"/>
      <c r="AB1047" s="163"/>
      <c r="AC1047" s="163"/>
      <c r="AD1047" s="163"/>
      <c r="AE1047" s="163">
        <v>14150402</v>
      </c>
      <c r="AF1047" s="163"/>
      <c r="AG1047" s="163"/>
      <c r="AH1047" s="163"/>
      <c r="AI1047" s="163"/>
      <c r="AJ1047" s="163"/>
      <c r="AK1047" s="163"/>
      <c r="AL1047" s="163"/>
      <c r="AM1047" s="163"/>
      <c r="AN1047" s="163"/>
      <c r="AO1047" s="163"/>
      <c r="AP1047" s="163"/>
      <c r="AQ1047" s="163"/>
      <c r="AR1047" s="163"/>
      <c r="AS1047" s="163"/>
      <c r="AT1047" s="163"/>
      <c r="AU1047" s="163"/>
      <c r="AV1047" s="163"/>
      <c r="AW1047" s="163"/>
      <c r="AX1047" s="163"/>
      <c r="AY1047" s="163"/>
      <c r="AZ1047" s="163"/>
      <c r="BA1047" s="163"/>
      <c r="BB1047" s="163"/>
      <c r="BC1047" s="163"/>
      <c r="BD1047" s="163"/>
      <c r="BE1047" s="163"/>
      <c r="BF1047" s="163"/>
      <c r="BG1047" s="163"/>
      <c r="BH1047" s="163"/>
      <c r="BI1047" s="163"/>
      <c r="BJ1047" s="163"/>
      <c r="BK1047" s="163"/>
      <c r="BL1047" s="163"/>
      <c r="BM1047" s="163"/>
      <c r="BN1047" s="163"/>
      <c r="BO1047" s="163"/>
      <c r="BP1047" s="163"/>
      <c r="BQ1047" s="163"/>
      <c r="BR1047" s="163"/>
      <c r="BS1047" s="163"/>
      <c r="BT1047" s="163"/>
      <c r="BU1047" s="163"/>
      <c r="BV1047" s="163"/>
      <c r="BW1047" s="163"/>
      <c r="BX1047" s="163"/>
      <c r="BY1047" s="171"/>
    </row>
    <row r="1048" spans="1:77" s="14" customFormat="1" x14ac:dyDescent="0.15">
      <c r="A1048" s="151">
        <v>1415040015</v>
      </c>
      <c r="B1048" s="152" t="s">
        <v>752</v>
      </c>
      <c r="C1048" s="153" t="s">
        <v>112</v>
      </c>
      <c r="D1048" s="153"/>
      <c r="E1048" s="153" t="s">
        <v>78</v>
      </c>
      <c r="F1048" s="153"/>
      <c r="G1048" s="153"/>
      <c r="H1048" s="153"/>
      <c r="I1048" s="153"/>
      <c r="J1048" s="162"/>
      <c r="K1048" s="162"/>
      <c r="L1048" s="162"/>
      <c r="M1048" s="162"/>
      <c r="N1048" s="162"/>
      <c r="O1048" s="153" t="s">
        <v>90</v>
      </c>
      <c r="P1048" s="163"/>
      <c r="Q1048" s="163"/>
      <c r="R1048" s="163"/>
      <c r="S1048" s="163"/>
      <c r="T1048" s="163"/>
      <c r="U1048" s="163"/>
      <c r="V1048" s="163"/>
      <c r="W1048" s="163"/>
      <c r="X1048" s="163"/>
      <c r="Y1048" s="163"/>
      <c r="Z1048" s="163"/>
      <c r="AA1048" s="163"/>
      <c r="AB1048" s="163"/>
      <c r="AC1048" s="163">
        <v>1415040401</v>
      </c>
      <c r="AD1048" s="163">
        <v>1415040301</v>
      </c>
      <c r="AE1048" s="163"/>
      <c r="AF1048" s="163"/>
      <c r="AG1048" s="163"/>
      <c r="AH1048" s="163"/>
      <c r="AI1048" s="163"/>
      <c r="AJ1048" s="163"/>
      <c r="AK1048" s="163"/>
      <c r="AL1048" s="163"/>
      <c r="AM1048" s="163"/>
      <c r="AN1048" s="163"/>
      <c r="AO1048" s="163"/>
      <c r="AP1048" s="163"/>
      <c r="AQ1048" s="163"/>
      <c r="AR1048" s="163"/>
      <c r="AS1048" s="163"/>
      <c r="AT1048" s="163"/>
      <c r="AU1048" s="163"/>
      <c r="AV1048" s="163"/>
      <c r="AW1048" s="163"/>
      <c r="AX1048" s="163"/>
      <c r="AY1048" s="163"/>
      <c r="AZ1048" s="163"/>
      <c r="BA1048" s="163"/>
      <c r="BB1048" s="163"/>
      <c r="BC1048" s="163"/>
      <c r="BD1048" s="163"/>
      <c r="BE1048" s="163"/>
      <c r="BF1048" s="163"/>
      <c r="BG1048" s="163"/>
      <c r="BH1048" s="163"/>
      <c r="BI1048" s="163"/>
      <c r="BJ1048" s="163"/>
      <c r="BK1048" s="163"/>
      <c r="BL1048" s="163"/>
      <c r="BM1048" s="163"/>
      <c r="BN1048" s="163"/>
      <c r="BO1048" s="163"/>
      <c r="BP1048" s="163"/>
      <c r="BQ1048" s="163"/>
      <c r="BR1048" s="163"/>
      <c r="BS1048" s="163"/>
      <c r="BT1048" s="163"/>
      <c r="BU1048" s="163"/>
      <c r="BV1048" s="163"/>
      <c r="BW1048" s="163"/>
      <c r="BX1048" s="163"/>
      <c r="BY1048" s="171"/>
    </row>
    <row r="1049" spans="1:77" s="14" customFormat="1" x14ac:dyDescent="0.15">
      <c r="A1049" s="151">
        <v>1415040025</v>
      </c>
      <c r="B1049" s="152" t="s">
        <v>752</v>
      </c>
      <c r="C1049" s="153" t="s">
        <v>112</v>
      </c>
      <c r="D1049" s="153"/>
      <c r="E1049" s="153" t="s">
        <v>78</v>
      </c>
      <c r="F1049" s="153"/>
      <c r="G1049" s="153"/>
      <c r="H1049" s="153"/>
      <c r="I1049" s="153"/>
      <c r="J1049" s="162"/>
      <c r="K1049" s="162"/>
      <c r="L1049" s="162"/>
      <c r="M1049" s="162"/>
      <c r="N1049" s="162"/>
      <c r="O1049" s="153" t="s">
        <v>90</v>
      </c>
      <c r="P1049" s="163"/>
      <c r="Q1049" s="163"/>
      <c r="R1049" s="163"/>
      <c r="S1049" s="163"/>
      <c r="T1049" s="163"/>
      <c r="U1049" s="163"/>
      <c r="V1049" s="163"/>
      <c r="W1049" s="163"/>
      <c r="X1049" s="163"/>
      <c r="Y1049" s="163"/>
      <c r="Z1049" s="163"/>
      <c r="AA1049" s="163"/>
      <c r="AB1049" s="163"/>
      <c r="AC1049" s="163">
        <v>1415040402</v>
      </c>
      <c r="AD1049" s="163">
        <v>1415040302</v>
      </c>
      <c r="AE1049" s="163"/>
      <c r="AF1049" s="163"/>
      <c r="AG1049" s="163"/>
      <c r="AH1049" s="163"/>
      <c r="AI1049" s="163"/>
      <c r="AJ1049" s="163"/>
      <c r="AK1049" s="163"/>
      <c r="AL1049" s="163"/>
      <c r="AM1049" s="163"/>
      <c r="AN1049" s="163"/>
      <c r="AO1049" s="163"/>
      <c r="AP1049" s="163"/>
      <c r="AQ1049" s="163"/>
      <c r="AR1049" s="163"/>
      <c r="AS1049" s="163"/>
      <c r="AT1049" s="163"/>
      <c r="AU1049" s="163"/>
      <c r="AV1049" s="163"/>
      <c r="AW1049" s="163"/>
      <c r="AX1049" s="163"/>
      <c r="AY1049" s="163"/>
      <c r="AZ1049" s="163"/>
      <c r="BA1049" s="163"/>
      <c r="BB1049" s="163"/>
      <c r="BC1049" s="163"/>
      <c r="BD1049" s="163"/>
      <c r="BE1049" s="163"/>
      <c r="BF1049" s="163"/>
      <c r="BG1049" s="163"/>
      <c r="BH1049" s="163"/>
      <c r="BI1049" s="163"/>
      <c r="BJ1049" s="163"/>
      <c r="BK1049" s="163"/>
      <c r="BL1049" s="163"/>
      <c r="BM1049" s="163"/>
      <c r="BN1049" s="163"/>
      <c r="BO1049" s="163"/>
      <c r="BP1049" s="163"/>
      <c r="BQ1049" s="163"/>
      <c r="BR1049" s="163"/>
      <c r="BS1049" s="163"/>
      <c r="BT1049" s="163"/>
      <c r="BU1049" s="163"/>
      <c r="BV1049" s="163"/>
      <c r="BW1049" s="163"/>
      <c r="BX1049" s="163"/>
      <c r="BY1049" s="171"/>
    </row>
    <row r="1050" spans="1:77" s="14" customFormat="1" x14ac:dyDescent="0.15">
      <c r="A1050" s="151">
        <v>1415041011</v>
      </c>
      <c r="B1050" s="152" t="s">
        <v>753</v>
      </c>
      <c r="C1050" s="153" t="s">
        <v>89</v>
      </c>
      <c r="D1050" s="153"/>
      <c r="E1050" s="153" t="s">
        <v>78</v>
      </c>
      <c r="F1050" s="153"/>
      <c r="G1050" s="153"/>
      <c r="H1050" s="153"/>
      <c r="I1050" s="153"/>
      <c r="J1050" s="162"/>
      <c r="K1050" s="162"/>
      <c r="L1050" s="162"/>
      <c r="M1050" s="162"/>
      <c r="N1050" s="162"/>
      <c r="O1050" s="153" t="s">
        <v>531</v>
      </c>
      <c r="P1050" s="163"/>
      <c r="Q1050" s="163"/>
      <c r="R1050" s="163"/>
      <c r="S1050" s="163"/>
      <c r="T1050" s="163"/>
      <c r="U1050" s="163"/>
      <c r="V1050" s="163"/>
      <c r="W1050" s="163"/>
      <c r="X1050" s="163"/>
      <c r="Y1050" s="163"/>
      <c r="Z1050" s="163"/>
      <c r="AA1050" s="163"/>
      <c r="AB1050" s="163"/>
      <c r="AC1050" s="163"/>
      <c r="AD1050" s="163"/>
      <c r="AE1050" s="163">
        <v>1415040</v>
      </c>
      <c r="AF1050" s="163"/>
      <c r="AG1050" s="163"/>
      <c r="AH1050" s="163"/>
      <c r="AI1050" s="163"/>
      <c r="AJ1050" s="163" t="s">
        <v>516</v>
      </c>
      <c r="AK1050" s="163"/>
      <c r="AL1050" s="163"/>
      <c r="AM1050" s="163"/>
      <c r="AN1050" s="163"/>
      <c r="AO1050" s="163"/>
      <c r="AP1050" s="163"/>
      <c r="AQ1050" s="163"/>
      <c r="AR1050" s="163"/>
      <c r="AS1050" s="163"/>
      <c r="AT1050" s="163"/>
      <c r="AU1050" s="163"/>
      <c r="AV1050" s="163"/>
      <c r="AW1050" s="163"/>
      <c r="AX1050" s="163"/>
      <c r="AY1050" s="163"/>
      <c r="AZ1050" s="163" t="s">
        <v>517</v>
      </c>
      <c r="BA1050" s="163">
        <v>1415040</v>
      </c>
      <c r="BB1050" s="163" t="s">
        <v>308</v>
      </c>
      <c r="BC1050" s="163">
        <v>-5000</v>
      </c>
      <c r="BD1050" s="163"/>
      <c r="BE1050" s="163"/>
      <c r="BF1050" s="163"/>
      <c r="BG1050" s="163"/>
      <c r="BH1050" s="163"/>
      <c r="BI1050" s="163"/>
      <c r="BJ1050" s="163"/>
      <c r="BK1050" s="163"/>
      <c r="BL1050" s="163"/>
      <c r="BM1050" s="163"/>
      <c r="BN1050" s="163"/>
      <c r="BO1050" s="163"/>
      <c r="BP1050" s="163"/>
      <c r="BQ1050" s="163"/>
      <c r="BR1050" s="163"/>
      <c r="BS1050" s="163"/>
      <c r="BT1050" s="163"/>
      <c r="BU1050" s="163"/>
      <c r="BV1050" s="163"/>
      <c r="BW1050" s="163"/>
      <c r="BX1050" s="163"/>
      <c r="BY1050" s="171"/>
    </row>
    <row r="1051" spans="1:77" s="14" customFormat="1" x14ac:dyDescent="0.15">
      <c r="A1051" s="151">
        <v>1415041012</v>
      </c>
      <c r="B1051" s="152" t="s">
        <v>753</v>
      </c>
      <c r="C1051" s="153" t="s">
        <v>89</v>
      </c>
      <c r="D1051" s="153"/>
      <c r="E1051" s="153" t="s">
        <v>78</v>
      </c>
      <c r="F1051" s="153"/>
      <c r="G1051" s="153"/>
      <c r="H1051" s="153"/>
      <c r="I1051" s="153"/>
      <c r="J1051" s="162"/>
      <c r="K1051" s="162"/>
      <c r="L1051" s="162"/>
      <c r="M1051" s="162"/>
      <c r="N1051" s="162"/>
      <c r="O1051" s="153" t="s">
        <v>531</v>
      </c>
      <c r="P1051" s="163"/>
      <c r="Q1051" s="163"/>
      <c r="R1051" s="163"/>
      <c r="S1051" s="163"/>
      <c r="T1051" s="163"/>
      <c r="U1051" s="163"/>
      <c r="V1051" s="163"/>
      <c r="W1051" s="163"/>
      <c r="X1051" s="163"/>
      <c r="Y1051" s="163"/>
      <c r="Z1051" s="163"/>
      <c r="AA1051" s="163"/>
      <c r="AB1051" s="163"/>
      <c r="AC1051" s="163"/>
      <c r="AD1051" s="163"/>
      <c r="AE1051" s="163">
        <v>1415040</v>
      </c>
      <c r="AF1051" s="163"/>
      <c r="AG1051" s="163"/>
      <c r="AH1051" s="163"/>
      <c r="AI1051" s="163"/>
      <c r="AJ1051" s="163" t="s">
        <v>516</v>
      </c>
      <c r="AK1051" s="163"/>
      <c r="AL1051" s="163"/>
      <c r="AM1051" s="163"/>
      <c r="AN1051" s="163"/>
      <c r="AO1051" s="163"/>
      <c r="AP1051" s="163"/>
      <c r="AQ1051" s="163"/>
      <c r="AR1051" s="163"/>
      <c r="AS1051" s="163"/>
      <c r="AT1051" s="163"/>
      <c r="AU1051" s="163"/>
      <c r="AV1051" s="163"/>
      <c r="AW1051" s="163"/>
      <c r="AX1051" s="163"/>
      <c r="AY1051" s="163"/>
      <c r="AZ1051" s="163" t="s">
        <v>517</v>
      </c>
      <c r="BA1051" s="163">
        <v>1415040</v>
      </c>
      <c r="BB1051" s="163" t="s">
        <v>308</v>
      </c>
      <c r="BC1051" s="163">
        <v>-5000</v>
      </c>
      <c r="BD1051" s="163"/>
      <c r="BE1051" s="163"/>
      <c r="BF1051" s="163"/>
      <c r="BG1051" s="163"/>
      <c r="BH1051" s="163"/>
      <c r="BI1051" s="163"/>
      <c r="BJ1051" s="163"/>
      <c r="BK1051" s="163"/>
      <c r="BL1051" s="163"/>
      <c r="BM1051" s="163"/>
      <c r="BN1051" s="163"/>
      <c r="BO1051" s="163"/>
      <c r="BP1051" s="163"/>
      <c r="BQ1051" s="163"/>
      <c r="BR1051" s="163"/>
      <c r="BS1051" s="163"/>
      <c r="BT1051" s="163"/>
      <c r="BU1051" s="163"/>
      <c r="BV1051" s="163"/>
      <c r="BW1051" s="163"/>
      <c r="BX1051" s="163"/>
      <c r="BY1051" s="171"/>
    </row>
    <row r="1052" spans="1:77" s="18" customFormat="1" x14ac:dyDescent="0.15">
      <c r="A1052" s="148">
        <v>1205001011</v>
      </c>
      <c r="B1052" s="158" t="s">
        <v>452</v>
      </c>
      <c r="C1052" s="150" t="s">
        <v>77</v>
      </c>
      <c r="D1052" s="150"/>
      <c r="E1052" s="150" t="s">
        <v>78</v>
      </c>
      <c r="F1052" s="150"/>
      <c r="G1052" s="150"/>
      <c r="H1052" s="150"/>
      <c r="I1052" s="150"/>
      <c r="J1052" s="166"/>
      <c r="K1052" s="166"/>
      <c r="L1052" s="166"/>
      <c r="M1052" s="166"/>
      <c r="N1052" s="166"/>
      <c r="O1052" s="150" t="s">
        <v>79</v>
      </c>
      <c r="P1052" s="167" t="s">
        <v>80</v>
      </c>
      <c r="Q1052" s="167"/>
      <c r="R1052" s="167">
        <v>10000</v>
      </c>
      <c r="S1052" s="167"/>
      <c r="T1052" s="167">
        <v>10000</v>
      </c>
      <c r="U1052" s="167"/>
      <c r="V1052" s="167" t="s">
        <v>101</v>
      </c>
      <c r="W1052" s="167"/>
      <c r="X1052" s="167"/>
      <c r="Y1052" s="167"/>
      <c r="Z1052" s="167"/>
      <c r="AA1052" s="167"/>
      <c r="AB1052" s="167"/>
      <c r="AC1052" s="167"/>
      <c r="AD1052" s="167"/>
      <c r="AE1052" s="167"/>
      <c r="AF1052" s="167"/>
      <c r="AG1052" s="167"/>
      <c r="AH1052" s="167"/>
      <c r="AI1052" s="167"/>
      <c r="AJ1052" s="167"/>
      <c r="AK1052" s="167"/>
      <c r="AL1052" s="167"/>
      <c r="AM1052" s="167"/>
      <c r="AN1052" s="167"/>
      <c r="AO1052" s="167"/>
      <c r="AP1052" s="167"/>
      <c r="AQ1052" s="167"/>
      <c r="AR1052" s="167"/>
      <c r="AS1052" s="167"/>
      <c r="AT1052" s="167"/>
      <c r="AU1052" s="167"/>
      <c r="AV1052" s="167"/>
      <c r="AW1052" s="167"/>
      <c r="AX1052" s="167"/>
      <c r="AY1052" s="167"/>
      <c r="AZ1052" s="167"/>
      <c r="BA1052" s="167"/>
      <c r="BB1052" s="167"/>
      <c r="BC1052" s="167"/>
      <c r="BD1052" s="167"/>
      <c r="BE1052" s="167"/>
      <c r="BF1052" s="167"/>
      <c r="BG1052" s="167"/>
      <c r="BH1052" s="167"/>
      <c r="BI1052" s="167"/>
      <c r="BJ1052" s="167"/>
      <c r="BK1052" s="167"/>
      <c r="BL1052" s="167"/>
      <c r="BM1052" s="167"/>
      <c r="BN1052" s="167"/>
      <c r="BO1052" s="167"/>
      <c r="BP1052" s="167"/>
      <c r="BQ1052" s="167"/>
      <c r="BR1052" s="167"/>
      <c r="BS1052" s="167"/>
      <c r="BT1052" s="167"/>
      <c r="BU1052" s="167"/>
      <c r="BV1052" s="167"/>
      <c r="BW1052" s="167"/>
      <c r="BX1052" s="167"/>
      <c r="BY1052" s="175"/>
    </row>
    <row r="1053" spans="1:77" s="18" customFormat="1" x14ac:dyDescent="0.15">
      <c r="A1053" s="148">
        <v>1205001012</v>
      </c>
      <c r="B1053" s="158" t="s">
        <v>453</v>
      </c>
      <c r="C1053" s="150" t="s">
        <v>77</v>
      </c>
      <c r="D1053" s="150"/>
      <c r="E1053" s="150" t="s">
        <v>425</v>
      </c>
      <c r="F1053" s="150">
        <v>40000</v>
      </c>
      <c r="G1053" s="150">
        <v>1200</v>
      </c>
      <c r="H1053" s="150"/>
      <c r="I1053" s="150"/>
      <c r="J1053" s="166"/>
      <c r="K1053" s="166"/>
      <c r="L1053" s="166"/>
      <c r="M1053" s="166"/>
      <c r="N1053" s="166"/>
      <c r="O1053" s="150" t="s">
        <v>79</v>
      </c>
      <c r="P1053" s="167" t="s">
        <v>80</v>
      </c>
      <c r="Q1053" s="167"/>
      <c r="R1053" s="167">
        <v>5000</v>
      </c>
      <c r="S1053" s="167"/>
      <c r="T1053" s="167"/>
      <c r="U1053" s="167"/>
      <c r="V1053" s="167" t="s">
        <v>101</v>
      </c>
      <c r="W1053" s="167"/>
      <c r="X1053" s="167"/>
      <c r="Y1053" s="167"/>
      <c r="Z1053" s="167"/>
      <c r="AA1053" s="167"/>
      <c r="AB1053" s="167"/>
      <c r="AC1053" s="167"/>
      <c r="AD1053" s="167"/>
      <c r="AE1053" s="167"/>
      <c r="AF1053" s="167"/>
      <c r="AG1053" s="167"/>
      <c r="AH1053" s="167"/>
      <c r="AI1053" s="167"/>
      <c r="AJ1053" s="167"/>
      <c r="AK1053" s="167"/>
      <c r="AL1053" s="167"/>
      <c r="AM1053" s="167"/>
      <c r="AN1053" s="167"/>
      <c r="AO1053" s="167"/>
      <c r="AP1053" s="167"/>
      <c r="AQ1053" s="167"/>
      <c r="AR1053" s="167"/>
      <c r="AS1053" s="167"/>
      <c r="AT1053" s="167"/>
      <c r="AU1053" s="167"/>
      <c r="AV1053" s="167"/>
      <c r="AW1053" s="167"/>
      <c r="AX1053" s="167"/>
      <c r="AY1053" s="167"/>
      <c r="AZ1053" s="167"/>
      <c r="BA1053" s="167"/>
      <c r="BB1053" s="167"/>
      <c r="BC1053" s="167"/>
      <c r="BD1053" s="167"/>
      <c r="BE1053" s="167"/>
      <c r="BF1053" s="167"/>
      <c r="BG1053" s="167"/>
      <c r="BH1053" s="167"/>
      <c r="BI1053" s="167"/>
      <c r="BJ1053" s="167"/>
      <c r="BK1053" s="167"/>
      <c r="BL1053" s="167"/>
      <c r="BM1053" s="167"/>
      <c r="BN1053" s="167"/>
      <c r="BO1053" s="167"/>
      <c r="BP1053" s="167"/>
      <c r="BQ1053" s="167"/>
      <c r="BR1053" s="167"/>
      <c r="BS1053" s="167"/>
      <c r="BT1053" s="167"/>
      <c r="BU1053" s="167"/>
      <c r="BV1053" s="167"/>
      <c r="BW1053" s="167"/>
      <c r="BX1053" s="167"/>
      <c r="BY1053" s="175"/>
    </row>
    <row r="1054" spans="1:77" s="18" customFormat="1" x14ac:dyDescent="0.15">
      <c r="A1054" s="148">
        <v>1205002011</v>
      </c>
      <c r="B1054" s="158" t="s">
        <v>454</v>
      </c>
      <c r="C1054" s="150" t="s">
        <v>77</v>
      </c>
      <c r="D1054" s="150"/>
      <c r="E1054" s="150" t="s">
        <v>78</v>
      </c>
      <c r="F1054" s="150"/>
      <c r="G1054" s="150"/>
      <c r="H1054" s="150"/>
      <c r="I1054" s="150"/>
      <c r="J1054" s="166"/>
      <c r="K1054" s="166"/>
      <c r="L1054" s="166"/>
      <c r="M1054" s="166"/>
      <c r="N1054" s="166"/>
      <c r="O1054" s="150" t="s">
        <v>79</v>
      </c>
      <c r="P1054" s="167" t="s">
        <v>80</v>
      </c>
      <c r="Q1054" s="167"/>
      <c r="R1054" s="167">
        <v>10000</v>
      </c>
      <c r="S1054" s="167"/>
      <c r="T1054" s="167">
        <v>10000</v>
      </c>
      <c r="U1054" s="167"/>
      <c r="V1054" s="167" t="s">
        <v>101</v>
      </c>
      <c r="W1054" s="167"/>
      <c r="X1054" s="167"/>
      <c r="Y1054" s="167"/>
      <c r="Z1054" s="167"/>
      <c r="AA1054" s="167"/>
      <c r="AB1054" s="167"/>
      <c r="AC1054" s="167"/>
      <c r="AD1054" s="167"/>
      <c r="AE1054" s="167"/>
      <c r="AF1054" s="167"/>
      <c r="AG1054" s="167"/>
      <c r="AH1054" s="167"/>
      <c r="AI1054" s="167"/>
      <c r="AJ1054" s="167"/>
      <c r="AK1054" s="167"/>
      <c r="AL1054" s="167"/>
      <c r="AM1054" s="167"/>
      <c r="AN1054" s="167"/>
      <c r="AO1054" s="167"/>
      <c r="AP1054" s="167"/>
      <c r="AQ1054" s="167"/>
      <c r="AR1054" s="167"/>
      <c r="AS1054" s="167"/>
      <c r="AT1054" s="167"/>
      <c r="AU1054" s="167"/>
      <c r="AV1054" s="167"/>
      <c r="AW1054" s="167"/>
      <c r="AX1054" s="167"/>
      <c r="AY1054" s="167"/>
      <c r="AZ1054" s="167"/>
      <c r="BA1054" s="167"/>
      <c r="BB1054" s="167"/>
      <c r="BC1054" s="167"/>
      <c r="BD1054" s="167"/>
      <c r="BE1054" s="167"/>
      <c r="BF1054" s="167"/>
      <c r="BG1054" s="167"/>
      <c r="BH1054" s="167"/>
      <c r="BI1054" s="167"/>
      <c r="BJ1054" s="167"/>
      <c r="BK1054" s="167"/>
      <c r="BL1054" s="167"/>
      <c r="BM1054" s="167"/>
      <c r="BN1054" s="167"/>
      <c r="BO1054" s="167"/>
      <c r="BP1054" s="167"/>
      <c r="BQ1054" s="167"/>
      <c r="BR1054" s="167"/>
      <c r="BS1054" s="167"/>
      <c r="BT1054" s="167"/>
      <c r="BU1054" s="167"/>
      <c r="BV1054" s="167"/>
      <c r="BW1054" s="167"/>
      <c r="BX1054" s="167"/>
      <c r="BY1054" s="175"/>
    </row>
    <row r="1055" spans="1:77" s="18" customFormat="1" x14ac:dyDescent="0.15">
      <c r="A1055" s="177">
        <v>1205100011</v>
      </c>
      <c r="B1055" s="198" t="s">
        <v>785</v>
      </c>
      <c r="C1055" s="179" t="s">
        <v>786</v>
      </c>
      <c r="D1055" s="179"/>
      <c r="E1055" s="150" t="s">
        <v>78</v>
      </c>
      <c r="F1055" s="179"/>
      <c r="G1055" s="179"/>
      <c r="H1055" s="179"/>
      <c r="I1055" s="179"/>
      <c r="J1055" s="183"/>
      <c r="K1055" s="183"/>
      <c r="L1055" s="183"/>
      <c r="M1055" s="183"/>
      <c r="N1055" s="183"/>
      <c r="O1055" s="179" t="s">
        <v>491</v>
      </c>
      <c r="P1055" s="197"/>
      <c r="Q1055" s="179"/>
      <c r="R1055" s="179"/>
      <c r="S1055" s="179"/>
      <c r="T1055" s="197"/>
      <c r="U1055" s="179"/>
      <c r="V1055" s="179"/>
      <c r="W1055" s="179"/>
      <c r="X1055" s="179"/>
      <c r="Y1055" s="179"/>
      <c r="Z1055" s="179"/>
      <c r="AA1055" s="179"/>
      <c r="AB1055" s="179"/>
      <c r="AC1055" s="179"/>
      <c r="AD1055" s="179"/>
      <c r="AE1055" s="148" t="s">
        <v>787</v>
      </c>
      <c r="AF1055" s="179">
        <v>1</v>
      </c>
      <c r="AG1055" s="197"/>
      <c r="AH1055" s="197"/>
      <c r="AI1055" s="197"/>
      <c r="AJ1055" s="197"/>
      <c r="AK1055" s="197"/>
      <c r="AL1055" s="197"/>
      <c r="AM1055" s="197"/>
      <c r="AN1055" s="197"/>
      <c r="AO1055" s="197"/>
      <c r="AP1055" s="197"/>
      <c r="AQ1055" s="197"/>
      <c r="AR1055" s="197"/>
      <c r="AS1055" s="197"/>
      <c r="AT1055" s="197"/>
      <c r="AU1055" s="197"/>
      <c r="AV1055" s="197"/>
      <c r="AW1055" s="197"/>
      <c r="AX1055" s="197"/>
      <c r="AY1055" s="197"/>
      <c r="AZ1055" s="197"/>
      <c r="BA1055" s="197"/>
      <c r="BB1055" s="197"/>
      <c r="BC1055" s="197"/>
      <c r="BD1055" s="197"/>
      <c r="BE1055" s="197"/>
      <c r="BF1055" s="197"/>
      <c r="BG1055" s="197"/>
      <c r="BH1055" s="197"/>
      <c r="BI1055" s="197"/>
      <c r="BJ1055" s="197"/>
      <c r="BK1055" s="197"/>
      <c r="BL1055" s="197"/>
      <c r="BM1055" s="197"/>
      <c r="BN1055" s="197"/>
      <c r="BO1055" s="197"/>
      <c r="BP1055" s="197"/>
      <c r="BQ1055" s="197"/>
      <c r="BR1055" s="197"/>
      <c r="BS1055" s="197"/>
      <c r="BT1055" s="197"/>
      <c r="BU1055" s="197"/>
      <c r="BV1055" s="197"/>
      <c r="BW1055" s="197"/>
      <c r="BX1055" s="197"/>
      <c r="BY1055" s="199"/>
    </row>
    <row r="1056" spans="1:77" s="15" customFormat="1" x14ac:dyDescent="0.15">
      <c r="A1056" s="177">
        <v>1205003011</v>
      </c>
      <c r="B1056" s="178" t="s">
        <v>788</v>
      </c>
      <c r="C1056" s="150" t="s">
        <v>77</v>
      </c>
      <c r="D1056" s="179"/>
      <c r="E1056" s="179" t="s">
        <v>78</v>
      </c>
      <c r="F1056" s="179"/>
      <c r="G1056" s="179"/>
      <c r="H1056" s="179"/>
      <c r="I1056" s="179"/>
      <c r="J1056" s="183"/>
      <c r="K1056" s="183"/>
      <c r="L1056" s="183"/>
      <c r="M1056" s="183"/>
      <c r="N1056" s="183"/>
      <c r="O1056" s="150" t="s">
        <v>79</v>
      </c>
      <c r="P1056" s="167" t="s">
        <v>80</v>
      </c>
      <c r="Q1056" s="179"/>
      <c r="R1056" s="179">
        <v>20000</v>
      </c>
      <c r="S1056" s="179"/>
      <c r="T1056" s="167">
        <v>10000</v>
      </c>
      <c r="U1056" s="179"/>
      <c r="V1056" s="179"/>
      <c r="W1056" s="179"/>
      <c r="X1056" s="179"/>
      <c r="Y1056" s="179"/>
      <c r="Z1056" s="179"/>
      <c r="AA1056" s="179"/>
      <c r="AB1056" s="179"/>
      <c r="AC1056" s="179"/>
      <c r="AD1056" s="179"/>
      <c r="AE1056" s="148"/>
      <c r="AF1056" s="179"/>
      <c r="AG1056" s="179"/>
      <c r="AH1056" s="179"/>
      <c r="AI1056" s="179"/>
      <c r="AJ1056" s="179" t="s">
        <v>90</v>
      </c>
      <c r="AK1056" s="179"/>
      <c r="AL1056" s="179"/>
      <c r="AM1056" s="179"/>
      <c r="AN1056" s="179"/>
      <c r="AO1056" s="179"/>
      <c r="AP1056" s="179"/>
      <c r="AQ1056" s="179"/>
      <c r="AR1056" s="179"/>
      <c r="AS1056" s="179"/>
      <c r="AT1056" s="179"/>
      <c r="AU1056" s="179"/>
      <c r="AV1056" s="179"/>
      <c r="AW1056" s="179"/>
      <c r="AX1056" s="179">
        <v>1205003201</v>
      </c>
      <c r="AY1056" s="179">
        <v>1205003101</v>
      </c>
      <c r="AZ1056" s="179"/>
      <c r="BA1056" s="179"/>
      <c r="BB1056" s="179"/>
      <c r="BC1056" s="179"/>
      <c r="BD1056" s="179"/>
      <c r="BE1056" s="179"/>
      <c r="BF1056" s="179"/>
      <c r="BG1056" s="179"/>
      <c r="BH1056" s="179"/>
      <c r="BI1056" s="179"/>
      <c r="BJ1056" s="179"/>
      <c r="BK1056" s="179"/>
      <c r="BL1056" s="179"/>
      <c r="BM1056" s="179"/>
      <c r="BN1056" s="179"/>
      <c r="BO1056" s="179"/>
      <c r="BP1056" s="179"/>
      <c r="BQ1056" s="179"/>
      <c r="BR1056" s="179"/>
      <c r="BS1056" s="179"/>
      <c r="BT1056" s="179"/>
      <c r="BU1056" s="179"/>
      <c r="BV1056" s="179"/>
      <c r="BW1056" s="179"/>
      <c r="BX1056" s="179"/>
      <c r="BY1056" s="186"/>
    </row>
    <row r="1057" spans="1:77" s="15" customFormat="1" x14ac:dyDescent="0.15">
      <c r="A1057" s="177">
        <v>1205003021</v>
      </c>
      <c r="B1057" s="178" t="s">
        <v>788</v>
      </c>
      <c r="C1057" s="150" t="s">
        <v>77</v>
      </c>
      <c r="D1057" s="179"/>
      <c r="E1057" s="179" t="s">
        <v>78</v>
      </c>
      <c r="F1057" s="179"/>
      <c r="G1057" s="179"/>
      <c r="H1057" s="179"/>
      <c r="I1057" s="179"/>
      <c r="J1057" s="183"/>
      <c r="K1057" s="183"/>
      <c r="L1057" s="183"/>
      <c r="M1057" s="183"/>
      <c r="N1057" s="183"/>
      <c r="O1057" s="150" t="s">
        <v>79</v>
      </c>
      <c r="P1057" s="167" t="s">
        <v>80</v>
      </c>
      <c r="Q1057" s="179"/>
      <c r="R1057" s="179">
        <v>20000</v>
      </c>
      <c r="S1057" s="179"/>
      <c r="T1057" s="167">
        <v>10000</v>
      </c>
      <c r="U1057" s="179"/>
      <c r="V1057" s="179"/>
      <c r="W1057" s="179"/>
      <c r="X1057" s="179"/>
      <c r="Y1057" s="179"/>
      <c r="Z1057" s="179"/>
      <c r="AA1057" s="179"/>
      <c r="AB1057" s="179"/>
      <c r="AC1057" s="179"/>
      <c r="AD1057" s="179"/>
      <c r="AE1057" s="148"/>
      <c r="AF1057" s="179"/>
      <c r="AG1057" s="179"/>
      <c r="AH1057" s="179"/>
      <c r="AI1057" s="179"/>
      <c r="AJ1057" s="179" t="s">
        <v>90</v>
      </c>
      <c r="AK1057" s="179"/>
      <c r="AL1057" s="179"/>
      <c r="AM1057" s="179"/>
      <c r="AN1057" s="179"/>
      <c r="AO1057" s="179"/>
      <c r="AP1057" s="179"/>
      <c r="AQ1057" s="179"/>
      <c r="AR1057" s="179"/>
      <c r="AS1057" s="179"/>
      <c r="AT1057" s="179"/>
      <c r="AU1057" s="179"/>
      <c r="AV1057" s="179"/>
      <c r="AW1057" s="179"/>
      <c r="AX1057" s="179">
        <v>1205003202</v>
      </c>
      <c r="AY1057" s="179">
        <v>1205003102</v>
      </c>
      <c r="AZ1057" s="179"/>
      <c r="BA1057" s="179"/>
      <c r="BB1057" s="179"/>
      <c r="BC1057" s="179"/>
      <c r="BD1057" s="179"/>
      <c r="BE1057" s="179"/>
      <c r="BF1057" s="179"/>
      <c r="BG1057" s="179"/>
      <c r="BH1057" s="179"/>
      <c r="BI1057" s="179"/>
      <c r="BJ1057" s="179"/>
      <c r="BK1057" s="179"/>
      <c r="BL1057" s="179"/>
      <c r="BM1057" s="179"/>
      <c r="BN1057" s="179"/>
      <c r="BO1057" s="179"/>
      <c r="BP1057" s="179"/>
      <c r="BQ1057" s="179"/>
      <c r="BR1057" s="179"/>
      <c r="BS1057" s="179"/>
      <c r="BT1057" s="179"/>
      <c r="BU1057" s="179"/>
      <c r="BV1057" s="179"/>
      <c r="BW1057" s="179"/>
      <c r="BX1057" s="179"/>
      <c r="BY1057" s="186"/>
    </row>
    <row r="1058" spans="1:77" s="15" customFormat="1" x14ac:dyDescent="0.15">
      <c r="A1058" s="177">
        <v>1205003031</v>
      </c>
      <c r="B1058" s="178" t="s">
        <v>788</v>
      </c>
      <c r="C1058" s="150" t="s">
        <v>77</v>
      </c>
      <c r="D1058" s="179"/>
      <c r="E1058" s="179" t="s">
        <v>78</v>
      </c>
      <c r="F1058" s="179"/>
      <c r="G1058" s="179"/>
      <c r="H1058" s="179"/>
      <c r="I1058" s="179"/>
      <c r="J1058" s="183"/>
      <c r="K1058" s="183"/>
      <c r="L1058" s="183"/>
      <c r="M1058" s="183"/>
      <c r="N1058" s="183"/>
      <c r="O1058" s="150" t="s">
        <v>79</v>
      </c>
      <c r="P1058" s="167" t="s">
        <v>80</v>
      </c>
      <c r="Q1058" s="179"/>
      <c r="R1058" s="179">
        <v>20000</v>
      </c>
      <c r="S1058" s="179"/>
      <c r="T1058" s="167">
        <v>10000</v>
      </c>
      <c r="U1058" s="179"/>
      <c r="V1058" s="179"/>
      <c r="W1058" s="179"/>
      <c r="X1058" s="179"/>
      <c r="Y1058" s="179"/>
      <c r="Z1058" s="179"/>
      <c r="AA1058" s="179"/>
      <c r="AB1058" s="179"/>
      <c r="AC1058" s="179"/>
      <c r="AD1058" s="179"/>
      <c r="AE1058" s="148"/>
      <c r="AF1058" s="179"/>
      <c r="AG1058" s="179"/>
      <c r="AH1058" s="179"/>
      <c r="AI1058" s="179"/>
      <c r="AJ1058" s="179" t="s">
        <v>90</v>
      </c>
      <c r="AK1058" s="179"/>
      <c r="AL1058" s="179"/>
      <c r="AM1058" s="179"/>
      <c r="AN1058" s="179"/>
      <c r="AO1058" s="179"/>
      <c r="AP1058" s="179"/>
      <c r="AQ1058" s="179"/>
      <c r="AR1058" s="179"/>
      <c r="AS1058" s="179"/>
      <c r="AT1058" s="179"/>
      <c r="AU1058" s="179"/>
      <c r="AV1058" s="179"/>
      <c r="AW1058" s="179"/>
      <c r="AX1058" s="179">
        <v>1205003203</v>
      </c>
      <c r="AY1058" s="179">
        <v>1205003103</v>
      </c>
      <c r="AZ1058" s="179"/>
      <c r="BA1058" s="179"/>
      <c r="BB1058" s="179"/>
      <c r="BC1058" s="179"/>
      <c r="BD1058" s="179"/>
      <c r="BE1058" s="179"/>
      <c r="BF1058" s="179"/>
      <c r="BG1058" s="179"/>
      <c r="BH1058" s="179"/>
      <c r="BI1058" s="179"/>
      <c r="BJ1058" s="179"/>
      <c r="BK1058" s="179"/>
      <c r="BL1058" s="179"/>
      <c r="BM1058" s="179"/>
      <c r="BN1058" s="179"/>
      <c r="BO1058" s="179"/>
      <c r="BP1058" s="179"/>
      <c r="BQ1058" s="179"/>
      <c r="BR1058" s="179"/>
      <c r="BS1058" s="179"/>
      <c r="BT1058" s="179"/>
      <c r="BU1058" s="179"/>
      <c r="BV1058" s="179"/>
      <c r="BW1058" s="179"/>
      <c r="BX1058" s="179"/>
      <c r="BY1058" s="186"/>
    </row>
    <row r="1059" spans="1:77" s="18" customFormat="1" x14ac:dyDescent="0.15">
      <c r="A1059" s="148">
        <v>1205003012</v>
      </c>
      <c r="B1059" s="158" t="s">
        <v>453</v>
      </c>
      <c r="C1059" s="150" t="s">
        <v>77</v>
      </c>
      <c r="D1059" s="150"/>
      <c r="E1059" s="150" t="s">
        <v>425</v>
      </c>
      <c r="F1059" s="150">
        <v>40000</v>
      </c>
      <c r="G1059" s="150">
        <v>1200</v>
      </c>
      <c r="H1059" s="150"/>
      <c r="I1059" s="150"/>
      <c r="J1059" s="166"/>
      <c r="K1059" s="166"/>
      <c r="L1059" s="166"/>
      <c r="M1059" s="166"/>
      <c r="N1059" s="166"/>
      <c r="O1059" s="150" t="s">
        <v>79</v>
      </c>
      <c r="P1059" s="167" t="s">
        <v>80</v>
      </c>
      <c r="Q1059" s="167"/>
      <c r="R1059" s="167">
        <v>5000</v>
      </c>
      <c r="S1059" s="167"/>
      <c r="T1059" s="167"/>
      <c r="U1059" s="167"/>
      <c r="V1059" s="167"/>
      <c r="W1059" s="167"/>
      <c r="X1059" s="167"/>
      <c r="Y1059" s="167"/>
      <c r="Z1059" s="167"/>
      <c r="AA1059" s="167"/>
      <c r="AB1059" s="167"/>
      <c r="AC1059" s="167"/>
      <c r="AD1059" s="167"/>
      <c r="AE1059" s="167"/>
      <c r="AF1059" s="167"/>
      <c r="AG1059" s="167"/>
      <c r="AH1059" s="167"/>
      <c r="AI1059" s="167"/>
      <c r="AJ1059" s="167"/>
      <c r="AK1059" s="167"/>
      <c r="AL1059" s="167"/>
      <c r="AM1059" s="167"/>
      <c r="AN1059" s="167"/>
      <c r="AO1059" s="167"/>
      <c r="AP1059" s="167"/>
      <c r="AQ1059" s="167"/>
      <c r="AR1059" s="167"/>
      <c r="AS1059" s="167"/>
      <c r="AT1059" s="167"/>
      <c r="AU1059" s="167"/>
      <c r="AV1059" s="167"/>
      <c r="AW1059" s="167"/>
      <c r="AX1059" s="167"/>
      <c r="AY1059" s="167"/>
      <c r="AZ1059" s="167"/>
      <c r="BA1059" s="167"/>
      <c r="BB1059" s="167"/>
      <c r="BC1059" s="167"/>
      <c r="BD1059" s="167"/>
      <c r="BE1059" s="167"/>
      <c r="BF1059" s="167"/>
      <c r="BG1059" s="167"/>
      <c r="BH1059" s="167"/>
      <c r="BI1059" s="167"/>
      <c r="BJ1059" s="167"/>
      <c r="BK1059" s="167"/>
      <c r="BL1059" s="167"/>
      <c r="BM1059" s="167"/>
      <c r="BN1059" s="167"/>
      <c r="BO1059" s="167"/>
      <c r="BP1059" s="167"/>
      <c r="BQ1059" s="167"/>
      <c r="BR1059" s="167"/>
      <c r="BS1059" s="167"/>
      <c r="BT1059" s="167"/>
      <c r="BU1059" s="167"/>
      <c r="BV1059" s="167"/>
      <c r="BW1059" s="167"/>
      <c r="BX1059" s="167"/>
      <c r="BY1059" s="175"/>
    </row>
    <row r="1060" spans="1:77" s="15" customFormat="1" x14ac:dyDescent="0.15">
      <c r="A1060" s="177">
        <v>1205003013</v>
      </c>
      <c r="B1060" s="178" t="s">
        <v>781</v>
      </c>
      <c r="C1060" s="179" t="s">
        <v>782</v>
      </c>
      <c r="D1060" s="179"/>
      <c r="E1060" s="179" t="s">
        <v>78</v>
      </c>
      <c r="F1060" s="179"/>
      <c r="G1060" s="179"/>
      <c r="H1060" s="179"/>
      <c r="I1060" s="179"/>
      <c r="J1060" s="183"/>
      <c r="K1060" s="183"/>
      <c r="L1060" s="183"/>
      <c r="M1060" s="183"/>
      <c r="N1060" s="183"/>
      <c r="O1060" s="179" t="s">
        <v>491</v>
      </c>
      <c r="P1060" s="197"/>
      <c r="Q1060" s="179"/>
      <c r="R1060" s="179"/>
      <c r="S1060" s="179"/>
      <c r="T1060" s="197"/>
      <c r="U1060" s="179"/>
      <c r="V1060" s="179"/>
      <c r="W1060" s="179"/>
      <c r="X1060" s="179"/>
      <c r="Y1060" s="179"/>
      <c r="Z1060" s="179"/>
      <c r="AA1060" s="179"/>
      <c r="AB1060" s="179"/>
      <c r="AC1060" s="179"/>
      <c r="AD1060" s="179"/>
      <c r="AE1060" s="148" t="s">
        <v>308</v>
      </c>
      <c r="AF1060" s="179">
        <v>-10000</v>
      </c>
      <c r="AG1060" s="179"/>
      <c r="AH1060" s="179"/>
      <c r="AI1060" s="179"/>
      <c r="AJ1060" s="179" t="s">
        <v>90</v>
      </c>
      <c r="AK1060" s="179"/>
      <c r="AL1060" s="179"/>
      <c r="AM1060" s="179"/>
      <c r="AN1060" s="179"/>
      <c r="AO1060" s="179"/>
      <c r="AP1060" s="179"/>
      <c r="AQ1060" s="179"/>
      <c r="AR1060" s="179"/>
      <c r="AS1060" s="179"/>
      <c r="AT1060" s="179"/>
      <c r="AU1060" s="179"/>
      <c r="AV1060" s="179"/>
      <c r="AW1060" s="179"/>
      <c r="AX1060" s="179"/>
      <c r="AY1060" s="179">
        <v>1205200201</v>
      </c>
      <c r="AZ1060" s="179"/>
      <c r="BA1060" s="179"/>
      <c r="BB1060" s="179"/>
      <c r="BC1060" s="179"/>
      <c r="BD1060" s="179"/>
      <c r="BE1060" s="179" t="s">
        <v>277</v>
      </c>
      <c r="BF1060" s="179"/>
      <c r="BG1060" s="179"/>
      <c r="BH1060" s="179"/>
      <c r="BI1060" s="179"/>
      <c r="BJ1060" s="179"/>
      <c r="BK1060" s="179"/>
      <c r="BL1060" s="179"/>
      <c r="BM1060" s="179"/>
      <c r="BN1060" s="179"/>
      <c r="BO1060" s="179"/>
      <c r="BP1060" s="179"/>
      <c r="BQ1060" s="179"/>
      <c r="BR1060" s="179"/>
      <c r="BS1060" s="179"/>
      <c r="BT1060" s="179"/>
      <c r="BU1060" s="179" t="s">
        <v>803</v>
      </c>
      <c r="BV1060" s="179"/>
      <c r="BW1060" s="179"/>
      <c r="BX1060" s="179"/>
      <c r="BY1060" s="186"/>
    </row>
    <row r="1061" spans="1:77" s="15" customFormat="1" x14ac:dyDescent="0.15">
      <c r="A1061" s="177">
        <v>1205003023</v>
      </c>
      <c r="B1061" s="178" t="s">
        <v>781</v>
      </c>
      <c r="C1061" s="179" t="s">
        <v>782</v>
      </c>
      <c r="D1061" s="179"/>
      <c r="E1061" s="179" t="s">
        <v>78</v>
      </c>
      <c r="F1061" s="179"/>
      <c r="G1061" s="179"/>
      <c r="H1061" s="179"/>
      <c r="I1061" s="179"/>
      <c r="J1061" s="183"/>
      <c r="K1061" s="183"/>
      <c r="L1061" s="183"/>
      <c r="M1061" s="183"/>
      <c r="N1061" s="183"/>
      <c r="O1061" s="179" t="s">
        <v>491</v>
      </c>
      <c r="P1061" s="197"/>
      <c r="Q1061" s="179"/>
      <c r="R1061" s="179"/>
      <c r="S1061" s="179"/>
      <c r="T1061" s="197"/>
      <c r="U1061" s="179"/>
      <c r="V1061" s="179"/>
      <c r="W1061" s="179"/>
      <c r="X1061" s="179"/>
      <c r="Y1061" s="179"/>
      <c r="Z1061" s="179"/>
      <c r="AA1061" s="179"/>
      <c r="AB1061" s="179"/>
      <c r="AC1061" s="179"/>
      <c r="AD1061" s="179"/>
      <c r="AE1061" s="148" t="s">
        <v>308</v>
      </c>
      <c r="AF1061" s="179">
        <v>-10000</v>
      </c>
      <c r="AG1061" s="179"/>
      <c r="AH1061" s="179"/>
      <c r="AI1061" s="179"/>
      <c r="AJ1061" s="179" t="s">
        <v>90</v>
      </c>
      <c r="AK1061" s="179"/>
      <c r="AL1061" s="179"/>
      <c r="AM1061" s="179"/>
      <c r="AN1061" s="179"/>
      <c r="AO1061" s="179"/>
      <c r="AP1061" s="179"/>
      <c r="AQ1061" s="179"/>
      <c r="AR1061" s="179"/>
      <c r="AS1061" s="179"/>
      <c r="AT1061" s="179"/>
      <c r="AU1061" s="179"/>
      <c r="AV1061" s="179"/>
      <c r="AW1061" s="179"/>
      <c r="AX1061" s="179"/>
      <c r="AY1061" s="179">
        <v>1205200202</v>
      </c>
      <c r="AZ1061" s="179"/>
      <c r="BA1061" s="179"/>
      <c r="BB1061" s="179"/>
      <c r="BC1061" s="179"/>
      <c r="BD1061" s="179"/>
      <c r="BE1061" s="179" t="s">
        <v>277</v>
      </c>
      <c r="BF1061" s="179"/>
      <c r="BG1061" s="179"/>
      <c r="BH1061" s="179"/>
      <c r="BI1061" s="179"/>
      <c r="BJ1061" s="179"/>
      <c r="BK1061" s="179"/>
      <c r="BL1061" s="179"/>
      <c r="BM1061" s="179"/>
      <c r="BN1061" s="179"/>
      <c r="BO1061" s="179"/>
      <c r="BP1061" s="179"/>
      <c r="BQ1061" s="179"/>
      <c r="BR1061" s="179"/>
      <c r="BS1061" s="179"/>
      <c r="BT1061" s="179"/>
      <c r="BU1061" s="179" t="s">
        <v>803</v>
      </c>
      <c r="BV1061" s="179"/>
      <c r="BW1061" s="179"/>
      <c r="BX1061" s="179"/>
      <c r="BY1061" s="186"/>
    </row>
    <row r="1062" spans="1:77" s="15" customFormat="1" x14ac:dyDescent="0.15">
      <c r="A1062" s="177">
        <v>1205003033</v>
      </c>
      <c r="B1062" s="178" t="s">
        <v>781</v>
      </c>
      <c r="C1062" s="179" t="s">
        <v>782</v>
      </c>
      <c r="D1062" s="179"/>
      <c r="E1062" s="179" t="s">
        <v>78</v>
      </c>
      <c r="F1062" s="179"/>
      <c r="G1062" s="179"/>
      <c r="H1062" s="179"/>
      <c r="I1062" s="179"/>
      <c r="J1062" s="183"/>
      <c r="K1062" s="183"/>
      <c r="L1062" s="183"/>
      <c r="M1062" s="183"/>
      <c r="N1062" s="183"/>
      <c r="O1062" s="179" t="s">
        <v>491</v>
      </c>
      <c r="P1062" s="197"/>
      <c r="Q1062" s="179"/>
      <c r="R1062" s="179"/>
      <c r="S1062" s="179"/>
      <c r="T1062" s="197"/>
      <c r="U1062" s="179"/>
      <c r="V1062" s="179"/>
      <c r="W1062" s="179"/>
      <c r="X1062" s="179"/>
      <c r="Y1062" s="179"/>
      <c r="Z1062" s="179"/>
      <c r="AA1062" s="179"/>
      <c r="AB1062" s="179"/>
      <c r="AC1062" s="179"/>
      <c r="AD1062" s="179"/>
      <c r="AE1062" s="148" t="s">
        <v>308</v>
      </c>
      <c r="AF1062" s="179">
        <v>-10000</v>
      </c>
      <c r="AG1062" s="179"/>
      <c r="AH1062" s="179"/>
      <c r="AI1062" s="179"/>
      <c r="AJ1062" s="179" t="s">
        <v>90</v>
      </c>
      <c r="AK1062" s="179"/>
      <c r="AL1062" s="179"/>
      <c r="AM1062" s="179"/>
      <c r="AN1062" s="179"/>
      <c r="AO1062" s="179"/>
      <c r="AP1062" s="179"/>
      <c r="AQ1062" s="179"/>
      <c r="AR1062" s="179"/>
      <c r="AS1062" s="179"/>
      <c r="AT1062" s="179"/>
      <c r="AU1062" s="179"/>
      <c r="AV1062" s="179"/>
      <c r="AW1062" s="179"/>
      <c r="AX1062" s="179"/>
      <c r="AY1062" s="179">
        <v>1205200203</v>
      </c>
      <c r="AZ1062" s="179"/>
      <c r="BA1062" s="179"/>
      <c r="BB1062" s="179"/>
      <c r="BC1062" s="179"/>
      <c r="BD1062" s="179"/>
      <c r="BE1062" s="179" t="s">
        <v>277</v>
      </c>
      <c r="BF1062" s="179"/>
      <c r="BG1062" s="179"/>
      <c r="BH1062" s="179"/>
      <c r="BI1062" s="179"/>
      <c r="BJ1062" s="179"/>
      <c r="BK1062" s="179"/>
      <c r="BL1062" s="179"/>
      <c r="BM1062" s="179"/>
      <c r="BN1062" s="179"/>
      <c r="BO1062" s="179"/>
      <c r="BP1062" s="179"/>
      <c r="BQ1062" s="179"/>
      <c r="BR1062" s="179"/>
      <c r="BS1062" s="179"/>
      <c r="BT1062" s="179"/>
      <c r="BU1062" s="179" t="s">
        <v>803</v>
      </c>
      <c r="BV1062" s="179"/>
      <c r="BW1062" s="179"/>
      <c r="BX1062" s="179"/>
      <c r="BY1062" s="186"/>
    </row>
    <row r="1063" spans="1:77" s="15" customFormat="1" x14ac:dyDescent="0.15">
      <c r="A1063" s="177">
        <v>1205003014</v>
      </c>
      <c r="B1063" s="178" t="s">
        <v>783</v>
      </c>
      <c r="C1063" s="179" t="s">
        <v>782</v>
      </c>
      <c r="D1063" s="179"/>
      <c r="E1063" s="179" t="s">
        <v>78</v>
      </c>
      <c r="F1063" s="179"/>
      <c r="G1063" s="179"/>
      <c r="H1063" s="179"/>
      <c r="I1063" s="179"/>
      <c r="J1063" s="183"/>
      <c r="K1063" s="183"/>
      <c r="L1063" s="183"/>
      <c r="M1063" s="183"/>
      <c r="N1063" s="183"/>
      <c r="O1063" s="179" t="s">
        <v>491</v>
      </c>
      <c r="P1063" s="197"/>
      <c r="Q1063" s="179"/>
      <c r="R1063" s="179"/>
      <c r="S1063" s="179"/>
      <c r="T1063" s="197"/>
      <c r="U1063" s="179"/>
      <c r="V1063" s="179"/>
      <c r="W1063" s="179"/>
      <c r="X1063" s="179"/>
      <c r="Y1063" s="179"/>
      <c r="Z1063" s="179"/>
      <c r="AA1063" s="179"/>
      <c r="AB1063" s="179"/>
      <c r="AC1063" s="179"/>
      <c r="AD1063" s="179"/>
      <c r="AE1063" s="148" t="s">
        <v>784</v>
      </c>
      <c r="AF1063" s="179">
        <v>1</v>
      </c>
      <c r="AG1063" s="179"/>
      <c r="AH1063" s="179"/>
      <c r="AI1063" s="179"/>
      <c r="AJ1063" s="179"/>
      <c r="AK1063" s="179"/>
      <c r="AL1063" s="179"/>
      <c r="AM1063" s="179"/>
      <c r="AN1063" s="179"/>
      <c r="AO1063" s="179"/>
      <c r="AP1063" s="179"/>
      <c r="AQ1063" s="179"/>
      <c r="AR1063" s="179"/>
      <c r="AS1063" s="179"/>
      <c r="AT1063" s="179"/>
      <c r="AU1063" s="179"/>
      <c r="AV1063" s="179"/>
      <c r="AW1063" s="179"/>
      <c r="AX1063" s="179"/>
      <c r="AY1063" s="179"/>
      <c r="AZ1063" s="179"/>
      <c r="BA1063" s="179"/>
      <c r="BB1063" s="179"/>
      <c r="BC1063" s="179"/>
      <c r="BD1063" s="179"/>
      <c r="BE1063" s="179"/>
      <c r="BF1063" s="179"/>
      <c r="BG1063" s="179"/>
      <c r="BH1063" s="179"/>
      <c r="BI1063" s="179"/>
      <c r="BJ1063" s="179"/>
      <c r="BK1063" s="179"/>
      <c r="BL1063" s="179"/>
      <c r="BM1063" s="179"/>
      <c r="BN1063" s="179"/>
      <c r="BO1063" s="179"/>
      <c r="BP1063" s="179"/>
      <c r="BQ1063" s="179"/>
      <c r="BR1063" s="179"/>
      <c r="BS1063" s="179"/>
      <c r="BT1063" s="179"/>
      <c r="BU1063" s="179"/>
      <c r="BV1063" s="179"/>
      <c r="BW1063" s="179"/>
      <c r="BX1063" s="179"/>
      <c r="BY1063" s="186"/>
    </row>
    <row r="1064" spans="1:77" s="15" customFormat="1" x14ac:dyDescent="0.15">
      <c r="A1064" s="177">
        <v>1205003015</v>
      </c>
      <c r="B1064" s="178" t="s">
        <v>854</v>
      </c>
      <c r="C1064" s="179" t="s">
        <v>780</v>
      </c>
      <c r="D1064" s="179"/>
      <c r="E1064" s="179" t="s">
        <v>78</v>
      </c>
      <c r="F1064" s="179"/>
      <c r="G1064" s="179"/>
      <c r="H1064" s="179"/>
      <c r="I1064" s="179"/>
      <c r="J1064" s="183"/>
      <c r="K1064" s="183"/>
      <c r="L1064" s="183"/>
      <c r="M1064" s="183"/>
      <c r="N1064" s="183"/>
      <c r="O1064" s="179" t="s">
        <v>90</v>
      </c>
      <c r="P1064" s="197"/>
      <c r="Q1064" s="179"/>
      <c r="R1064" s="179"/>
      <c r="S1064" s="179"/>
      <c r="T1064" s="197"/>
      <c r="U1064" s="179"/>
      <c r="V1064" s="179"/>
      <c r="W1064" s="179"/>
      <c r="X1064" s="179"/>
      <c r="Y1064" s="179"/>
      <c r="Z1064" s="179"/>
      <c r="AA1064" s="179"/>
      <c r="AB1064" s="179"/>
      <c r="AC1064" s="179"/>
      <c r="AD1064" s="179">
        <v>1205003301</v>
      </c>
      <c r="AE1064" s="148"/>
      <c r="AF1064" s="179"/>
      <c r="AG1064" s="179"/>
      <c r="AH1064" s="179"/>
      <c r="AI1064" s="179"/>
      <c r="AJ1064" s="179"/>
      <c r="AK1064" s="179"/>
      <c r="AL1064" s="179"/>
      <c r="AM1064" s="179"/>
      <c r="AN1064" s="179"/>
      <c r="AO1064" s="179"/>
      <c r="AP1064" s="179"/>
      <c r="AQ1064" s="179"/>
      <c r="AR1064" s="179"/>
      <c r="AS1064" s="179"/>
      <c r="AT1064" s="179"/>
      <c r="AU1064" s="179"/>
      <c r="AV1064" s="179"/>
      <c r="AW1064" s="179"/>
      <c r="AX1064" s="179"/>
      <c r="AY1064" s="179"/>
      <c r="AZ1064" s="179"/>
      <c r="BA1064" s="179"/>
      <c r="BB1064" s="179"/>
      <c r="BC1064" s="179"/>
      <c r="BD1064" s="179"/>
      <c r="BE1064" s="179"/>
      <c r="BF1064" s="179"/>
      <c r="BG1064" s="179"/>
      <c r="BH1064" s="179"/>
      <c r="BI1064" s="179"/>
      <c r="BJ1064" s="179"/>
      <c r="BK1064" s="179"/>
      <c r="BL1064" s="179"/>
      <c r="BM1064" s="179"/>
      <c r="BN1064" s="179"/>
      <c r="BO1064" s="179"/>
      <c r="BP1064" s="179"/>
      <c r="BQ1064" s="179"/>
      <c r="BR1064" s="179"/>
      <c r="BS1064" s="179"/>
      <c r="BT1064" s="179"/>
      <c r="BU1064" s="179"/>
      <c r="BV1064" s="179"/>
      <c r="BW1064" s="179"/>
      <c r="BX1064" s="179"/>
      <c r="BY1064" s="186"/>
    </row>
    <row r="1065" spans="1:77" s="15" customFormat="1" x14ac:dyDescent="0.15">
      <c r="A1065" s="177">
        <v>1205003016</v>
      </c>
      <c r="B1065" s="178" t="s">
        <v>855</v>
      </c>
      <c r="C1065" s="179" t="s">
        <v>780</v>
      </c>
      <c r="D1065" s="179"/>
      <c r="E1065" s="179" t="s">
        <v>78</v>
      </c>
      <c r="F1065" s="179"/>
      <c r="G1065" s="179"/>
      <c r="H1065" s="179"/>
      <c r="I1065" s="179"/>
      <c r="J1065" s="183"/>
      <c r="K1065" s="183"/>
      <c r="L1065" s="183"/>
      <c r="M1065" s="183"/>
      <c r="N1065" s="183"/>
      <c r="O1065" s="179" t="s">
        <v>277</v>
      </c>
      <c r="P1065" s="179"/>
      <c r="Q1065" s="179"/>
      <c r="R1065" s="179"/>
      <c r="S1065" s="179"/>
      <c r="T1065" s="179"/>
      <c r="U1065" s="179"/>
      <c r="V1065" s="179"/>
      <c r="W1065" s="179"/>
      <c r="X1065" s="179"/>
      <c r="Y1065" s="179"/>
      <c r="Z1065" s="179"/>
      <c r="AA1065" s="179"/>
      <c r="AB1065" s="179"/>
      <c r="AC1065" s="179"/>
      <c r="AD1065" s="179"/>
      <c r="AE1065" s="179">
        <v>12050033</v>
      </c>
      <c r="AF1065" s="179"/>
      <c r="AG1065" s="179"/>
      <c r="AH1065" s="179"/>
      <c r="AI1065" s="179"/>
      <c r="AJ1065" s="179"/>
      <c r="AK1065" s="179"/>
      <c r="AL1065" s="179"/>
      <c r="AM1065" s="179"/>
      <c r="AN1065" s="179"/>
      <c r="AO1065" s="179"/>
      <c r="AP1065" s="179"/>
      <c r="AQ1065" s="179"/>
      <c r="AR1065" s="179"/>
      <c r="AS1065" s="179"/>
      <c r="AT1065" s="179"/>
      <c r="AU1065" s="179"/>
      <c r="AV1065" s="179"/>
      <c r="AW1065" s="179"/>
      <c r="AX1065" s="179"/>
      <c r="AY1065" s="179"/>
      <c r="AZ1065" s="179"/>
      <c r="BA1065" s="179"/>
      <c r="BB1065" s="179"/>
      <c r="BC1065" s="179"/>
      <c r="BD1065" s="179"/>
      <c r="BE1065" s="179"/>
      <c r="BF1065" s="179"/>
      <c r="BG1065" s="179"/>
      <c r="BH1065" s="179"/>
      <c r="BI1065" s="179"/>
      <c r="BJ1065" s="179"/>
      <c r="BK1065" s="179"/>
      <c r="BL1065" s="179"/>
      <c r="BM1065" s="179"/>
      <c r="BN1065" s="179"/>
      <c r="BO1065" s="179"/>
      <c r="BP1065" s="179"/>
      <c r="BQ1065" s="179"/>
      <c r="BR1065" s="179"/>
      <c r="BS1065" s="179"/>
      <c r="BT1065" s="179"/>
      <c r="BU1065" s="179"/>
      <c r="BV1065" s="179"/>
      <c r="BW1065" s="179"/>
      <c r="BX1065" s="179"/>
      <c r="BY1065" s="186"/>
    </row>
    <row r="1066" spans="1:77" s="15" customFormat="1" x14ac:dyDescent="0.15">
      <c r="A1066" s="177">
        <v>1205200011</v>
      </c>
      <c r="B1066" s="178" t="s">
        <v>779</v>
      </c>
      <c r="C1066" s="179" t="s">
        <v>780</v>
      </c>
      <c r="D1066" s="179"/>
      <c r="E1066" s="179" t="s">
        <v>78</v>
      </c>
      <c r="F1066" s="179"/>
      <c r="G1066" s="179"/>
      <c r="H1066" s="179"/>
      <c r="I1066" s="179"/>
      <c r="J1066" s="183"/>
      <c r="K1066" s="183"/>
      <c r="L1066" s="183"/>
      <c r="M1066" s="183"/>
      <c r="N1066" s="183"/>
      <c r="O1066" s="179" t="s">
        <v>90</v>
      </c>
      <c r="P1066" s="179"/>
      <c r="Q1066" s="179"/>
      <c r="R1066" s="179"/>
      <c r="S1066" s="179"/>
      <c r="T1066" s="179"/>
      <c r="U1066" s="179"/>
      <c r="V1066" s="179"/>
      <c r="W1066" s="179"/>
      <c r="X1066" s="179"/>
      <c r="Y1066" s="179"/>
      <c r="Z1066" s="179"/>
      <c r="AA1066" s="179"/>
      <c r="AB1066" s="179"/>
      <c r="AC1066" s="179"/>
      <c r="AD1066" s="179">
        <v>1205200101</v>
      </c>
      <c r="AE1066" s="148"/>
      <c r="AF1066" s="179"/>
      <c r="AG1066" s="179"/>
      <c r="AH1066" s="179"/>
      <c r="AI1066" s="179"/>
      <c r="AJ1066" s="179"/>
      <c r="AK1066" s="179"/>
      <c r="AL1066" s="179"/>
      <c r="AM1066" s="179"/>
      <c r="AN1066" s="179"/>
      <c r="AO1066" s="179"/>
      <c r="AP1066" s="179"/>
      <c r="AQ1066" s="179"/>
      <c r="AR1066" s="179"/>
      <c r="AS1066" s="179"/>
      <c r="AT1066" s="179"/>
      <c r="AU1066" s="179"/>
      <c r="AV1066" s="179"/>
      <c r="AW1066" s="179"/>
      <c r="AX1066" s="179"/>
      <c r="AY1066" s="179"/>
      <c r="AZ1066" s="179"/>
      <c r="BA1066" s="179"/>
      <c r="BB1066" s="179"/>
      <c r="BC1066" s="179"/>
      <c r="BD1066" s="179"/>
      <c r="BE1066" s="179"/>
      <c r="BF1066" s="179"/>
      <c r="BG1066" s="179"/>
      <c r="BH1066" s="179"/>
      <c r="BI1066" s="179"/>
      <c r="BJ1066" s="179"/>
      <c r="BK1066" s="179"/>
      <c r="BL1066" s="179"/>
      <c r="BM1066" s="179"/>
      <c r="BN1066" s="179"/>
      <c r="BO1066" s="179"/>
      <c r="BP1066" s="179"/>
      <c r="BQ1066" s="179"/>
      <c r="BR1066" s="179"/>
      <c r="BS1066" s="179"/>
      <c r="BT1066" s="179"/>
      <c r="BU1066" s="179"/>
      <c r="BV1066" s="179"/>
      <c r="BW1066" s="179"/>
      <c r="BX1066" s="179"/>
      <c r="BY1066" s="186"/>
    </row>
    <row r="1067" spans="1:77" s="15" customFormat="1" x14ac:dyDescent="0.15">
      <c r="A1067" s="177">
        <v>1205010011</v>
      </c>
      <c r="B1067" s="178" t="s">
        <v>456</v>
      </c>
      <c r="C1067" s="179" t="s">
        <v>100</v>
      </c>
      <c r="D1067" s="179"/>
      <c r="E1067" s="179" t="s">
        <v>83</v>
      </c>
      <c r="F1067" s="179">
        <v>50000</v>
      </c>
      <c r="G1067" s="179"/>
      <c r="H1067" s="179"/>
      <c r="I1067" s="179"/>
      <c r="J1067" s="183"/>
      <c r="K1067" s="183"/>
      <c r="L1067" s="183"/>
      <c r="M1067" s="183" t="s">
        <v>101</v>
      </c>
      <c r="N1067" s="183" t="s">
        <v>842</v>
      </c>
      <c r="O1067" s="179" t="s">
        <v>79</v>
      </c>
      <c r="P1067" s="179" t="s">
        <v>80</v>
      </c>
      <c r="Q1067" s="179">
        <v>190</v>
      </c>
      <c r="R1067" s="179">
        <v>4000</v>
      </c>
      <c r="S1067" s="179"/>
      <c r="T1067" s="179"/>
      <c r="V1067" s="179"/>
      <c r="W1067" s="179"/>
      <c r="X1067" s="179"/>
      <c r="Y1067" s="179"/>
      <c r="Z1067" s="179"/>
      <c r="AA1067" s="179"/>
      <c r="AB1067" s="179"/>
      <c r="AC1067" s="179"/>
      <c r="AD1067" s="179"/>
      <c r="AE1067" s="148"/>
      <c r="AF1067" s="179"/>
      <c r="AG1067" s="179"/>
      <c r="AH1067" s="179"/>
      <c r="AI1067" s="179"/>
      <c r="AJ1067" s="179"/>
      <c r="AK1067" s="179"/>
      <c r="AL1067" s="179"/>
      <c r="AM1067" s="179"/>
      <c r="AN1067" s="179"/>
      <c r="AO1067" s="179"/>
      <c r="AP1067" s="179"/>
      <c r="AQ1067" s="179"/>
      <c r="AR1067" s="179"/>
      <c r="AS1067" s="179"/>
      <c r="AT1067" s="179"/>
      <c r="AU1067" s="179"/>
      <c r="AV1067" s="179"/>
      <c r="AW1067" s="179"/>
      <c r="AX1067" s="179"/>
      <c r="AY1067" s="179"/>
      <c r="AZ1067" s="179"/>
      <c r="BA1067" s="179"/>
      <c r="BB1067" s="179"/>
      <c r="BC1067" s="179"/>
      <c r="BD1067" s="179"/>
      <c r="BE1067" s="179"/>
      <c r="BF1067" s="179"/>
      <c r="BG1067" s="179"/>
      <c r="BH1067" s="179"/>
      <c r="BI1067" s="179"/>
      <c r="BJ1067" s="179"/>
      <c r="BK1067" s="179"/>
      <c r="BL1067" s="179"/>
      <c r="BM1067" s="179"/>
      <c r="BN1067" s="179"/>
      <c r="BO1067" s="179"/>
      <c r="BP1067" s="179"/>
      <c r="BQ1067" s="179"/>
      <c r="BR1067" s="179"/>
      <c r="BS1067" s="179"/>
      <c r="BT1067" s="179"/>
      <c r="BU1067" s="179"/>
      <c r="BV1067" s="179"/>
      <c r="BW1067" s="179"/>
      <c r="BX1067" s="179"/>
      <c r="BY1067" s="186"/>
    </row>
    <row r="1068" spans="1:77" s="15" customFormat="1" x14ac:dyDescent="0.15">
      <c r="A1068" s="177">
        <v>1205010021</v>
      </c>
      <c r="B1068" s="178" t="s">
        <v>456</v>
      </c>
      <c r="C1068" s="179" t="s">
        <v>100</v>
      </c>
      <c r="D1068" s="179"/>
      <c r="E1068" s="179" t="s">
        <v>83</v>
      </c>
      <c r="F1068" s="179">
        <v>50000</v>
      </c>
      <c r="G1068" s="179"/>
      <c r="H1068" s="179"/>
      <c r="I1068" s="179"/>
      <c r="J1068" s="183"/>
      <c r="K1068" s="183"/>
      <c r="L1068" s="183"/>
      <c r="M1068" s="183" t="s">
        <v>101</v>
      </c>
      <c r="N1068" s="183" t="s">
        <v>842</v>
      </c>
      <c r="O1068" s="179" t="s">
        <v>79</v>
      </c>
      <c r="P1068" s="179" t="s">
        <v>80</v>
      </c>
      <c r="Q1068" s="179">
        <v>280</v>
      </c>
      <c r="R1068" s="179">
        <v>4000</v>
      </c>
      <c r="S1068" s="179"/>
      <c r="T1068" s="179"/>
      <c r="V1068" s="179"/>
      <c r="W1068" s="179"/>
      <c r="X1068" s="179"/>
      <c r="Y1068" s="179"/>
      <c r="Z1068" s="179"/>
      <c r="AA1068" s="179"/>
      <c r="AB1068" s="179"/>
      <c r="AC1068" s="179"/>
      <c r="AD1068" s="179"/>
      <c r="AE1068" s="148"/>
      <c r="AF1068" s="179"/>
      <c r="AG1068" s="179"/>
      <c r="AH1068" s="179"/>
      <c r="AI1068" s="179"/>
      <c r="AJ1068" s="179"/>
      <c r="AK1068" s="179"/>
      <c r="AL1068" s="179"/>
      <c r="AM1068" s="179"/>
      <c r="AN1068" s="179"/>
      <c r="AO1068" s="179"/>
      <c r="AP1068" s="179"/>
      <c r="AQ1068" s="179"/>
      <c r="AR1068" s="179"/>
      <c r="AS1068" s="179"/>
      <c r="AT1068" s="179"/>
      <c r="AU1068" s="179"/>
      <c r="AV1068" s="179"/>
      <c r="AW1068" s="179"/>
      <c r="AX1068" s="179"/>
      <c r="AY1068" s="179"/>
      <c r="AZ1068" s="179"/>
      <c r="BA1068" s="179"/>
      <c r="BB1068" s="179"/>
      <c r="BC1068" s="179"/>
      <c r="BD1068" s="179"/>
      <c r="BE1068" s="179"/>
      <c r="BF1068" s="179"/>
      <c r="BG1068" s="179"/>
      <c r="BH1068" s="179"/>
      <c r="BI1068" s="179"/>
      <c r="BJ1068" s="179"/>
      <c r="BK1068" s="179"/>
      <c r="BL1068" s="179"/>
      <c r="BM1068" s="179"/>
      <c r="BN1068" s="179"/>
      <c r="BO1068" s="179"/>
      <c r="BP1068" s="179"/>
      <c r="BQ1068" s="179"/>
      <c r="BR1068" s="179"/>
      <c r="BS1068" s="179"/>
      <c r="BT1068" s="179"/>
      <c r="BU1068" s="179"/>
      <c r="BV1068" s="179"/>
      <c r="BW1068" s="179"/>
      <c r="BX1068" s="179"/>
      <c r="BY1068" s="186"/>
    </row>
    <row r="1069" spans="1:77" s="15" customFormat="1" x14ac:dyDescent="0.15">
      <c r="A1069" s="177">
        <v>1205010031</v>
      </c>
      <c r="B1069" s="178" t="s">
        <v>456</v>
      </c>
      <c r="C1069" s="179" t="s">
        <v>100</v>
      </c>
      <c r="D1069" s="179"/>
      <c r="E1069" s="179" t="s">
        <v>83</v>
      </c>
      <c r="F1069" s="179">
        <v>50000</v>
      </c>
      <c r="G1069" s="179"/>
      <c r="H1069" s="179"/>
      <c r="I1069" s="179"/>
      <c r="J1069" s="183"/>
      <c r="K1069" s="183"/>
      <c r="L1069" s="183"/>
      <c r="M1069" s="183" t="s">
        <v>101</v>
      </c>
      <c r="N1069" s="183" t="s">
        <v>842</v>
      </c>
      <c r="O1069" s="179" t="s">
        <v>79</v>
      </c>
      <c r="P1069" s="179" t="s">
        <v>80</v>
      </c>
      <c r="Q1069" s="179">
        <v>370</v>
      </c>
      <c r="R1069" s="179">
        <v>4000</v>
      </c>
      <c r="S1069" s="179"/>
      <c r="T1069" s="179"/>
      <c r="V1069" s="179"/>
      <c r="W1069" s="179"/>
      <c r="X1069" s="179"/>
      <c r="Y1069" s="179"/>
      <c r="Z1069" s="179"/>
      <c r="AA1069" s="179"/>
      <c r="AB1069" s="179"/>
      <c r="AC1069" s="179"/>
      <c r="AD1069" s="179"/>
      <c r="AE1069" s="148"/>
      <c r="AF1069" s="179"/>
      <c r="AG1069" s="179"/>
      <c r="AH1069" s="179"/>
      <c r="AI1069" s="179"/>
      <c r="AJ1069" s="179"/>
      <c r="AK1069" s="179"/>
      <c r="AL1069" s="179"/>
      <c r="AM1069" s="179"/>
      <c r="AN1069" s="179"/>
      <c r="AO1069" s="179"/>
      <c r="AP1069" s="179"/>
      <c r="AQ1069" s="179"/>
      <c r="AR1069" s="179"/>
      <c r="AS1069" s="179"/>
      <c r="AT1069" s="179"/>
      <c r="AU1069" s="179"/>
      <c r="AV1069" s="179"/>
      <c r="AW1069" s="179"/>
      <c r="AX1069" s="179"/>
      <c r="AY1069" s="179"/>
      <c r="AZ1069" s="179"/>
      <c r="BA1069" s="179"/>
      <c r="BB1069" s="179"/>
      <c r="BC1069" s="179"/>
      <c r="BD1069" s="179"/>
      <c r="BE1069" s="179"/>
      <c r="BF1069" s="179"/>
      <c r="BG1069" s="179"/>
      <c r="BH1069" s="179"/>
      <c r="BI1069" s="179"/>
      <c r="BJ1069" s="179"/>
      <c r="BK1069" s="179"/>
      <c r="BL1069" s="179"/>
      <c r="BM1069" s="179"/>
      <c r="BN1069" s="179"/>
      <c r="BO1069" s="179"/>
      <c r="BP1069" s="179"/>
      <c r="BQ1069" s="179"/>
      <c r="BR1069" s="179"/>
      <c r="BS1069" s="179"/>
      <c r="BT1069" s="179"/>
      <c r="BU1069" s="179"/>
      <c r="BV1069" s="179"/>
      <c r="BW1069" s="179"/>
      <c r="BX1069" s="179"/>
      <c r="BY1069" s="186"/>
    </row>
    <row r="1070" spans="1:77" s="15" customFormat="1" x14ac:dyDescent="0.15">
      <c r="A1070" s="177">
        <v>1205010041</v>
      </c>
      <c r="B1070" s="178" t="s">
        <v>456</v>
      </c>
      <c r="C1070" s="179" t="s">
        <v>100</v>
      </c>
      <c r="D1070" s="179"/>
      <c r="E1070" s="179" t="s">
        <v>83</v>
      </c>
      <c r="F1070" s="179">
        <v>50000</v>
      </c>
      <c r="G1070" s="179"/>
      <c r="H1070" s="179"/>
      <c r="I1070" s="179"/>
      <c r="J1070" s="183"/>
      <c r="K1070" s="183"/>
      <c r="L1070" s="183"/>
      <c r="M1070" s="183" t="s">
        <v>101</v>
      </c>
      <c r="N1070" s="183" t="s">
        <v>842</v>
      </c>
      <c r="O1070" s="179" t="s">
        <v>79</v>
      </c>
      <c r="P1070" s="179" t="s">
        <v>80</v>
      </c>
      <c r="Q1070" s="179">
        <v>460</v>
      </c>
      <c r="R1070" s="179">
        <v>4000</v>
      </c>
      <c r="S1070" s="179"/>
      <c r="T1070" s="179"/>
      <c r="V1070" s="179"/>
      <c r="W1070" s="179"/>
      <c r="X1070" s="179"/>
      <c r="Y1070" s="179"/>
      <c r="Z1070" s="179"/>
      <c r="AA1070" s="179"/>
      <c r="AB1070" s="179"/>
      <c r="AC1070" s="179"/>
      <c r="AD1070" s="179"/>
      <c r="AE1070" s="148"/>
      <c r="AF1070" s="179"/>
      <c r="AG1070" s="179"/>
      <c r="AH1070" s="179"/>
      <c r="AI1070" s="179"/>
      <c r="AJ1070" s="179"/>
      <c r="AK1070" s="179"/>
      <c r="AL1070" s="179"/>
      <c r="AM1070" s="179"/>
      <c r="AN1070" s="179"/>
      <c r="AO1070" s="179"/>
      <c r="AP1070" s="179"/>
      <c r="AQ1070" s="179"/>
      <c r="AR1070" s="179"/>
      <c r="AS1070" s="179"/>
      <c r="AT1070" s="179"/>
      <c r="AU1070" s="179"/>
      <c r="AV1070" s="179"/>
      <c r="AW1070" s="179"/>
      <c r="AX1070" s="179"/>
      <c r="AY1070" s="179"/>
      <c r="AZ1070" s="179"/>
      <c r="BA1070" s="179"/>
      <c r="BB1070" s="179"/>
      <c r="BC1070" s="179"/>
      <c r="BD1070" s="179"/>
      <c r="BE1070" s="179"/>
      <c r="BF1070" s="179"/>
      <c r="BG1070" s="179"/>
      <c r="BH1070" s="179"/>
      <c r="BI1070" s="179"/>
      <c r="BJ1070" s="179"/>
      <c r="BK1070" s="179"/>
      <c r="BL1070" s="179"/>
      <c r="BM1070" s="179"/>
      <c r="BN1070" s="179"/>
      <c r="BO1070" s="179"/>
      <c r="BP1070" s="179"/>
      <c r="BQ1070" s="179"/>
      <c r="BR1070" s="179"/>
      <c r="BS1070" s="179"/>
      <c r="BT1070" s="179"/>
      <c r="BU1070" s="179"/>
      <c r="BV1070" s="179"/>
      <c r="BW1070" s="179"/>
      <c r="BX1070" s="179"/>
      <c r="BY1070" s="186"/>
    </row>
    <row r="1071" spans="1:77" s="15" customFormat="1" x14ac:dyDescent="0.15">
      <c r="A1071" s="177">
        <v>1205010012</v>
      </c>
      <c r="B1071" s="178" t="s">
        <v>457</v>
      </c>
      <c r="C1071" s="179" t="s">
        <v>458</v>
      </c>
      <c r="D1071" s="179"/>
      <c r="E1071" s="179" t="s">
        <v>83</v>
      </c>
      <c r="F1071" s="179">
        <v>50000</v>
      </c>
      <c r="G1071" s="179"/>
      <c r="H1071" s="179"/>
      <c r="I1071" s="179"/>
      <c r="J1071" s="183"/>
      <c r="K1071" s="183"/>
      <c r="L1071" s="183"/>
      <c r="M1071" s="183" t="s">
        <v>101</v>
      </c>
      <c r="N1071" s="183"/>
      <c r="O1071" s="179" t="s">
        <v>306</v>
      </c>
      <c r="P1071" s="179"/>
      <c r="Q1071" s="179">
        <v>190</v>
      </c>
      <c r="R1071" s="179">
        <v>4000</v>
      </c>
      <c r="S1071" s="179"/>
      <c r="T1071" s="179"/>
      <c r="V1071" s="179"/>
      <c r="W1071" s="179"/>
      <c r="X1071" s="179"/>
      <c r="Y1071" s="179"/>
      <c r="Z1071" s="179"/>
      <c r="AA1071" s="179"/>
      <c r="AB1071" s="179"/>
      <c r="AC1071" s="179"/>
      <c r="AD1071" s="179"/>
      <c r="AE1071" s="148"/>
      <c r="AF1071" s="179"/>
      <c r="AG1071" s="179"/>
      <c r="AH1071" s="179"/>
      <c r="AI1071" s="179"/>
      <c r="AJ1071" s="179"/>
      <c r="AK1071" s="179"/>
      <c r="AL1071" s="179"/>
      <c r="AM1071" s="179"/>
      <c r="AN1071" s="179"/>
      <c r="AO1071" s="179"/>
      <c r="AP1071" s="179"/>
      <c r="AQ1071" s="179"/>
      <c r="AR1071" s="179"/>
      <c r="AS1071" s="179"/>
      <c r="AT1071" s="179"/>
      <c r="AU1071" s="179"/>
      <c r="AV1071" s="179"/>
      <c r="AW1071" s="179"/>
      <c r="AX1071" s="179"/>
      <c r="AY1071" s="179"/>
      <c r="AZ1071" s="179"/>
      <c r="BA1071" s="179"/>
      <c r="BB1071" s="179"/>
      <c r="BC1071" s="179"/>
      <c r="BD1071" s="179"/>
      <c r="BE1071" s="179"/>
      <c r="BF1071" s="179"/>
      <c r="BG1071" s="179"/>
      <c r="BH1071" s="179"/>
      <c r="BI1071" s="179"/>
      <c r="BJ1071" s="179"/>
      <c r="BK1071" s="179"/>
      <c r="BL1071" s="179"/>
      <c r="BM1071" s="179"/>
      <c r="BN1071" s="179"/>
      <c r="BO1071" s="179"/>
      <c r="BP1071" s="179"/>
      <c r="BQ1071" s="179"/>
      <c r="BR1071" s="179"/>
      <c r="BS1071" s="179"/>
      <c r="BT1071" s="179"/>
      <c r="BU1071" s="179"/>
      <c r="BV1071" s="179"/>
      <c r="BW1071" s="179"/>
      <c r="BX1071" s="179"/>
      <c r="BY1071" s="186"/>
    </row>
    <row r="1072" spans="1:77" s="15" customFormat="1" x14ac:dyDescent="0.15">
      <c r="A1072" s="177">
        <v>1205010022</v>
      </c>
      <c r="B1072" s="178" t="s">
        <v>457</v>
      </c>
      <c r="C1072" s="179" t="s">
        <v>458</v>
      </c>
      <c r="D1072" s="179"/>
      <c r="E1072" s="179" t="s">
        <v>83</v>
      </c>
      <c r="F1072" s="179">
        <v>50000</v>
      </c>
      <c r="G1072" s="179"/>
      <c r="H1072" s="179"/>
      <c r="I1072" s="179"/>
      <c r="J1072" s="183"/>
      <c r="K1072" s="183"/>
      <c r="L1072" s="183"/>
      <c r="M1072" s="183" t="s">
        <v>101</v>
      </c>
      <c r="N1072" s="183"/>
      <c r="O1072" s="179" t="s">
        <v>306</v>
      </c>
      <c r="P1072" s="179"/>
      <c r="Q1072" s="179">
        <v>280</v>
      </c>
      <c r="R1072" s="179">
        <v>4000</v>
      </c>
      <c r="S1072" s="179"/>
      <c r="T1072" s="179"/>
      <c r="V1072" s="179"/>
      <c r="W1072" s="179"/>
      <c r="X1072" s="179"/>
      <c r="Y1072" s="179"/>
      <c r="Z1072" s="179"/>
      <c r="AA1072" s="179"/>
      <c r="AB1072" s="179"/>
      <c r="AC1072" s="179"/>
      <c r="AD1072" s="179"/>
      <c r="AE1072" s="148"/>
      <c r="AF1072" s="179"/>
      <c r="AG1072" s="179"/>
      <c r="AH1072" s="179"/>
      <c r="AI1072" s="179"/>
      <c r="AJ1072" s="179"/>
      <c r="AK1072" s="179"/>
      <c r="AL1072" s="179"/>
      <c r="AM1072" s="179"/>
      <c r="AN1072" s="179"/>
      <c r="AO1072" s="179"/>
      <c r="AP1072" s="179"/>
      <c r="AQ1072" s="179"/>
      <c r="AR1072" s="179"/>
      <c r="AS1072" s="179"/>
      <c r="AT1072" s="179"/>
      <c r="AU1072" s="179"/>
      <c r="AV1072" s="179"/>
      <c r="AW1072" s="179"/>
      <c r="AX1072" s="179"/>
      <c r="AY1072" s="179"/>
      <c r="AZ1072" s="179"/>
      <c r="BA1072" s="179"/>
      <c r="BB1072" s="179"/>
      <c r="BC1072" s="179"/>
      <c r="BD1072" s="179"/>
      <c r="BE1072" s="179"/>
      <c r="BF1072" s="179"/>
      <c r="BG1072" s="179"/>
      <c r="BH1072" s="179"/>
      <c r="BI1072" s="179"/>
      <c r="BJ1072" s="179"/>
      <c r="BK1072" s="179"/>
      <c r="BL1072" s="179"/>
      <c r="BM1072" s="179"/>
      <c r="BN1072" s="179"/>
      <c r="BO1072" s="179"/>
      <c r="BP1072" s="179"/>
      <c r="BQ1072" s="179"/>
      <c r="BR1072" s="179"/>
      <c r="BS1072" s="179"/>
      <c r="BT1072" s="179"/>
      <c r="BU1072" s="179"/>
      <c r="BV1072" s="179"/>
      <c r="BW1072" s="179"/>
      <c r="BX1072" s="179"/>
      <c r="BY1072" s="186"/>
    </row>
    <row r="1073" spans="1:77" s="15" customFormat="1" x14ac:dyDescent="0.15">
      <c r="A1073" s="177">
        <v>1205010032</v>
      </c>
      <c r="B1073" s="178" t="s">
        <v>457</v>
      </c>
      <c r="C1073" s="179" t="s">
        <v>458</v>
      </c>
      <c r="D1073" s="179"/>
      <c r="E1073" s="179" t="s">
        <v>83</v>
      </c>
      <c r="F1073" s="179">
        <v>50000</v>
      </c>
      <c r="G1073" s="179"/>
      <c r="H1073" s="179"/>
      <c r="I1073" s="179"/>
      <c r="J1073" s="183"/>
      <c r="K1073" s="183"/>
      <c r="L1073" s="183"/>
      <c r="M1073" s="183" t="s">
        <v>101</v>
      </c>
      <c r="N1073" s="183"/>
      <c r="O1073" s="179" t="s">
        <v>306</v>
      </c>
      <c r="P1073" s="179"/>
      <c r="Q1073" s="179">
        <v>370</v>
      </c>
      <c r="R1073" s="179">
        <v>4000</v>
      </c>
      <c r="S1073" s="179"/>
      <c r="T1073" s="179"/>
      <c r="V1073" s="179"/>
      <c r="W1073" s="179"/>
      <c r="X1073" s="179"/>
      <c r="Y1073" s="179"/>
      <c r="Z1073" s="179"/>
      <c r="AA1073" s="179"/>
      <c r="AB1073" s="179"/>
      <c r="AC1073" s="179"/>
      <c r="AD1073" s="179"/>
      <c r="AE1073" s="148"/>
      <c r="AF1073" s="179"/>
      <c r="AG1073" s="179"/>
      <c r="AH1073" s="179"/>
      <c r="AI1073" s="179"/>
      <c r="AJ1073" s="179"/>
      <c r="AK1073" s="179"/>
      <c r="AL1073" s="179"/>
      <c r="AM1073" s="179"/>
      <c r="AN1073" s="179"/>
      <c r="AO1073" s="179"/>
      <c r="AP1073" s="179"/>
      <c r="AQ1073" s="179"/>
      <c r="AR1073" s="179"/>
      <c r="AS1073" s="179"/>
      <c r="AT1073" s="179"/>
      <c r="AU1073" s="179"/>
      <c r="AV1073" s="179"/>
      <c r="AW1073" s="179"/>
      <c r="AX1073" s="179"/>
      <c r="AY1073" s="179"/>
      <c r="AZ1073" s="179"/>
      <c r="BA1073" s="179"/>
      <c r="BB1073" s="179"/>
      <c r="BC1073" s="179"/>
      <c r="BD1073" s="179"/>
      <c r="BE1073" s="179"/>
      <c r="BF1073" s="179"/>
      <c r="BG1073" s="179"/>
      <c r="BH1073" s="179"/>
      <c r="BI1073" s="179"/>
      <c r="BJ1073" s="179"/>
      <c r="BK1073" s="179"/>
      <c r="BL1073" s="179"/>
      <c r="BM1073" s="179"/>
      <c r="BN1073" s="179"/>
      <c r="BO1073" s="179"/>
      <c r="BP1073" s="179"/>
      <c r="BQ1073" s="179"/>
      <c r="BR1073" s="179"/>
      <c r="BS1073" s="179"/>
      <c r="BT1073" s="179"/>
      <c r="BU1073" s="179"/>
      <c r="BV1073" s="179"/>
      <c r="BW1073" s="179"/>
      <c r="BX1073" s="179"/>
      <c r="BY1073" s="186"/>
    </row>
    <row r="1074" spans="1:77" s="15" customFormat="1" x14ac:dyDescent="0.15">
      <c r="A1074" s="177">
        <v>1205010042</v>
      </c>
      <c r="B1074" s="178" t="s">
        <v>457</v>
      </c>
      <c r="C1074" s="179" t="s">
        <v>458</v>
      </c>
      <c r="D1074" s="179"/>
      <c r="E1074" s="179" t="s">
        <v>83</v>
      </c>
      <c r="F1074" s="179">
        <v>50000</v>
      </c>
      <c r="G1074" s="179"/>
      <c r="H1074" s="179"/>
      <c r="I1074" s="179"/>
      <c r="J1074" s="183"/>
      <c r="K1074" s="183"/>
      <c r="L1074" s="183"/>
      <c r="M1074" s="183" t="s">
        <v>101</v>
      </c>
      <c r="N1074" s="183"/>
      <c r="O1074" s="179" t="s">
        <v>306</v>
      </c>
      <c r="P1074" s="179"/>
      <c r="Q1074" s="179">
        <v>460</v>
      </c>
      <c r="R1074" s="179">
        <v>4000</v>
      </c>
      <c r="S1074" s="179"/>
      <c r="T1074" s="179"/>
      <c r="V1074" s="179"/>
      <c r="W1074" s="179"/>
      <c r="X1074" s="179"/>
      <c r="Y1074" s="179"/>
      <c r="Z1074" s="179"/>
      <c r="AA1074" s="179"/>
      <c r="AB1074" s="179"/>
      <c r="AC1074" s="179"/>
      <c r="AD1074" s="179"/>
      <c r="AE1074" s="148"/>
      <c r="AF1074" s="179"/>
      <c r="AG1074" s="179"/>
      <c r="AH1074" s="179"/>
      <c r="AI1074" s="179"/>
      <c r="AJ1074" s="179"/>
      <c r="AK1074" s="179"/>
      <c r="AL1074" s="179"/>
      <c r="AM1074" s="179"/>
      <c r="AN1074" s="179"/>
      <c r="AO1074" s="179"/>
      <c r="AP1074" s="179"/>
      <c r="AQ1074" s="179"/>
      <c r="AR1074" s="179"/>
      <c r="AS1074" s="179"/>
      <c r="AT1074" s="179"/>
      <c r="AU1074" s="179"/>
      <c r="AV1074" s="179"/>
      <c r="AW1074" s="179"/>
      <c r="AX1074" s="179"/>
      <c r="AY1074" s="179"/>
      <c r="AZ1074" s="179"/>
      <c r="BA1074" s="179"/>
      <c r="BB1074" s="179"/>
      <c r="BC1074" s="179"/>
      <c r="BD1074" s="179"/>
      <c r="BE1074" s="179"/>
      <c r="BF1074" s="179"/>
      <c r="BG1074" s="179"/>
      <c r="BH1074" s="179"/>
      <c r="BI1074" s="179"/>
      <c r="BJ1074" s="179"/>
      <c r="BK1074" s="179"/>
      <c r="BL1074" s="179"/>
      <c r="BM1074" s="179"/>
      <c r="BN1074" s="179"/>
      <c r="BO1074" s="179"/>
      <c r="BP1074" s="179"/>
      <c r="BQ1074" s="179"/>
      <c r="BR1074" s="179"/>
      <c r="BS1074" s="179"/>
      <c r="BT1074" s="179"/>
      <c r="BU1074" s="179"/>
      <c r="BV1074" s="179"/>
      <c r="BW1074" s="179"/>
      <c r="BX1074" s="179"/>
      <c r="BY1074" s="186"/>
    </row>
    <row r="1075" spans="1:77" s="15" customFormat="1" x14ac:dyDescent="0.15">
      <c r="A1075" s="177">
        <v>1205020011</v>
      </c>
      <c r="B1075" s="178" t="s">
        <v>789</v>
      </c>
      <c r="C1075" s="179" t="s">
        <v>780</v>
      </c>
      <c r="D1075" s="179"/>
      <c r="E1075" s="179" t="s">
        <v>790</v>
      </c>
      <c r="F1075" s="179"/>
      <c r="G1075" s="179"/>
      <c r="H1075" s="179"/>
      <c r="I1075" s="179"/>
      <c r="J1075" s="183"/>
      <c r="K1075" s="183"/>
      <c r="L1075" s="183"/>
      <c r="M1075" s="183"/>
      <c r="N1075" s="183"/>
      <c r="O1075" s="179" t="s">
        <v>90</v>
      </c>
      <c r="P1075" s="179"/>
      <c r="Q1075" s="179"/>
      <c r="R1075" s="179"/>
      <c r="S1075" s="179"/>
      <c r="T1075" s="179"/>
      <c r="V1075" s="179"/>
      <c r="W1075" s="179"/>
      <c r="X1075" s="179"/>
      <c r="Y1075" s="179"/>
      <c r="Z1075" s="179"/>
      <c r="AA1075" s="179"/>
      <c r="AB1075" s="179"/>
      <c r="AC1075" s="179"/>
      <c r="AD1075" s="179">
        <v>1205020101</v>
      </c>
      <c r="AE1075" s="148"/>
      <c r="AF1075" s="179"/>
      <c r="AG1075" s="179"/>
      <c r="AH1075" s="179"/>
      <c r="AI1075" s="179"/>
      <c r="AJ1075" s="179" t="s">
        <v>264</v>
      </c>
      <c r="AK1075" s="179"/>
      <c r="AL1075" s="179"/>
      <c r="AM1075" s="179"/>
      <c r="AN1075" s="179"/>
      <c r="AO1075" s="179"/>
      <c r="AP1075" s="179"/>
      <c r="AQ1075" s="179"/>
      <c r="AR1075" s="179"/>
      <c r="AS1075" s="179"/>
      <c r="AT1075" s="179"/>
      <c r="AU1075" s="179"/>
      <c r="AV1075" s="179"/>
      <c r="AW1075" s="179"/>
      <c r="AX1075" s="179"/>
      <c r="AY1075" s="179"/>
      <c r="AZ1075" s="179"/>
      <c r="BA1075" s="179"/>
      <c r="BB1075" s="179" t="s">
        <v>578</v>
      </c>
      <c r="BC1075" s="179"/>
      <c r="BD1075" s="179"/>
      <c r="BE1075" s="179"/>
      <c r="BF1075" s="179"/>
      <c r="BG1075" s="179"/>
      <c r="BH1075" s="179"/>
      <c r="BI1075" s="179"/>
      <c r="BJ1075" s="179"/>
      <c r="BK1075" s="179"/>
      <c r="BL1075" s="179"/>
      <c r="BM1075" s="179"/>
      <c r="BN1075" s="179"/>
      <c r="BO1075" s="179"/>
      <c r="BP1075" s="179"/>
      <c r="BQ1075" s="179"/>
      <c r="BR1075" s="179"/>
      <c r="BS1075" s="179"/>
      <c r="BT1075" s="179"/>
      <c r="BU1075" s="179"/>
      <c r="BV1075" s="179"/>
      <c r="BW1075" s="179"/>
      <c r="BX1075" s="179"/>
      <c r="BY1075" s="186"/>
    </row>
    <row r="1076" spans="1:77" s="15" customFormat="1" x14ac:dyDescent="0.15">
      <c r="A1076" s="177">
        <v>1205020021</v>
      </c>
      <c r="B1076" s="178" t="s">
        <v>789</v>
      </c>
      <c r="C1076" s="179" t="s">
        <v>780</v>
      </c>
      <c r="D1076" s="179"/>
      <c r="E1076" s="179" t="s">
        <v>790</v>
      </c>
      <c r="F1076" s="179"/>
      <c r="G1076" s="179"/>
      <c r="H1076" s="179"/>
      <c r="I1076" s="179"/>
      <c r="J1076" s="183"/>
      <c r="K1076" s="183"/>
      <c r="L1076" s="183"/>
      <c r="M1076" s="183"/>
      <c r="N1076" s="183"/>
      <c r="O1076" s="179" t="s">
        <v>90</v>
      </c>
      <c r="P1076" s="179"/>
      <c r="Q1076" s="179"/>
      <c r="R1076" s="179"/>
      <c r="S1076" s="179"/>
      <c r="T1076" s="179"/>
      <c r="V1076" s="179"/>
      <c r="W1076" s="179"/>
      <c r="X1076" s="179"/>
      <c r="Y1076" s="179"/>
      <c r="Z1076" s="179"/>
      <c r="AA1076" s="179"/>
      <c r="AB1076" s="179"/>
      <c r="AC1076" s="179"/>
      <c r="AD1076" s="179">
        <v>1205020102</v>
      </c>
      <c r="AE1076" s="148"/>
      <c r="AF1076" s="179"/>
      <c r="AG1076" s="179"/>
      <c r="AH1076" s="179"/>
      <c r="AI1076" s="179"/>
      <c r="AJ1076" s="179" t="s">
        <v>264</v>
      </c>
      <c r="AK1076" s="179"/>
      <c r="AL1076" s="179"/>
      <c r="AM1076" s="179"/>
      <c r="AN1076" s="179"/>
      <c r="AO1076" s="179"/>
      <c r="AP1076" s="179"/>
      <c r="AQ1076" s="179"/>
      <c r="AR1076" s="179"/>
      <c r="AS1076" s="179"/>
      <c r="AT1076" s="179"/>
      <c r="AU1076" s="179"/>
      <c r="AV1076" s="179"/>
      <c r="AW1076" s="179"/>
      <c r="AX1076" s="179"/>
      <c r="AY1076" s="179"/>
      <c r="AZ1076" s="179"/>
      <c r="BA1076" s="179"/>
      <c r="BB1076" s="179" t="s">
        <v>578</v>
      </c>
      <c r="BC1076" s="179"/>
      <c r="BD1076" s="179"/>
      <c r="BE1076" s="179"/>
      <c r="BF1076" s="179"/>
      <c r="BG1076" s="179"/>
      <c r="BH1076" s="179"/>
      <c r="BI1076" s="179"/>
      <c r="BJ1076" s="179"/>
      <c r="BK1076" s="179"/>
      <c r="BL1076" s="179"/>
      <c r="BM1076" s="179"/>
      <c r="BN1076" s="179"/>
      <c r="BO1076" s="179"/>
      <c r="BP1076" s="179"/>
      <c r="BQ1076" s="179"/>
      <c r="BR1076" s="179"/>
      <c r="BS1076" s="179"/>
      <c r="BT1076" s="179"/>
      <c r="BU1076" s="179"/>
      <c r="BV1076" s="179"/>
      <c r="BW1076" s="179"/>
      <c r="BX1076" s="179"/>
      <c r="BY1076" s="186"/>
    </row>
    <row r="1077" spans="1:77" s="15" customFormat="1" x14ac:dyDescent="0.15">
      <c r="A1077" s="177">
        <v>1205020031</v>
      </c>
      <c r="B1077" s="178" t="s">
        <v>789</v>
      </c>
      <c r="C1077" s="179" t="s">
        <v>780</v>
      </c>
      <c r="D1077" s="179"/>
      <c r="E1077" s="179" t="s">
        <v>790</v>
      </c>
      <c r="F1077" s="179"/>
      <c r="G1077" s="179"/>
      <c r="H1077" s="179"/>
      <c r="I1077" s="179"/>
      <c r="J1077" s="183"/>
      <c r="K1077" s="183"/>
      <c r="L1077" s="183"/>
      <c r="M1077" s="183"/>
      <c r="N1077" s="183"/>
      <c r="O1077" s="179" t="s">
        <v>90</v>
      </c>
      <c r="P1077" s="179"/>
      <c r="Q1077" s="179"/>
      <c r="R1077" s="179"/>
      <c r="S1077" s="179"/>
      <c r="T1077" s="179"/>
      <c r="V1077" s="179"/>
      <c r="W1077" s="179"/>
      <c r="X1077" s="179"/>
      <c r="Y1077" s="179"/>
      <c r="Z1077" s="179"/>
      <c r="AA1077" s="179"/>
      <c r="AB1077" s="179"/>
      <c r="AC1077" s="179"/>
      <c r="AD1077" s="179">
        <v>1205020103</v>
      </c>
      <c r="AE1077" s="148"/>
      <c r="AF1077" s="179"/>
      <c r="AG1077" s="179"/>
      <c r="AH1077" s="179"/>
      <c r="AI1077" s="179"/>
      <c r="AJ1077" s="179" t="s">
        <v>264</v>
      </c>
      <c r="AK1077" s="179"/>
      <c r="AL1077" s="179"/>
      <c r="AM1077" s="179"/>
      <c r="AN1077" s="179"/>
      <c r="AO1077" s="179"/>
      <c r="AP1077" s="179"/>
      <c r="AQ1077" s="179"/>
      <c r="AR1077" s="179"/>
      <c r="AS1077" s="179"/>
      <c r="AT1077" s="179"/>
      <c r="AU1077" s="179"/>
      <c r="AV1077" s="179"/>
      <c r="AW1077" s="179"/>
      <c r="AX1077" s="179"/>
      <c r="AY1077" s="179"/>
      <c r="AZ1077" s="179"/>
      <c r="BA1077" s="179"/>
      <c r="BB1077" s="179" t="s">
        <v>578</v>
      </c>
      <c r="BC1077" s="179"/>
      <c r="BD1077" s="179"/>
      <c r="BE1077" s="179"/>
      <c r="BF1077" s="179"/>
      <c r="BG1077" s="179"/>
      <c r="BH1077" s="179"/>
      <c r="BI1077" s="179"/>
      <c r="BJ1077" s="179"/>
      <c r="BK1077" s="179"/>
      <c r="BL1077" s="179"/>
      <c r="BM1077" s="179"/>
      <c r="BN1077" s="179"/>
      <c r="BO1077" s="179"/>
      <c r="BP1077" s="179"/>
      <c r="BQ1077" s="179"/>
      <c r="BR1077" s="179"/>
      <c r="BS1077" s="179"/>
      <c r="BT1077" s="179"/>
      <c r="BU1077" s="179"/>
      <c r="BV1077" s="179"/>
      <c r="BW1077" s="179"/>
      <c r="BX1077" s="179"/>
      <c r="BY1077" s="186"/>
    </row>
    <row r="1078" spans="1:77" s="15" customFormat="1" x14ac:dyDescent="0.15">
      <c r="A1078" s="177">
        <v>1205020041</v>
      </c>
      <c r="B1078" s="178" t="s">
        <v>791</v>
      </c>
      <c r="C1078" s="179" t="s">
        <v>792</v>
      </c>
      <c r="D1078" s="179"/>
      <c r="E1078" s="179" t="s">
        <v>793</v>
      </c>
      <c r="F1078" s="179"/>
      <c r="G1078" s="179"/>
      <c r="H1078" s="179"/>
      <c r="I1078" s="179"/>
      <c r="J1078" s="183"/>
      <c r="K1078" s="183"/>
      <c r="L1078" s="183"/>
      <c r="M1078" s="183"/>
      <c r="N1078" s="183"/>
      <c r="O1078" s="179" t="s">
        <v>90</v>
      </c>
      <c r="P1078" s="179"/>
      <c r="Q1078" s="179"/>
      <c r="R1078" s="179"/>
      <c r="S1078" s="179"/>
      <c r="T1078" s="179"/>
      <c r="V1078" s="179"/>
      <c r="W1078" s="179"/>
      <c r="X1078" s="179"/>
      <c r="Y1078" s="179"/>
      <c r="Z1078" s="179"/>
      <c r="AA1078" s="179"/>
      <c r="AB1078" s="179"/>
      <c r="AC1078" s="179"/>
      <c r="AD1078" s="179">
        <v>1205020104</v>
      </c>
      <c r="AE1078" s="148"/>
      <c r="AF1078" s="179"/>
      <c r="AG1078" s="179"/>
      <c r="AH1078" s="179"/>
      <c r="AI1078" s="179"/>
      <c r="AJ1078" s="179" t="s">
        <v>264</v>
      </c>
      <c r="AK1078" s="179"/>
      <c r="AL1078" s="179"/>
      <c r="AM1078" s="179"/>
      <c r="AN1078" s="179"/>
      <c r="AO1078" s="179"/>
      <c r="AP1078" s="179"/>
      <c r="AQ1078" s="179"/>
      <c r="AR1078" s="179"/>
      <c r="AS1078" s="179"/>
      <c r="AT1078" s="179"/>
      <c r="AU1078" s="179"/>
      <c r="AV1078" s="179"/>
      <c r="AW1078" s="179"/>
      <c r="AX1078" s="179"/>
      <c r="AY1078" s="179"/>
      <c r="AZ1078" s="179"/>
      <c r="BA1078" s="179"/>
      <c r="BB1078" s="179" t="s">
        <v>578</v>
      </c>
      <c r="BC1078" s="179"/>
      <c r="BD1078" s="179"/>
      <c r="BE1078" s="179"/>
      <c r="BF1078" s="179"/>
      <c r="BG1078" s="179"/>
      <c r="BH1078" s="179"/>
      <c r="BI1078" s="179"/>
      <c r="BJ1078" s="179"/>
      <c r="BK1078" s="179"/>
      <c r="BL1078" s="179"/>
      <c r="BM1078" s="179"/>
      <c r="BN1078" s="179"/>
      <c r="BO1078" s="179"/>
      <c r="BP1078" s="179"/>
      <c r="BQ1078" s="179"/>
      <c r="BR1078" s="179"/>
      <c r="BS1078" s="179"/>
      <c r="BT1078" s="179"/>
      <c r="BU1078" s="179"/>
      <c r="BV1078" s="179"/>
      <c r="BW1078" s="179"/>
      <c r="BX1078" s="179"/>
      <c r="BY1078" s="186"/>
    </row>
    <row r="1079" spans="1:77" s="15" customFormat="1" x14ac:dyDescent="0.15">
      <c r="A1079" s="177">
        <v>1205020012</v>
      </c>
      <c r="B1079" s="178" t="s">
        <v>794</v>
      </c>
      <c r="C1079" s="179" t="s">
        <v>795</v>
      </c>
      <c r="D1079" s="179"/>
      <c r="E1079" s="179" t="s">
        <v>796</v>
      </c>
      <c r="F1079" s="179">
        <v>80000</v>
      </c>
      <c r="G1079" s="179"/>
      <c r="H1079" s="179"/>
      <c r="I1079" s="179"/>
      <c r="J1079" s="183"/>
      <c r="K1079" s="183"/>
      <c r="L1079" s="183"/>
      <c r="M1079" s="183"/>
      <c r="N1079" s="183" t="s">
        <v>842</v>
      </c>
      <c r="O1079" s="179" t="s">
        <v>79</v>
      </c>
      <c r="P1079" s="179" t="s">
        <v>80</v>
      </c>
      <c r="Q1079" s="179">
        <v>100</v>
      </c>
      <c r="R1079" s="179">
        <v>3500</v>
      </c>
      <c r="S1079" s="179"/>
      <c r="T1079" s="179"/>
      <c r="V1079" s="179"/>
      <c r="W1079" s="179"/>
      <c r="X1079" s="179"/>
      <c r="Y1079" s="179"/>
      <c r="Z1079" s="179"/>
      <c r="AA1079" s="179"/>
      <c r="AB1079" s="179"/>
      <c r="AC1079" s="179"/>
      <c r="AD1079" s="179"/>
      <c r="AE1079" s="148"/>
      <c r="AF1079" s="179"/>
      <c r="AG1079" s="179"/>
      <c r="AH1079" s="179"/>
      <c r="AI1079" s="179"/>
      <c r="AJ1079" s="179"/>
      <c r="AK1079" s="179"/>
      <c r="AL1079" s="179"/>
      <c r="AM1079" s="179"/>
      <c r="AN1079" s="179"/>
      <c r="AO1079" s="179"/>
      <c r="AP1079" s="179"/>
      <c r="AQ1079" s="179"/>
      <c r="AR1079" s="179"/>
      <c r="AS1079" s="179"/>
      <c r="AT1079" s="179"/>
      <c r="AU1079" s="179"/>
      <c r="AV1079" s="179"/>
      <c r="AW1079" s="179"/>
      <c r="AX1079" s="179"/>
      <c r="AY1079" s="179"/>
      <c r="AZ1079" s="179"/>
      <c r="BA1079" s="179"/>
      <c r="BB1079" s="179"/>
      <c r="BC1079" s="179"/>
      <c r="BD1079" s="179"/>
      <c r="BE1079" s="179"/>
      <c r="BF1079" s="179"/>
      <c r="BG1079" s="179"/>
      <c r="BH1079" s="179"/>
      <c r="BI1079" s="179"/>
      <c r="BJ1079" s="179"/>
      <c r="BK1079" s="179"/>
      <c r="BL1079" s="179"/>
      <c r="BM1079" s="179"/>
      <c r="BN1079" s="179"/>
      <c r="BO1079" s="179"/>
      <c r="BP1079" s="179"/>
      <c r="BQ1079" s="179"/>
      <c r="BR1079" s="179"/>
      <c r="BS1079" s="179"/>
      <c r="BT1079" s="179"/>
      <c r="BU1079" s="179"/>
      <c r="BV1079" s="179"/>
      <c r="BW1079" s="179"/>
      <c r="BX1079" s="179"/>
      <c r="BY1079" s="186"/>
    </row>
    <row r="1080" spans="1:77" s="15" customFormat="1" x14ac:dyDescent="0.15">
      <c r="A1080" s="177">
        <v>1205020022</v>
      </c>
      <c r="B1080" s="178" t="s">
        <v>797</v>
      </c>
      <c r="C1080" s="179" t="s">
        <v>795</v>
      </c>
      <c r="D1080" s="179"/>
      <c r="E1080" s="179" t="s">
        <v>796</v>
      </c>
      <c r="F1080" s="179">
        <v>80000</v>
      </c>
      <c r="G1080" s="179"/>
      <c r="H1080" s="179"/>
      <c r="I1080" s="179"/>
      <c r="J1080" s="183"/>
      <c r="K1080" s="183"/>
      <c r="L1080" s="183"/>
      <c r="M1080" s="183"/>
      <c r="N1080" s="183" t="s">
        <v>842</v>
      </c>
      <c r="O1080" s="179" t="s">
        <v>79</v>
      </c>
      <c r="P1080" s="179" t="s">
        <v>80</v>
      </c>
      <c r="Q1080" s="179">
        <v>150</v>
      </c>
      <c r="R1080" s="179">
        <v>3500</v>
      </c>
      <c r="S1080" s="179"/>
      <c r="T1080" s="179"/>
      <c r="V1080" s="179"/>
      <c r="W1080" s="179"/>
      <c r="X1080" s="179"/>
      <c r="Y1080" s="179"/>
      <c r="Z1080" s="179"/>
      <c r="AA1080" s="179"/>
      <c r="AB1080" s="179"/>
      <c r="AC1080" s="179"/>
      <c r="AD1080" s="179"/>
      <c r="AE1080" s="148"/>
      <c r="AF1080" s="179"/>
      <c r="AG1080" s="179"/>
      <c r="AH1080" s="179"/>
      <c r="AI1080" s="179"/>
      <c r="AJ1080" s="179"/>
      <c r="AK1080" s="179"/>
      <c r="AL1080" s="179"/>
      <c r="AM1080" s="179"/>
      <c r="AN1080" s="179"/>
      <c r="AO1080" s="179"/>
      <c r="AP1080" s="179"/>
      <c r="AQ1080" s="179"/>
      <c r="AR1080" s="179"/>
      <c r="AS1080" s="179"/>
      <c r="AT1080" s="179"/>
      <c r="AU1080" s="179"/>
      <c r="AV1080" s="179"/>
      <c r="AW1080" s="179"/>
      <c r="AX1080" s="179"/>
      <c r="AY1080" s="179"/>
      <c r="AZ1080" s="179"/>
      <c r="BA1080" s="179"/>
      <c r="BB1080" s="179"/>
      <c r="BC1080" s="179"/>
      <c r="BD1080" s="179"/>
      <c r="BE1080" s="179"/>
      <c r="BF1080" s="179"/>
      <c r="BG1080" s="179"/>
      <c r="BH1080" s="179"/>
      <c r="BI1080" s="179"/>
      <c r="BJ1080" s="179"/>
      <c r="BK1080" s="179"/>
      <c r="BL1080" s="179"/>
      <c r="BM1080" s="179"/>
      <c r="BN1080" s="179"/>
      <c r="BO1080" s="179"/>
      <c r="BP1080" s="179"/>
      <c r="BQ1080" s="179"/>
      <c r="BR1080" s="179"/>
      <c r="BS1080" s="179"/>
      <c r="BT1080" s="179"/>
      <c r="BU1080" s="179"/>
      <c r="BV1080" s="179"/>
      <c r="BW1080" s="179"/>
      <c r="BX1080" s="179"/>
      <c r="BY1080" s="186"/>
    </row>
    <row r="1081" spans="1:77" s="15" customFormat="1" x14ac:dyDescent="0.15">
      <c r="A1081" s="177">
        <v>1205020032</v>
      </c>
      <c r="B1081" s="178" t="s">
        <v>798</v>
      </c>
      <c r="C1081" s="179" t="s">
        <v>795</v>
      </c>
      <c r="D1081" s="179"/>
      <c r="E1081" s="179" t="s">
        <v>796</v>
      </c>
      <c r="F1081" s="179">
        <v>80000</v>
      </c>
      <c r="G1081" s="179"/>
      <c r="H1081" s="179"/>
      <c r="I1081" s="179"/>
      <c r="J1081" s="183"/>
      <c r="K1081" s="183"/>
      <c r="L1081" s="183"/>
      <c r="M1081" s="183"/>
      <c r="N1081" s="183" t="s">
        <v>842</v>
      </c>
      <c r="O1081" s="179" t="s">
        <v>79</v>
      </c>
      <c r="P1081" s="179" t="s">
        <v>80</v>
      </c>
      <c r="Q1081" s="179">
        <v>200</v>
      </c>
      <c r="R1081" s="179">
        <v>3500</v>
      </c>
      <c r="S1081" s="179"/>
      <c r="T1081" s="179"/>
      <c r="V1081" s="179"/>
      <c r="W1081" s="179"/>
      <c r="X1081" s="179"/>
      <c r="Y1081" s="179"/>
      <c r="Z1081" s="179"/>
      <c r="AA1081" s="179"/>
      <c r="AB1081" s="179"/>
      <c r="AC1081" s="179"/>
      <c r="AD1081" s="179"/>
      <c r="AE1081" s="148"/>
      <c r="AF1081" s="179"/>
      <c r="AG1081" s="179"/>
      <c r="AH1081" s="179"/>
      <c r="AI1081" s="179"/>
      <c r="AJ1081" s="179"/>
      <c r="AK1081" s="179"/>
      <c r="AL1081" s="179"/>
      <c r="AM1081" s="179"/>
      <c r="AN1081" s="179"/>
      <c r="AO1081" s="179"/>
      <c r="AP1081" s="179"/>
      <c r="AQ1081" s="179"/>
      <c r="AR1081" s="179"/>
      <c r="AS1081" s="179"/>
      <c r="AT1081" s="179"/>
      <c r="AU1081" s="179"/>
      <c r="AV1081" s="179"/>
      <c r="AW1081" s="179"/>
      <c r="AX1081" s="179"/>
      <c r="AY1081" s="179"/>
      <c r="AZ1081" s="179"/>
      <c r="BA1081" s="179"/>
      <c r="BB1081" s="179"/>
      <c r="BC1081" s="179"/>
      <c r="BD1081" s="179"/>
      <c r="BE1081" s="179"/>
      <c r="BF1081" s="179"/>
      <c r="BG1081" s="179"/>
      <c r="BH1081" s="179"/>
      <c r="BI1081" s="179"/>
      <c r="BJ1081" s="179"/>
      <c r="BK1081" s="179"/>
      <c r="BL1081" s="179"/>
      <c r="BM1081" s="179"/>
      <c r="BN1081" s="179"/>
      <c r="BO1081" s="179"/>
      <c r="BP1081" s="179"/>
      <c r="BQ1081" s="179"/>
      <c r="BR1081" s="179"/>
      <c r="BS1081" s="179"/>
      <c r="BT1081" s="179"/>
      <c r="BU1081" s="179"/>
      <c r="BV1081" s="179"/>
      <c r="BW1081" s="179"/>
      <c r="BX1081" s="179"/>
      <c r="BY1081" s="186"/>
    </row>
    <row r="1082" spans="1:77" s="15" customFormat="1" x14ac:dyDescent="0.15">
      <c r="A1082" s="177">
        <v>1205020042</v>
      </c>
      <c r="B1082" s="178" t="s">
        <v>798</v>
      </c>
      <c r="C1082" s="179" t="s">
        <v>795</v>
      </c>
      <c r="D1082" s="179"/>
      <c r="E1082" s="179" t="s">
        <v>796</v>
      </c>
      <c r="F1082" s="179">
        <v>80000</v>
      </c>
      <c r="G1082" s="179"/>
      <c r="H1082" s="179"/>
      <c r="I1082" s="179"/>
      <c r="J1082" s="183"/>
      <c r="K1082" s="183"/>
      <c r="L1082" s="183"/>
      <c r="M1082" s="183"/>
      <c r="N1082" s="183" t="s">
        <v>842</v>
      </c>
      <c r="O1082" s="179" t="s">
        <v>79</v>
      </c>
      <c r="P1082" s="179" t="s">
        <v>835</v>
      </c>
      <c r="Q1082" s="179">
        <v>250</v>
      </c>
      <c r="R1082" s="179">
        <v>3500</v>
      </c>
      <c r="S1082" s="179"/>
      <c r="T1082" s="179"/>
      <c r="V1082" s="179"/>
      <c r="W1082" s="179"/>
      <c r="X1082" s="179"/>
      <c r="Y1082" s="179"/>
      <c r="Z1082" s="179"/>
      <c r="AA1082" s="179"/>
      <c r="AB1082" s="179"/>
      <c r="AC1082" s="179"/>
      <c r="AD1082" s="179"/>
      <c r="AE1082" s="148"/>
      <c r="AF1082" s="179"/>
      <c r="AG1082" s="179"/>
      <c r="AH1082" s="179"/>
      <c r="AI1082" s="179"/>
      <c r="AJ1082" s="179"/>
      <c r="AK1082" s="179"/>
      <c r="AL1082" s="179"/>
      <c r="AM1082" s="179"/>
      <c r="AN1082" s="179"/>
      <c r="AO1082" s="179"/>
      <c r="AP1082" s="179"/>
      <c r="AQ1082" s="179"/>
      <c r="AR1082" s="179"/>
      <c r="AS1082" s="179"/>
      <c r="AT1082" s="179"/>
      <c r="AU1082" s="179"/>
      <c r="AV1082" s="179"/>
      <c r="AW1082" s="179"/>
      <c r="AX1082" s="179"/>
      <c r="AY1082" s="179"/>
      <c r="AZ1082" s="179"/>
      <c r="BA1082" s="179"/>
      <c r="BB1082" s="179"/>
      <c r="BC1082" s="179"/>
      <c r="BD1082" s="179"/>
      <c r="BE1082" s="179"/>
      <c r="BF1082" s="179"/>
      <c r="BG1082" s="179"/>
      <c r="BH1082" s="179"/>
      <c r="BI1082" s="179"/>
      <c r="BJ1082" s="179"/>
      <c r="BK1082" s="179"/>
      <c r="BL1082" s="179"/>
      <c r="BM1082" s="179"/>
      <c r="BN1082" s="179"/>
      <c r="BO1082" s="179"/>
      <c r="BP1082" s="179"/>
      <c r="BQ1082" s="179"/>
      <c r="BR1082" s="179"/>
      <c r="BS1082" s="179"/>
      <c r="BT1082" s="179"/>
      <c r="BU1082" s="179"/>
      <c r="BV1082" s="179"/>
      <c r="BW1082" s="179"/>
      <c r="BX1082" s="179"/>
      <c r="BY1082" s="186"/>
    </row>
    <row r="1083" spans="1:77" s="15" customFormat="1" x14ac:dyDescent="0.15">
      <c r="A1083" s="177">
        <v>1205040011</v>
      </c>
      <c r="B1083" s="178" t="s">
        <v>799</v>
      </c>
      <c r="C1083" s="179" t="s">
        <v>780</v>
      </c>
      <c r="D1083" s="179"/>
      <c r="E1083" s="179" t="s">
        <v>796</v>
      </c>
      <c r="F1083" s="179">
        <v>80000</v>
      </c>
      <c r="G1083" s="179"/>
      <c r="H1083" s="179"/>
      <c r="I1083" s="179"/>
      <c r="J1083" s="183"/>
      <c r="K1083" s="183"/>
      <c r="L1083" s="183"/>
      <c r="M1083" s="183"/>
      <c r="N1083" s="183"/>
      <c r="O1083" s="179" t="s">
        <v>98</v>
      </c>
      <c r="P1083" s="179"/>
      <c r="Q1083" s="179"/>
      <c r="R1083" s="179"/>
      <c r="S1083" s="179"/>
      <c r="T1083" s="179"/>
      <c r="V1083" s="179"/>
      <c r="W1083" s="179"/>
      <c r="X1083" s="179"/>
      <c r="Y1083" s="179"/>
      <c r="Z1083" s="179"/>
      <c r="AA1083" s="179"/>
      <c r="AB1083" s="179"/>
      <c r="AC1083" s="179"/>
      <c r="AD1083" s="179"/>
      <c r="AE1083" s="148">
        <v>120504001</v>
      </c>
      <c r="AF1083" s="179"/>
      <c r="AG1083" s="179"/>
      <c r="AH1083" s="179"/>
      <c r="AI1083" s="179"/>
      <c r="AJ1083" s="179" t="s">
        <v>90</v>
      </c>
      <c r="AK1083" s="179"/>
      <c r="AL1083" s="179"/>
      <c r="AM1083" s="179"/>
      <c r="AN1083" s="179"/>
      <c r="AO1083" s="179"/>
      <c r="AP1083" s="179"/>
      <c r="AQ1083" s="179"/>
      <c r="AR1083" s="179"/>
      <c r="AS1083" s="179"/>
      <c r="AT1083" s="179"/>
      <c r="AU1083" s="179"/>
      <c r="AV1083" s="179"/>
      <c r="AW1083" s="179"/>
      <c r="AX1083" s="179"/>
      <c r="AY1083" s="179">
        <v>1205040301</v>
      </c>
      <c r="AZ1083" s="179"/>
      <c r="BA1083" s="179"/>
      <c r="BB1083" s="179"/>
      <c r="BC1083" s="179"/>
      <c r="BD1083" s="179"/>
      <c r="BE1083" s="179"/>
      <c r="BF1083" s="179"/>
      <c r="BG1083" s="179"/>
      <c r="BH1083" s="179"/>
      <c r="BI1083" s="179"/>
      <c r="BJ1083" s="179"/>
      <c r="BK1083" s="179"/>
      <c r="BL1083" s="179"/>
      <c r="BM1083" s="179"/>
      <c r="BN1083" s="179"/>
      <c r="BO1083" s="179"/>
      <c r="BP1083" s="179"/>
      <c r="BQ1083" s="179"/>
      <c r="BR1083" s="179"/>
      <c r="BS1083" s="179"/>
      <c r="BT1083" s="179"/>
      <c r="BU1083" s="179"/>
      <c r="BV1083" s="179"/>
      <c r="BW1083" s="179"/>
      <c r="BX1083" s="179"/>
      <c r="BY1083" s="186"/>
    </row>
    <row r="1084" spans="1:77" s="15" customFormat="1" x14ac:dyDescent="0.15">
      <c r="A1084" s="177">
        <v>1205040021</v>
      </c>
      <c r="B1084" s="178" t="s">
        <v>800</v>
      </c>
      <c r="C1084" s="179" t="s">
        <v>780</v>
      </c>
      <c r="D1084" s="179"/>
      <c r="E1084" s="179" t="s">
        <v>796</v>
      </c>
      <c r="F1084" s="179">
        <v>80000</v>
      </c>
      <c r="G1084" s="179"/>
      <c r="H1084" s="179"/>
      <c r="I1084" s="179"/>
      <c r="J1084" s="183"/>
      <c r="K1084" s="183"/>
      <c r="L1084" s="183"/>
      <c r="M1084" s="183"/>
      <c r="N1084" s="183"/>
      <c r="O1084" s="179" t="s">
        <v>98</v>
      </c>
      <c r="P1084" s="179"/>
      <c r="Q1084" s="179"/>
      <c r="R1084" s="179"/>
      <c r="S1084" s="179"/>
      <c r="T1084" s="179"/>
      <c r="V1084" s="179"/>
      <c r="W1084" s="179"/>
      <c r="X1084" s="179"/>
      <c r="Y1084" s="179"/>
      <c r="Z1084" s="179"/>
      <c r="AA1084" s="179"/>
      <c r="AB1084" s="179"/>
      <c r="AC1084" s="179"/>
      <c r="AD1084" s="179"/>
      <c r="AE1084" s="148">
        <v>120504002</v>
      </c>
      <c r="AF1084" s="179"/>
      <c r="AG1084" s="179"/>
      <c r="AH1084" s="179"/>
      <c r="AI1084" s="179"/>
      <c r="AJ1084" s="179" t="s">
        <v>90</v>
      </c>
      <c r="AK1084" s="179"/>
      <c r="AL1084" s="179"/>
      <c r="AM1084" s="179"/>
      <c r="AN1084" s="179"/>
      <c r="AO1084" s="179"/>
      <c r="AP1084" s="179"/>
      <c r="AQ1084" s="179"/>
      <c r="AR1084" s="179"/>
      <c r="AS1084" s="179"/>
      <c r="AT1084" s="179"/>
      <c r="AU1084" s="179"/>
      <c r="AV1084" s="179"/>
      <c r="AW1084" s="179"/>
      <c r="AX1084" s="179"/>
      <c r="AY1084" s="179">
        <v>1205040302</v>
      </c>
      <c r="AZ1084" s="179"/>
      <c r="BA1084" s="179"/>
      <c r="BB1084" s="179"/>
      <c r="BC1084" s="179"/>
      <c r="BD1084" s="179"/>
      <c r="BE1084" s="179"/>
      <c r="BF1084" s="179"/>
      <c r="BG1084" s="179"/>
      <c r="BH1084" s="179"/>
      <c r="BI1084" s="179"/>
      <c r="BJ1084" s="179"/>
      <c r="BK1084" s="179"/>
      <c r="BL1084" s="179"/>
      <c r="BM1084" s="179"/>
      <c r="BN1084" s="179"/>
      <c r="BO1084" s="179"/>
      <c r="BP1084" s="179"/>
      <c r="BQ1084" s="179"/>
      <c r="BR1084" s="179"/>
      <c r="BS1084" s="179"/>
      <c r="BT1084" s="179"/>
      <c r="BU1084" s="179"/>
      <c r="BV1084" s="179"/>
      <c r="BW1084" s="179"/>
      <c r="BX1084" s="179"/>
      <c r="BY1084" s="186"/>
    </row>
    <row r="1085" spans="1:77" s="15" customFormat="1" x14ac:dyDescent="0.15">
      <c r="A1085" s="177">
        <v>1205040012</v>
      </c>
      <c r="B1085" s="178" t="s">
        <v>801</v>
      </c>
      <c r="C1085" s="179" t="s">
        <v>795</v>
      </c>
      <c r="D1085" s="179"/>
      <c r="E1085" s="179" t="s">
        <v>796</v>
      </c>
      <c r="F1085" s="179">
        <v>80000</v>
      </c>
      <c r="G1085" s="179"/>
      <c r="H1085" s="179"/>
      <c r="I1085" s="179"/>
      <c r="J1085" s="183"/>
      <c r="K1085" s="183"/>
      <c r="L1085" s="183"/>
      <c r="M1085" s="183"/>
      <c r="N1085" s="183" t="s">
        <v>842</v>
      </c>
      <c r="O1085" s="179" t="s">
        <v>79</v>
      </c>
      <c r="P1085" s="179" t="s">
        <v>80</v>
      </c>
      <c r="Q1085" s="179">
        <v>300</v>
      </c>
      <c r="R1085" s="179">
        <v>3500</v>
      </c>
      <c r="S1085" s="179"/>
      <c r="T1085" s="179"/>
      <c r="V1085" s="179"/>
      <c r="W1085" s="179"/>
      <c r="X1085" s="179"/>
      <c r="Y1085" s="179"/>
      <c r="Z1085" s="179"/>
      <c r="AA1085" s="179"/>
      <c r="AB1085" s="179"/>
      <c r="AC1085" s="179"/>
      <c r="AD1085" s="179"/>
      <c r="AE1085" s="148"/>
      <c r="AF1085" s="179"/>
      <c r="AG1085" s="179"/>
      <c r="AH1085" s="179"/>
      <c r="AI1085" s="179"/>
      <c r="AJ1085" s="179" t="s">
        <v>90</v>
      </c>
      <c r="AK1085" s="179"/>
      <c r="AL1085" s="179"/>
      <c r="AM1085" s="179"/>
      <c r="AN1085" s="179"/>
      <c r="AO1085" s="179"/>
      <c r="AP1085" s="179"/>
      <c r="AQ1085" s="179"/>
      <c r="AR1085" s="179"/>
      <c r="AS1085" s="179"/>
      <c r="AT1085" s="179"/>
      <c r="AU1085" s="179"/>
      <c r="AV1085" s="179"/>
      <c r="AW1085" s="179"/>
      <c r="AX1085" s="179">
        <v>1205040201</v>
      </c>
      <c r="AY1085" s="179">
        <v>1205040201</v>
      </c>
      <c r="AZ1085" s="179"/>
      <c r="BA1085" s="179"/>
      <c r="BB1085" s="179"/>
      <c r="BC1085" s="179"/>
      <c r="BD1085" s="179"/>
      <c r="BE1085" s="179"/>
      <c r="BF1085" s="179"/>
      <c r="BG1085" s="179"/>
      <c r="BH1085" s="179"/>
      <c r="BI1085" s="179"/>
      <c r="BJ1085" s="179"/>
      <c r="BK1085" s="179"/>
      <c r="BL1085" s="179"/>
      <c r="BM1085" s="179"/>
      <c r="BN1085" s="179"/>
      <c r="BO1085" s="179"/>
      <c r="BP1085" s="179"/>
      <c r="BQ1085" s="179"/>
      <c r="BR1085" s="179"/>
      <c r="BS1085" s="179"/>
      <c r="BT1085" s="179"/>
      <c r="BU1085" s="179"/>
      <c r="BV1085" s="179"/>
      <c r="BW1085" s="179"/>
      <c r="BX1085" s="179"/>
      <c r="BY1085" s="186"/>
    </row>
    <row r="1086" spans="1:77" s="15" customFormat="1" x14ac:dyDescent="0.15">
      <c r="A1086" s="177">
        <v>1205040022</v>
      </c>
      <c r="B1086" s="178" t="s">
        <v>801</v>
      </c>
      <c r="C1086" s="179" t="s">
        <v>795</v>
      </c>
      <c r="D1086" s="179"/>
      <c r="E1086" s="179" t="s">
        <v>796</v>
      </c>
      <c r="F1086" s="179">
        <v>80000</v>
      </c>
      <c r="G1086" s="179"/>
      <c r="H1086" s="179"/>
      <c r="I1086" s="179"/>
      <c r="J1086" s="183"/>
      <c r="K1086" s="183"/>
      <c r="L1086" s="183"/>
      <c r="M1086" s="183"/>
      <c r="N1086" s="183" t="s">
        <v>842</v>
      </c>
      <c r="O1086" s="179" t="s">
        <v>79</v>
      </c>
      <c r="P1086" s="179" t="s">
        <v>835</v>
      </c>
      <c r="Q1086" s="179">
        <v>500</v>
      </c>
      <c r="R1086" s="179">
        <v>3500</v>
      </c>
      <c r="S1086" s="179"/>
      <c r="T1086" s="179"/>
      <c r="V1086" s="179"/>
      <c r="W1086" s="179"/>
      <c r="X1086" s="179"/>
      <c r="Y1086" s="179"/>
      <c r="Z1086" s="179"/>
      <c r="AA1086" s="179"/>
      <c r="AB1086" s="179"/>
      <c r="AC1086" s="179"/>
      <c r="AD1086" s="179"/>
      <c r="AE1086" s="148"/>
      <c r="AF1086" s="179"/>
      <c r="AG1086" s="179"/>
      <c r="AH1086" s="179"/>
      <c r="AI1086" s="179"/>
      <c r="AJ1086" s="179" t="s">
        <v>90</v>
      </c>
      <c r="AK1086" s="179"/>
      <c r="AL1086" s="179"/>
      <c r="AM1086" s="179"/>
      <c r="AN1086" s="179"/>
      <c r="AO1086" s="179"/>
      <c r="AP1086" s="179"/>
      <c r="AQ1086" s="179"/>
      <c r="AR1086" s="179"/>
      <c r="AS1086" s="179"/>
      <c r="AT1086" s="179"/>
      <c r="AU1086" s="179"/>
      <c r="AV1086" s="179"/>
      <c r="AW1086" s="179"/>
      <c r="AX1086" s="179">
        <v>1205040202</v>
      </c>
      <c r="AY1086" s="179">
        <v>1205040202</v>
      </c>
      <c r="AZ1086" s="179"/>
      <c r="BA1086" s="179"/>
      <c r="BB1086" s="179"/>
      <c r="BC1086" s="179"/>
      <c r="BD1086" s="179"/>
      <c r="BE1086" s="179"/>
      <c r="BF1086" s="179"/>
      <c r="BG1086" s="179"/>
      <c r="BH1086" s="179"/>
      <c r="BI1086" s="179"/>
      <c r="BJ1086" s="179"/>
      <c r="BK1086" s="179"/>
      <c r="BL1086" s="179"/>
      <c r="BM1086" s="179"/>
      <c r="BN1086" s="179"/>
      <c r="BO1086" s="179"/>
      <c r="BP1086" s="179"/>
      <c r="BQ1086" s="179"/>
      <c r="BR1086" s="179"/>
      <c r="BS1086" s="179"/>
      <c r="BT1086" s="179"/>
      <c r="BU1086" s="179"/>
      <c r="BV1086" s="179"/>
      <c r="BW1086" s="179"/>
      <c r="BX1086" s="179"/>
      <c r="BY1086" s="186"/>
    </row>
    <row r="1087" spans="1:77" x14ac:dyDescent="0.15">
      <c r="A1087" s="148">
        <v>1205041011</v>
      </c>
      <c r="B1087" s="149" t="s">
        <v>833</v>
      </c>
      <c r="C1087" s="148" t="s">
        <v>89</v>
      </c>
      <c r="D1087" s="148"/>
      <c r="E1087" s="148" t="s">
        <v>78</v>
      </c>
      <c r="F1087" s="148"/>
      <c r="G1087" s="148"/>
      <c r="H1087" s="148"/>
      <c r="I1087" s="148"/>
      <c r="J1087" s="161"/>
      <c r="K1087" s="161"/>
      <c r="L1087" s="161"/>
      <c r="M1087" s="161"/>
      <c r="N1087" s="161"/>
      <c r="O1087" s="148" t="s">
        <v>531</v>
      </c>
      <c r="P1087" s="148"/>
      <c r="Q1087" s="148"/>
      <c r="R1087" s="148"/>
      <c r="S1087" s="148"/>
      <c r="T1087" s="148"/>
      <c r="V1087" s="148"/>
      <c r="W1087" s="148"/>
      <c r="X1087" s="148"/>
      <c r="Y1087" s="148"/>
      <c r="Z1087" s="148"/>
      <c r="AA1087" s="148"/>
      <c r="AB1087" s="148"/>
      <c r="AC1087" s="148"/>
      <c r="AD1087" s="148"/>
      <c r="AE1087" s="148">
        <v>1205040</v>
      </c>
      <c r="AF1087" s="148"/>
      <c r="AG1087" s="148"/>
      <c r="AH1087" s="148"/>
      <c r="AI1087" s="148"/>
      <c r="AJ1087" s="148" t="s">
        <v>595</v>
      </c>
      <c r="AK1087" s="148"/>
      <c r="AL1087" s="148"/>
      <c r="AM1087" s="148"/>
      <c r="AN1087" s="148"/>
      <c r="AO1087" s="148"/>
      <c r="AP1087" s="148"/>
      <c r="AQ1087" s="148"/>
      <c r="AR1087" s="148"/>
      <c r="AS1087" s="148"/>
      <c r="AT1087" s="148"/>
      <c r="AU1087" s="148"/>
      <c r="AV1087" s="148"/>
      <c r="AW1087" s="148"/>
      <c r="AX1087" s="148"/>
      <c r="AY1087" s="148"/>
      <c r="AZ1087" s="148">
        <v>1205040</v>
      </c>
      <c r="BA1087" s="148"/>
      <c r="BB1087" s="148"/>
      <c r="BC1087" s="148"/>
      <c r="BD1087" s="148"/>
      <c r="BE1087" s="148" t="s">
        <v>277</v>
      </c>
      <c r="BF1087" s="148"/>
      <c r="BG1087" s="148"/>
      <c r="BH1087" s="148"/>
      <c r="BI1087" s="148"/>
      <c r="BJ1087" s="148"/>
      <c r="BK1087" s="148"/>
      <c r="BL1087" s="148"/>
      <c r="BM1087" s="148"/>
      <c r="BN1087" s="148"/>
      <c r="BO1087" s="148"/>
      <c r="BP1087" s="148"/>
      <c r="BQ1087" s="148"/>
      <c r="BR1087" s="148"/>
      <c r="BS1087" s="148"/>
      <c r="BT1087" s="148"/>
      <c r="BU1087" s="148">
        <v>12050403</v>
      </c>
      <c r="BV1087" s="148"/>
      <c r="BW1087" s="148"/>
      <c r="BX1087" s="148"/>
      <c r="BY1087" s="170"/>
    </row>
    <row r="1088" spans="1:77" x14ac:dyDescent="0.15">
      <c r="A1088" s="148">
        <v>1205041012</v>
      </c>
      <c r="B1088" s="178" t="s">
        <v>834</v>
      </c>
      <c r="C1088" s="179" t="s">
        <v>795</v>
      </c>
      <c r="D1088" s="179"/>
      <c r="E1088" s="179" t="s">
        <v>796</v>
      </c>
      <c r="F1088" s="179">
        <v>80000</v>
      </c>
      <c r="G1088" s="179"/>
      <c r="H1088" s="179"/>
      <c r="I1088" s="179"/>
      <c r="J1088" s="183"/>
      <c r="K1088" s="183"/>
      <c r="L1088" s="183"/>
      <c r="M1088" s="183"/>
      <c r="N1088" s="183" t="s">
        <v>842</v>
      </c>
      <c r="O1088" s="179" t="s">
        <v>79</v>
      </c>
      <c r="P1088" s="179" t="s">
        <v>80</v>
      </c>
      <c r="Q1088" s="179">
        <v>300</v>
      </c>
      <c r="R1088" s="179">
        <v>3500</v>
      </c>
      <c r="S1088" s="179"/>
      <c r="T1088" s="179"/>
      <c r="V1088" s="179"/>
      <c r="W1088" s="179"/>
      <c r="X1088" s="179"/>
      <c r="Y1088" s="179"/>
      <c r="Z1088" s="179"/>
      <c r="AA1088" s="179"/>
      <c r="AB1088" s="179"/>
      <c r="AC1088" s="179"/>
      <c r="AD1088" s="179"/>
      <c r="AE1088" s="148"/>
      <c r="AF1088" s="179"/>
      <c r="AG1088" s="179"/>
      <c r="AH1088" s="179"/>
      <c r="AI1088" s="179"/>
      <c r="AJ1088" s="179" t="s">
        <v>90</v>
      </c>
      <c r="AK1088" s="179"/>
      <c r="AL1088" s="179"/>
      <c r="AM1088" s="179"/>
      <c r="AN1088" s="179"/>
      <c r="AO1088" s="179"/>
      <c r="AP1088" s="179"/>
      <c r="AQ1088" s="179"/>
      <c r="AR1088" s="179"/>
      <c r="AS1088" s="179"/>
      <c r="AT1088" s="179"/>
      <c r="AU1088" s="179"/>
      <c r="AV1088" s="179"/>
      <c r="AW1088" s="179"/>
      <c r="AX1088" s="179">
        <v>1205040201</v>
      </c>
      <c r="AY1088" s="179">
        <v>1205040201</v>
      </c>
      <c r="AZ1088" s="148"/>
      <c r="BA1088" s="148"/>
      <c r="BB1088" s="148"/>
      <c r="BC1088" s="148"/>
      <c r="BD1088" s="148"/>
      <c r="BE1088" s="148"/>
      <c r="BF1088" s="148"/>
      <c r="BG1088" s="148"/>
      <c r="BH1088" s="148"/>
      <c r="BI1088" s="148"/>
      <c r="BJ1088" s="148"/>
      <c r="BK1088" s="148"/>
      <c r="BL1088" s="148"/>
      <c r="BM1088" s="148"/>
      <c r="BN1088" s="148"/>
      <c r="BO1088" s="148"/>
      <c r="BP1088" s="148"/>
      <c r="BQ1088" s="148"/>
      <c r="BR1088" s="148"/>
      <c r="BS1088" s="148"/>
      <c r="BT1088" s="148"/>
      <c r="BU1088" s="148"/>
      <c r="BV1088" s="148"/>
      <c r="BW1088" s="148"/>
      <c r="BX1088" s="148"/>
      <c r="BY1088" s="170"/>
    </row>
    <row r="1089" spans="1:77" x14ac:dyDescent="0.15">
      <c r="A1089" s="148">
        <v>1205041022</v>
      </c>
      <c r="B1089" s="178" t="s">
        <v>834</v>
      </c>
      <c r="C1089" s="179" t="s">
        <v>795</v>
      </c>
      <c r="D1089" s="179"/>
      <c r="E1089" s="179" t="s">
        <v>796</v>
      </c>
      <c r="F1089" s="179">
        <v>80000</v>
      </c>
      <c r="G1089" s="179"/>
      <c r="H1089" s="179"/>
      <c r="I1089" s="179"/>
      <c r="J1089" s="183"/>
      <c r="K1089" s="183"/>
      <c r="L1089" s="183"/>
      <c r="M1089" s="183"/>
      <c r="N1089" s="183" t="s">
        <v>842</v>
      </c>
      <c r="O1089" s="179" t="s">
        <v>79</v>
      </c>
      <c r="P1089" s="179" t="s">
        <v>835</v>
      </c>
      <c r="Q1089" s="179">
        <v>500</v>
      </c>
      <c r="R1089" s="179">
        <v>3500</v>
      </c>
      <c r="S1089" s="179"/>
      <c r="T1089" s="179"/>
      <c r="V1089" s="179"/>
      <c r="W1089" s="179"/>
      <c r="X1089" s="179"/>
      <c r="Y1089" s="179"/>
      <c r="Z1089" s="179"/>
      <c r="AA1089" s="179"/>
      <c r="AB1089" s="179"/>
      <c r="AC1089" s="179"/>
      <c r="AD1089" s="179"/>
      <c r="AE1089" s="148"/>
      <c r="AF1089" s="179"/>
      <c r="AG1089" s="179"/>
      <c r="AH1089" s="179"/>
      <c r="AI1089" s="179"/>
      <c r="AJ1089" s="179" t="s">
        <v>90</v>
      </c>
      <c r="AK1089" s="179"/>
      <c r="AL1089" s="179"/>
      <c r="AM1089" s="179"/>
      <c r="AN1089" s="179"/>
      <c r="AO1089" s="179"/>
      <c r="AP1089" s="179"/>
      <c r="AQ1089" s="179"/>
      <c r="AR1089" s="179"/>
      <c r="AS1089" s="179"/>
      <c r="AT1089" s="179"/>
      <c r="AU1089" s="179"/>
      <c r="AV1089" s="179"/>
      <c r="AW1089" s="179"/>
      <c r="AX1089" s="179">
        <v>1205040202</v>
      </c>
      <c r="AY1089" s="179">
        <v>1205040202</v>
      </c>
      <c r="AZ1089" s="148"/>
      <c r="BA1089" s="148"/>
      <c r="BB1089" s="148"/>
      <c r="BC1089" s="148"/>
      <c r="BD1089" s="148"/>
      <c r="BE1089" s="148"/>
      <c r="BF1089" s="148"/>
      <c r="BG1089" s="148"/>
      <c r="BH1089" s="148"/>
      <c r="BI1089" s="148"/>
      <c r="BJ1089" s="148"/>
      <c r="BK1089" s="148"/>
      <c r="BL1089" s="148"/>
      <c r="BM1089" s="148"/>
      <c r="BN1089" s="148"/>
      <c r="BO1089" s="148"/>
      <c r="BP1089" s="148"/>
      <c r="BQ1089" s="148"/>
      <c r="BR1089" s="148"/>
      <c r="BS1089" s="148"/>
      <c r="BT1089" s="148"/>
      <c r="BU1089" s="148"/>
      <c r="BV1089" s="148"/>
      <c r="BW1089" s="148"/>
      <c r="BX1089" s="148"/>
      <c r="BY1089" s="170"/>
    </row>
    <row r="1090" spans="1:77" s="202" customFormat="1" x14ac:dyDescent="0.15">
      <c r="A1090" s="54">
        <v>1005001011</v>
      </c>
      <c r="B1090" s="200" t="s">
        <v>423</v>
      </c>
      <c r="C1090" s="51" t="s">
        <v>77</v>
      </c>
      <c r="D1090" s="51"/>
      <c r="E1090" s="51" t="s">
        <v>78</v>
      </c>
      <c r="F1090" s="51"/>
      <c r="G1090" s="51"/>
      <c r="H1090" s="51"/>
      <c r="I1090" s="51"/>
      <c r="J1090" s="201"/>
      <c r="K1090" s="201"/>
      <c r="L1090" s="201"/>
      <c r="M1090" s="201"/>
      <c r="N1090" s="201"/>
      <c r="O1090" s="51" t="s">
        <v>79</v>
      </c>
      <c r="P1090" s="56" t="s">
        <v>80</v>
      </c>
      <c r="Q1090" s="56"/>
      <c r="R1090" s="56">
        <v>10000</v>
      </c>
      <c r="S1090" s="56"/>
      <c r="T1090" s="56">
        <v>10000</v>
      </c>
      <c r="U1090" s="56"/>
      <c r="V1090" s="56" t="s">
        <v>101</v>
      </c>
      <c r="W1090" s="56"/>
      <c r="X1090" s="56"/>
      <c r="Y1090" s="56"/>
      <c r="Z1090" s="56"/>
      <c r="AA1090" s="56"/>
      <c r="AB1090" s="56"/>
      <c r="AC1090" s="56"/>
      <c r="AD1090" s="56"/>
      <c r="AE1090" s="56"/>
      <c r="AF1090" s="56"/>
      <c r="AG1090" s="56"/>
      <c r="AH1090" s="56"/>
      <c r="AI1090" s="56"/>
      <c r="AJ1090" s="56"/>
      <c r="AK1090" s="56"/>
      <c r="AL1090" s="56"/>
      <c r="AM1090" s="56"/>
      <c r="AN1090" s="56"/>
      <c r="AO1090" s="56"/>
      <c r="AP1090" s="56"/>
      <c r="AQ1090" s="56"/>
      <c r="AR1090" s="56"/>
      <c r="AS1090" s="56"/>
      <c r="AT1090" s="56"/>
      <c r="AU1090" s="56"/>
      <c r="AV1090" s="56"/>
      <c r="AW1090" s="56"/>
      <c r="AX1090" s="56"/>
      <c r="AY1090" s="56"/>
      <c r="AZ1090" s="56"/>
      <c r="BA1090" s="56"/>
      <c r="BB1090" s="56"/>
      <c r="BC1090" s="56"/>
      <c r="BD1090" s="56"/>
      <c r="BE1090" s="56"/>
      <c r="BF1090" s="56"/>
      <c r="BG1090" s="56"/>
      <c r="BH1090" s="56"/>
      <c r="BI1090" s="56"/>
      <c r="BJ1090" s="56"/>
      <c r="BK1090" s="56"/>
      <c r="BL1090" s="56"/>
      <c r="BM1090" s="56"/>
      <c r="BN1090" s="56"/>
      <c r="BO1090" s="56"/>
      <c r="BP1090" s="56"/>
      <c r="BQ1090" s="56"/>
      <c r="BR1090" s="56"/>
      <c r="BS1090" s="56"/>
      <c r="BT1090" s="56"/>
      <c r="BU1090" s="56"/>
      <c r="BV1090" s="56"/>
      <c r="BW1090" s="56"/>
      <c r="BX1090" s="56"/>
      <c r="BY1090" s="83"/>
    </row>
    <row r="1091" spans="1:77" s="202" customFormat="1" x14ac:dyDescent="0.15">
      <c r="A1091" s="54">
        <v>1005001012</v>
      </c>
      <c r="B1091" s="200" t="s">
        <v>424</v>
      </c>
      <c r="C1091" s="51" t="s">
        <v>77</v>
      </c>
      <c r="D1091" s="51"/>
      <c r="E1091" s="51" t="s">
        <v>425</v>
      </c>
      <c r="F1091" s="51">
        <v>40000</v>
      </c>
      <c r="G1091" s="51">
        <v>1200</v>
      </c>
      <c r="H1091" s="51"/>
      <c r="I1091" s="51"/>
      <c r="J1091" s="201"/>
      <c r="K1091" s="201"/>
      <c r="L1091" s="201"/>
      <c r="M1091" s="201"/>
      <c r="N1091" s="201"/>
      <c r="O1091" s="51" t="s">
        <v>79</v>
      </c>
      <c r="P1091" s="56" t="s">
        <v>80</v>
      </c>
      <c r="Q1091" s="56"/>
      <c r="R1091" s="56">
        <v>5000</v>
      </c>
      <c r="S1091" s="56"/>
      <c r="T1091" s="56"/>
      <c r="U1091" s="56"/>
      <c r="V1091" s="56" t="s">
        <v>101</v>
      </c>
      <c r="W1091" s="56"/>
      <c r="X1091" s="56"/>
      <c r="Y1091" s="56"/>
      <c r="Z1091" s="56"/>
      <c r="AA1091" s="56"/>
      <c r="AB1091" s="56"/>
      <c r="AC1091" s="56"/>
      <c r="AD1091" s="56"/>
      <c r="AE1091" s="56"/>
      <c r="AF1091" s="56"/>
      <c r="AG1091" s="56"/>
      <c r="AH1091" s="56"/>
      <c r="AI1091" s="56"/>
      <c r="AJ1091" s="56"/>
      <c r="AK1091" s="56"/>
      <c r="AL1091" s="56"/>
      <c r="AM1091" s="56"/>
      <c r="AN1091" s="56"/>
      <c r="AO1091" s="56"/>
      <c r="AP1091" s="56"/>
      <c r="AQ1091" s="56"/>
      <c r="AR1091" s="56"/>
      <c r="AS1091" s="56"/>
      <c r="AT1091" s="56"/>
      <c r="AU1091" s="56"/>
      <c r="AV1091" s="56"/>
      <c r="AW1091" s="56"/>
      <c r="AX1091" s="56"/>
      <c r="AY1091" s="56"/>
      <c r="AZ1091" s="56"/>
      <c r="BA1091" s="56"/>
      <c r="BB1091" s="56"/>
      <c r="BC1091" s="56"/>
      <c r="BD1091" s="56"/>
      <c r="BE1091" s="56"/>
      <c r="BF1091" s="56"/>
      <c r="BG1091" s="56"/>
      <c r="BH1091" s="56"/>
      <c r="BI1091" s="56"/>
      <c r="BJ1091" s="56"/>
      <c r="BK1091" s="56"/>
      <c r="BL1091" s="56"/>
      <c r="BM1091" s="56"/>
      <c r="BN1091" s="56"/>
      <c r="BO1091" s="56"/>
      <c r="BP1091" s="56"/>
      <c r="BQ1091" s="56"/>
      <c r="BR1091" s="56"/>
      <c r="BS1091" s="56"/>
      <c r="BT1091" s="56"/>
      <c r="BU1091" s="56"/>
      <c r="BV1091" s="56"/>
      <c r="BW1091" s="56"/>
      <c r="BX1091" s="56"/>
      <c r="BY1091" s="83"/>
    </row>
    <row r="1092" spans="1:77" s="202" customFormat="1" x14ac:dyDescent="0.15">
      <c r="A1092" s="54">
        <v>1005002011</v>
      </c>
      <c r="B1092" s="200" t="s">
        <v>427</v>
      </c>
      <c r="C1092" s="51" t="s">
        <v>77</v>
      </c>
      <c r="D1092" s="51"/>
      <c r="E1092" s="51" t="s">
        <v>78</v>
      </c>
      <c r="F1092" s="51"/>
      <c r="G1092" s="51"/>
      <c r="H1092" s="51"/>
      <c r="I1092" s="51"/>
      <c r="J1092" s="201"/>
      <c r="K1092" s="201"/>
      <c r="L1092" s="201"/>
      <c r="M1092" s="201"/>
      <c r="N1092" s="201"/>
      <c r="O1092" s="51" t="s">
        <v>79</v>
      </c>
      <c r="P1092" s="56" t="s">
        <v>80</v>
      </c>
      <c r="Q1092" s="56"/>
      <c r="R1092" s="56">
        <v>10000</v>
      </c>
      <c r="S1092" s="56"/>
      <c r="T1092" s="56">
        <v>10000</v>
      </c>
      <c r="U1092" s="56"/>
      <c r="V1092" s="56" t="s">
        <v>101</v>
      </c>
      <c r="W1092" s="56"/>
      <c r="X1092" s="56"/>
      <c r="Y1092" s="56"/>
      <c r="Z1092" s="56"/>
      <c r="AA1092" s="56"/>
      <c r="AB1092" s="56"/>
      <c r="AC1092" s="56"/>
      <c r="AD1092" s="56"/>
      <c r="AE1092" s="56"/>
      <c r="AF1092" s="56"/>
      <c r="AG1092" s="56"/>
      <c r="AH1092" s="56"/>
      <c r="AI1092" s="56"/>
      <c r="AJ1092" s="56"/>
      <c r="AK1092" s="56"/>
      <c r="AL1092" s="56"/>
      <c r="AM1092" s="56"/>
      <c r="AN1092" s="56"/>
      <c r="AO1092" s="56"/>
      <c r="AP1092" s="56"/>
      <c r="AQ1092" s="56"/>
      <c r="AR1092" s="56"/>
      <c r="AS1092" s="56"/>
      <c r="AT1092" s="56"/>
      <c r="AU1092" s="56"/>
      <c r="AV1092" s="56"/>
      <c r="AW1092" s="56"/>
      <c r="AX1092" s="56"/>
      <c r="AY1092" s="56"/>
      <c r="AZ1092" s="56"/>
      <c r="BA1092" s="56"/>
      <c r="BB1092" s="56"/>
      <c r="BC1092" s="56"/>
      <c r="BD1092" s="56"/>
      <c r="BE1092" s="56"/>
      <c r="BF1092" s="56"/>
      <c r="BG1092" s="56"/>
      <c r="BH1092" s="56"/>
      <c r="BI1092" s="56"/>
      <c r="BJ1092" s="56"/>
      <c r="BK1092" s="56"/>
      <c r="BL1092" s="56"/>
      <c r="BM1092" s="56"/>
      <c r="BN1092" s="56"/>
      <c r="BO1092" s="56"/>
      <c r="BP1092" s="56"/>
      <c r="BQ1092" s="56"/>
      <c r="BR1092" s="56"/>
      <c r="BS1092" s="56"/>
      <c r="BT1092" s="56"/>
      <c r="BU1092" s="56"/>
      <c r="BV1092" s="56"/>
      <c r="BW1092" s="56"/>
      <c r="BX1092" s="56"/>
      <c r="BY1092" s="83"/>
    </row>
    <row r="1093" spans="1:77" s="202" customFormat="1" x14ac:dyDescent="0.15">
      <c r="A1093" s="54">
        <v>1005200011</v>
      </c>
      <c r="B1093" s="200" t="s">
        <v>810</v>
      </c>
      <c r="C1093" s="51" t="s">
        <v>811</v>
      </c>
      <c r="D1093" s="51"/>
      <c r="E1093" s="51" t="s">
        <v>78</v>
      </c>
      <c r="F1093" s="51"/>
      <c r="G1093" s="51"/>
      <c r="H1093" s="51"/>
      <c r="I1093" s="51"/>
      <c r="J1093" s="201"/>
      <c r="K1093" s="201"/>
      <c r="L1093" s="201"/>
      <c r="M1093" s="201"/>
      <c r="N1093" s="201"/>
      <c r="O1093" s="51" t="s">
        <v>812</v>
      </c>
      <c r="P1093" s="56"/>
      <c r="Q1093" s="56"/>
      <c r="R1093" s="56"/>
      <c r="S1093" s="56"/>
      <c r="T1093" s="56"/>
      <c r="U1093" s="56"/>
      <c r="V1093" s="56"/>
      <c r="W1093" s="56"/>
      <c r="X1093" s="56"/>
      <c r="Y1093" s="56"/>
      <c r="Z1093" s="56"/>
      <c r="AA1093" s="56"/>
      <c r="AB1093" s="56"/>
      <c r="AC1093" s="56"/>
      <c r="AD1093" s="56">
        <v>1005200101</v>
      </c>
      <c r="AE1093" s="56"/>
      <c r="AF1093" s="56"/>
      <c r="AG1093" s="56"/>
      <c r="AH1093" s="56"/>
      <c r="AI1093" s="56"/>
      <c r="AJ1093" s="56"/>
      <c r="AK1093" s="56"/>
      <c r="AL1093" s="56"/>
      <c r="AM1093" s="56"/>
      <c r="AN1093" s="56"/>
      <c r="AO1093" s="56"/>
      <c r="AP1093" s="56"/>
      <c r="AQ1093" s="56"/>
      <c r="AR1093" s="56"/>
      <c r="AS1093" s="56"/>
      <c r="AT1093" s="56"/>
      <c r="AU1093" s="56"/>
      <c r="AV1093" s="56"/>
      <c r="AW1093" s="56"/>
      <c r="AX1093" s="56"/>
      <c r="AY1093" s="56"/>
      <c r="AZ1093" s="56"/>
      <c r="BA1093" s="56"/>
      <c r="BB1093" s="56"/>
      <c r="BC1093" s="56"/>
      <c r="BD1093" s="56"/>
      <c r="BE1093" s="56"/>
      <c r="BF1093" s="56"/>
      <c r="BG1093" s="56"/>
      <c r="BH1093" s="56"/>
      <c r="BI1093" s="56"/>
      <c r="BJ1093" s="56"/>
      <c r="BK1093" s="56"/>
      <c r="BL1093" s="56"/>
      <c r="BM1093" s="56"/>
      <c r="BN1093" s="56"/>
      <c r="BO1093" s="56"/>
      <c r="BP1093" s="56"/>
      <c r="BQ1093" s="56"/>
      <c r="BR1093" s="56"/>
      <c r="BS1093" s="56"/>
      <c r="BT1093" s="56"/>
      <c r="BU1093" s="56"/>
      <c r="BV1093" s="56"/>
      <c r="BW1093" s="56"/>
      <c r="BX1093" s="56"/>
      <c r="BY1093" s="83"/>
    </row>
    <row r="1094" spans="1:77" s="202" customFormat="1" x14ac:dyDescent="0.15">
      <c r="A1094" s="54">
        <v>1005200021</v>
      </c>
      <c r="B1094" s="200" t="s">
        <v>810</v>
      </c>
      <c r="C1094" s="51" t="s">
        <v>811</v>
      </c>
      <c r="D1094" s="51"/>
      <c r="E1094" s="51" t="s">
        <v>78</v>
      </c>
      <c r="F1094" s="51"/>
      <c r="G1094" s="51"/>
      <c r="H1094" s="51"/>
      <c r="I1094" s="51"/>
      <c r="J1094" s="201"/>
      <c r="K1094" s="201"/>
      <c r="L1094" s="201"/>
      <c r="M1094" s="201"/>
      <c r="N1094" s="201"/>
      <c r="O1094" s="51" t="s">
        <v>812</v>
      </c>
      <c r="P1094" s="56"/>
      <c r="Q1094" s="56"/>
      <c r="R1094" s="56"/>
      <c r="S1094" s="56"/>
      <c r="T1094" s="56"/>
      <c r="U1094" s="56"/>
      <c r="V1094" s="56"/>
      <c r="W1094" s="56"/>
      <c r="X1094" s="56"/>
      <c r="Y1094" s="56"/>
      <c r="Z1094" s="56"/>
      <c r="AA1094" s="56"/>
      <c r="AB1094" s="56"/>
      <c r="AC1094" s="56"/>
      <c r="AD1094" s="56">
        <v>1005200102</v>
      </c>
      <c r="AE1094" s="56"/>
      <c r="AF1094" s="56"/>
      <c r="AG1094" s="56"/>
      <c r="AH1094" s="56"/>
      <c r="AI1094" s="56"/>
      <c r="AJ1094" s="56"/>
      <c r="AK1094" s="56"/>
      <c r="AL1094" s="56"/>
      <c r="AM1094" s="56"/>
      <c r="AN1094" s="56"/>
      <c r="AO1094" s="56"/>
      <c r="AP1094" s="56"/>
      <c r="AQ1094" s="56"/>
      <c r="AR1094" s="56"/>
      <c r="AS1094" s="56"/>
      <c r="AT1094" s="56"/>
      <c r="AU1094" s="56"/>
      <c r="AV1094" s="56"/>
      <c r="AW1094" s="56"/>
      <c r="AX1094" s="56"/>
      <c r="AY1094" s="56"/>
      <c r="AZ1094" s="56"/>
      <c r="BA1094" s="56"/>
      <c r="BB1094" s="56"/>
      <c r="BC1094" s="56"/>
      <c r="BD1094" s="56"/>
      <c r="BE1094" s="56"/>
      <c r="BF1094" s="56"/>
      <c r="BG1094" s="56"/>
      <c r="BH1094" s="56"/>
      <c r="BI1094" s="56"/>
      <c r="BJ1094" s="56"/>
      <c r="BK1094" s="56"/>
      <c r="BL1094" s="56"/>
      <c r="BM1094" s="56"/>
      <c r="BN1094" s="56"/>
      <c r="BO1094" s="56"/>
      <c r="BP1094" s="56"/>
      <c r="BQ1094" s="56"/>
      <c r="BR1094" s="56"/>
      <c r="BS1094" s="56"/>
      <c r="BT1094" s="56"/>
      <c r="BU1094" s="56"/>
      <c r="BV1094" s="56"/>
      <c r="BW1094" s="56"/>
      <c r="BX1094" s="56"/>
      <c r="BY1094" s="83"/>
    </row>
    <row r="1095" spans="1:77" s="202" customFormat="1" x14ac:dyDescent="0.15">
      <c r="A1095" s="54">
        <v>1005200031</v>
      </c>
      <c r="B1095" s="200" t="s">
        <v>810</v>
      </c>
      <c r="C1095" s="51" t="s">
        <v>811</v>
      </c>
      <c r="D1095" s="51"/>
      <c r="E1095" s="51" t="s">
        <v>78</v>
      </c>
      <c r="F1095" s="51"/>
      <c r="G1095" s="51"/>
      <c r="H1095" s="51"/>
      <c r="I1095" s="51"/>
      <c r="J1095" s="201"/>
      <c r="K1095" s="201"/>
      <c r="L1095" s="201"/>
      <c r="M1095" s="201"/>
      <c r="N1095" s="201"/>
      <c r="O1095" s="51" t="s">
        <v>812</v>
      </c>
      <c r="P1095" s="56"/>
      <c r="Q1095" s="56"/>
      <c r="R1095" s="56"/>
      <c r="S1095" s="56"/>
      <c r="T1095" s="56"/>
      <c r="U1095" s="56"/>
      <c r="V1095" s="56"/>
      <c r="W1095" s="56"/>
      <c r="X1095" s="56"/>
      <c r="Y1095" s="56"/>
      <c r="Z1095" s="56"/>
      <c r="AA1095" s="56"/>
      <c r="AB1095" s="56"/>
      <c r="AC1095" s="56"/>
      <c r="AD1095" s="56">
        <v>1005200103</v>
      </c>
      <c r="AE1095" s="56"/>
      <c r="AF1095" s="56"/>
      <c r="AG1095" s="56"/>
      <c r="AH1095" s="56"/>
      <c r="AI1095" s="56"/>
      <c r="AJ1095" s="56"/>
      <c r="AK1095" s="56"/>
      <c r="AL1095" s="56"/>
      <c r="AM1095" s="56"/>
      <c r="AN1095" s="56"/>
      <c r="AO1095" s="56"/>
      <c r="AP1095" s="56"/>
      <c r="AQ1095" s="56"/>
      <c r="AR1095" s="56"/>
      <c r="AS1095" s="56"/>
      <c r="AT1095" s="56"/>
      <c r="AU1095" s="56"/>
      <c r="AV1095" s="56"/>
      <c r="AW1095" s="56"/>
      <c r="AX1095" s="56"/>
      <c r="AY1095" s="56"/>
      <c r="AZ1095" s="56"/>
      <c r="BA1095" s="56"/>
      <c r="BB1095" s="56"/>
      <c r="BC1095" s="56"/>
      <c r="BD1095" s="56"/>
      <c r="BE1095" s="56"/>
      <c r="BF1095" s="56"/>
      <c r="BG1095" s="56"/>
      <c r="BH1095" s="56"/>
      <c r="BI1095" s="56"/>
      <c r="BJ1095" s="56"/>
      <c r="BK1095" s="56"/>
      <c r="BL1095" s="56"/>
      <c r="BM1095" s="56"/>
      <c r="BN1095" s="56"/>
      <c r="BO1095" s="56"/>
      <c r="BP1095" s="56"/>
      <c r="BQ1095" s="56"/>
      <c r="BR1095" s="56"/>
      <c r="BS1095" s="56"/>
      <c r="BT1095" s="56"/>
      <c r="BU1095" s="56"/>
      <c r="BV1095" s="56"/>
      <c r="BW1095" s="56"/>
      <c r="BX1095" s="56"/>
      <c r="BY1095" s="83"/>
    </row>
    <row r="1096" spans="1:77" s="202" customFormat="1" x14ac:dyDescent="0.15">
      <c r="A1096" s="54">
        <v>1005010011</v>
      </c>
      <c r="B1096" s="200" t="s">
        <v>428</v>
      </c>
      <c r="C1096" s="51" t="s">
        <v>100</v>
      </c>
      <c r="D1096" s="51"/>
      <c r="E1096" s="51" t="s">
        <v>804</v>
      </c>
      <c r="F1096" s="51">
        <v>80000</v>
      </c>
      <c r="G1096" s="51">
        <v>1200</v>
      </c>
      <c r="H1096" s="51"/>
      <c r="I1096" s="51"/>
      <c r="J1096" s="201"/>
      <c r="K1096" s="201"/>
      <c r="L1096" s="201"/>
      <c r="M1096" s="201" t="s">
        <v>101</v>
      </c>
      <c r="N1096" s="201"/>
      <c r="O1096" s="51" t="s">
        <v>79</v>
      </c>
      <c r="P1096" s="56" t="s">
        <v>80</v>
      </c>
      <c r="Q1096" s="56">
        <v>180</v>
      </c>
      <c r="R1096" s="203">
        <v>4500</v>
      </c>
      <c r="S1096" s="56"/>
      <c r="T1096" s="56"/>
      <c r="U1096" s="56"/>
      <c r="V1096" s="56"/>
      <c r="W1096" s="56" t="s">
        <v>168</v>
      </c>
      <c r="X1096" s="56" t="s">
        <v>325</v>
      </c>
      <c r="Y1096" s="56" t="s">
        <v>806</v>
      </c>
      <c r="Z1096" s="56" t="s">
        <v>308</v>
      </c>
      <c r="AA1096" s="56">
        <v>500</v>
      </c>
      <c r="AB1096" s="56">
        <v>200</v>
      </c>
      <c r="AC1096" s="56"/>
      <c r="AD1096" s="56"/>
      <c r="AE1096" s="56"/>
      <c r="AF1096" s="56"/>
      <c r="AG1096" s="56"/>
      <c r="AH1096" s="56"/>
      <c r="AI1096" s="56"/>
      <c r="AJ1096" s="51"/>
      <c r="AK1096" s="56"/>
      <c r="AL1096" s="56"/>
      <c r="AM1096" s="56"/>
      <c r="AN1096" s="54"/>
      <c r="AO1096" s="54"/>
      <c r="AP1096" s="54"/>
      <c r="AQ1096" s="56"/>
      <c r="AR1096" s="54"/>
      <c r="AS1096" s="54"/>
      <c r="AT1096" s="54"/>
      <c r="AU1096" s="54"/>
      <c r="AV1096" s="54"/>
      <c r="AW1096" s="54"/>
      <c r="AX1096" s="56"/>
      <c r="AY1096" s="56"/>
      <c r="AZ1096" s="56"/>
      <c r="BA1096" s="56"/>
      <c r="BB1096" s="56"/>
      <c r="BC1096" s="56"/>
      <c r="BD1096" s="56"/>
      <c r="BE1096" s="56"/>
      <c r="BF1096" s="56"/>
      <c r="BG1096" s="56"/>
      <c r="BH1096" s="56"/>
      <c r="BI1096" s="56"/>
      <c r="BJ1096" s="56"/>
      <c r="BK1096" s="56"/>
      <c r="BL1096" s="56"/>
      <c r="BM1096" s="56"/>
      <c r="BN1096" s="56"/>
      <c r="BO1096" s="56"/>
      <c r="BP1096" s="56"/>
      <c r="BQ1096" s="56"/>
      <c r="BR1096" s="56"/>
      <c r="BS1096" s="56"/>
      <c r="BT1096" s="56"/>
      <c r="BU1096" s="56"/>
      <c r="BV1096" s="56"/>
      <c r="BW1096" s="56"/>
      <c r="BX1096" s="56"/>
      <c r="BY1096" s="83"/>
    </row>
    <row r="1097" spans="1:77" s="202" customFormat="1" x14ac:dyDescent="0.15">
      <c r="A1097" s="54">
        <v>1005010021</v>
      </c>
      <c r="B1097" s="200" t="s">
        <v>428</v>
      </c>
      <c r="C1097" s="51" t="s">
        <v>100</v>
      </c>
      <c r="D1097" s="51"/>
      <c r="E1097" s="51" t="s">
        <v>804</v>
      </c>
      <c r="F1097" s="51">
        <v>80000</v>
      </c>
      <c r="G1097" s="51">
        <v>1200</v>
      </c>
      <c r="H1097" s="51"/>
      <c r="I1097" s="51"/>
      <c r="J1097" s="201"/>
      <c r="K1097" s="201"/>
      <c r="L1097" s="201"/>
      <c r="M1097" s="201" t="s">
        <v>101</v>
      </c>
      <c r="N1097" s="201"/>
      <c r="O1097" s="51" t="s">
        <v>79</v>
      </c>
      <c r="P1097" s="56" t="s">
        <v>80</v>
      </c>
      <c r="Q1097" s="56">
        <v>260</v>
      </c>
      <c r="R1097" s="203">
        <v>4500</v>
      </c>
      <c r="S1097" s="56"/>
      <c r="T1097" s="56"/>
      <c r="U1097" s="56"/>
      <c r="V1097" s="56"/>
      <c r="W1097" s="56" t="s">
        <v>168</v>
      </c>
      <c r="X1097" s="56" t="s">
        <v>325</v>
      </c>
      <c r="Y1097" s="56" t="s">
        <v>806</v>
      </c>
      <c r="Z1097" s="56" t="s">
        <v>308</v>
      </c>
      <c r="AA1097" s="56">
        <v>500</v>
      </c>
      <c r="AB1097" s="56">
        <v>275</v>
      </c>
      <c r="AC1097" s="56"/>
      <c r="AD1097" s="56"/>
      <c r="AE1097" s="56"/>
      <c r="AF1097" s="56"/>
      <c r="AG1097" s="56"/>
      <c r="AH1097" s="56"/>
      <c r="AI1097" s="56"/>
      <c r="AJ1097" s="51"/>
      <c r="AK1097" s="56"/>
      <c r="AL1097" s="56"/>
      <c r="AM1097" s="56"/>
      <c r="AN1097" s="54"/>
      <c r="AO1097" s="54"/>
      <c r="AP1097" s="54"/>
      <c r="AQ1097" s="56"/>
      <c r="AR1097" s="54"/>
      <c r="AS1097" s="54"/>
      <c r="AT1097" s="54"/>
      <c r="AU1097" s="54"/>
      <c r="AV1097" s="54"/>
      <c r="AW1097" s="54"/>
      <c r="AX1097" s="56"/>
      <c r="AY1097" s="56"/>
      <c r="AZ1097" s="56"/>
      <c r="BA1097" s="56"/>
      <c r="BB1097" s="56"/>
      <c r="BC1097" s="56"/>
      <c r="BD1097" s="56"/>
      <c r="BE1097" s="56"/>
      <c r="BF1097" s="56"/>
      <c r="BG1097" s="56"/>
      <c r="BH1097" s="56"/>
      <c r="BI1097" s="56"/>
      <c r="BJ1097" s="56"/>
      <c r="BK1097" s="56"/>
      <c r="BL1097" s="56"/>
      <c r="BM1097" s="56"/>
      <c r="BN1097" s="56"/>
      <c r="BO1097" s="56"/>
      <c r="BP1097" s="56"/>
      <c r="BQ1097" s="56"/>
      <c r="BR1097" s="56"/>
      <c r="BS1097" s="56"/>
      <c r="BT1097" s="56"/>
      <c r="BU1097" s="56"/>
      <c r="BV1097" s="56"/>
      <c r="BW1097" s="56"/>
      <c r="BX1097" s="56"/>
      <c r="BY1097" s="83"/>
    </row>
    <row r="1098" spans="1:77" s="202" customFormat="1" x14ac:dyDescent="0.15">
      <c r="A1098" s="54">
        <v>1005010031</v>
      </c>
      <c r="B1098" s="200" t="s">
        <v>428</v>
      </c>
      <c r="C1098" s="51" t="s">
        <v>100</v>
      </c>
      <c r="D1098" s="51"/>
      <c r="E1098" s="51" t="s">
        <v>804</v>
      </c>
      <c r="F1098" s="51">
        <v>80000</v>
      </c>
      <c r="G1098" s="51">
        <v>1200</v>
      </c>
      <c r="H1098" s="51"/>
      <c r="I1098" s="51"/>
      <c r="J1098" s="201"/>
      <c r="K1098" s="201"/>
      <c r="L1098" s="201"/>
      <c r="M1098" s="201" t="s">
        <v>101</v>
      </c>
      <c r="N1098" s="201"/>
      <c r="O1098" s="51" t="s">
        <v>79</v>
      </c>
      <c r="P1098" s="56" t="s">
        <v>80</v>
      </c>
      <c r="Q1098" s="56">
        <v>340</v>
      </c>
      <c r="R1098" s="203">
        <v>4500</v>
      </c>
      <c r="S1098" s="56"/>
      <c r="T1098" s="56"/>
      <c r="U1098" s="56"/>
      <c r="V1098" s="56"/>
      <c r="W1098" s="56" t="s">
        <v>168</v>
      </c>
      <c r="X1098" s="56" t="s">
        <v>325</v>
      </c>
      <c r="Y1098" s="56" t="s">
        <v>806</v>
      </c>
      <c r="Z1098" s="56" t="s">
        <v>308</v>
      </c>
      <c r="AA1098" s="56">
        <v>500</v>
      </c>
      <c r="AB1098" s="56">
        <v>350</v>
      </c>
      <c r="AC1098" s="56"/>
      <c r="AD1098" s="56"/>
      <c r="AE1098" s="56"/>
      <c r="AF1098" s="56"/>
      <c r="AG1098" s="56"/>
      <c r="AH1098" s="56"/>
      <c r="AI1098" s="56"/>
      <c r="AJ1098" s="51"/>
      <c r="AK1098" s="56"/>
      <c r="AL1098" s="56"/>
      <c r="AM1098" s="56"/>
      <c r="AN1098" s="54"/>
      <c r="AO1098" s="54"/>
      <c r="AP1098" s="54"/>
      <c r="AQ1098" s="56"/>
      <c r="AR1098" s="54"/>
      <c r="AS1098" s="54"/>
      <c r="AT1098" s="54"/>
      <c r="AU1098" s="54"/>
      <c r="AV1098" s="54"/>
      <c r="AW1098" s="54"/>
      <c r="AX1098" s="56"/>
      <c r="AY1098" s="56"/>
      <c r="AZ1098" s="56"/>
      <c r="BA1098" s="56"/>
      <c r="BB1098" s="56"/>
      <c r="BC1098" s="56"/>
      <c r="BD1098" s="56"/>
      <c r="BE1098" s="56"/>
      <c r="BF1098" s="56"/>
      <c r="BG1098" s="56"/>
      <c r="BH1098" s="56"/>
      <c r="BI1098" s="56"/>
      <c r="BJ1098" s="56"/>
      <c r="BK1098" s="56"/>
      <c r="BL1098" s="56"/>
      <c r="BM1098" s="56"/>
      <c r="BN1098" s="56"/>
      <c r="BO1098" s="56"/>
      <c r="BP1098" s="56"/>
      <c r="BQ1098" s="56"/>
      <c r="BR1098" s="56"/>
      <c r="BS1098" s="56"/>
      <c r="BT1098" s="56"/>
      <c r="BU1098" s="56"/>
      <c r="BV1098" s="56"/>
      <c r="BW1098" s="56"/>
      <c r="BX1098" s="56"/>
      <c r="BY1098" s="83"/>
    </row>
    <row r="1099" spans="1:77" s="202" customFormat="1" x14ac:dyDescent="0.15">
      <c r="A1099" s="54">
        <v>1005010041</v>
      </c>
      <c r="B1099" s="200" t="s">
        <v>428</v>
      </c>
      <c r="C1099" s="51" t="s">
        <v>100</v>
      </c>
      <c r="D1099" s="51"/>
      <c r="E1099" s="51" t="s">
        <v>804</v>
      </c>
      <c r="F1099" s="51">
        <v>80000</v>
      </c>
      <c r="G1099" s="51">
        <v>1200</v>
      </c>
      <c r="H1099" s="51"/>
      <c r="I1099" s="51"/>
      <c r="J1099" s="201"/>
      <c r="K1099" s="201"/>
      <c r="L1099" s="201"/>
      <c r="M1099" s="201" t="s">
        <v>101</v>
      </c>
      <c r="N1099" s="201"/>
      <c r="O1099" s="51" t="s">
        <v>79</v>
      </c>
      <c r="P1099" s="56" t="s">
        <v>80</v>
      </c>
      <c r="Q1099" s="56">
        <v>420</v>
      </c>
      <c r="R1099" s="203">
        <v>4500</v>
      </c>
      <c r="S1099" s="56"/>
      <c r="T1099" s="56"/>
      <c r="U1099" s="56"/>
      <c r="V1099" s="56"/>
      <c r="W1099" s="56" t="s">
        <v>168</v>
      </c>
      <c r="X1099" s="56" t="s">
        <v>325</v>
      </c>
      <c r="Y1099" s="56" t="s">
        <v>806</v>
      </c>
      <c r="Z1099" s="56" t="s">
        <v>308</v>
      </c>
      <c r="AA1099" s="56">
        <v>500</v>
      </c>
      <c r="AB1099" s="56">
        <v>425</v>
      </c>
      <c r="AC1099" s="56"/>
      <c r="AD1099" s="56"/>
      <c r="AE1099" s="56"/>
      <c r="AF1099" s="56"/>
      <c r="AG1099" s="56"/>
      <c r="AH1099" s="56"/>
      <c r="AI1099" s="56"/>
      <c r="AJ1099" s="51"/>
      <c r="AK1099" s="56"/>
      <c r="AL1099" s="56"/>
      <c r="AM1099" s="56"/>
      <c r="AN1099" s="54"/>
      <c r="AO1099" s="54"/>
      <c r="AP1099" s="54"/>
      <c r="AQ1099" s="56"/>
      <c r="AR1099" s="54"/>
      <c r="AS1099" s="54"/>
      <c r="AT1099" s="54"/>
      <c r="AU1099" s="54"/>
      <c r="AV1099" s="54"/>
      <c r="AW1099" s="54"/>
      <c r="AX1099" s="56"/>
      <c r="AY1099" s="56"/>
      <c r="AZ1099" s="56"/>
      <c r="BA1099" s="56"/>
      <c r="BB1099" s="56"/>
      <c r="BC1099" s="56"/>
      <c r="BD1099" s="56"/>
      <c r="BE1099" s="56"/>
      <c r="BF1099" s="56"/>
      <c r="BG1099" s="56"/>
      <c r="BH1099" s="56"/>
      <c r="BI1099" s="56"/>
      <c r="BJ1099" s="56"/>
      <c r="BK1099" s="56"/>
      <c r="BL1099" s="56"/>
      <c r="BM1099" s="56"/>
      <c r="BN1099" s="56"/>
      <c r="BO1099" s="56"/>
      <c r="BP1099" s="56"/>
      <c r="BQ1099" s="56"/>
      <c r="BR1099" s="56"/>
      <c r="BS1099" s="56"/>
      <c r="BT1099" s="56"/>
      <c r="BU1099" s="56"/>
      <c r="BV1099" s="56"/>
      <c r="BW1099" s="56"/>
      <c r="BX1099" s="56"/>
      <c r="BY1099" s="83"/>
    </row>
    <row r="1100" spans="1:77" s="202" customFormat="1" x14ac:dyDescent="0.15">
      <c r="A1100" s="54">
        <v>1005020011</v>
      </c>
      <c r="B1100" s="200" t="s">
        <v>808</v>
      </c>
      <c r="C1100" s="51" t="s">
        <v>100</v>
      </c>
      <c r="D1100" s="51"/>
      <c r="E1100" s="51" t="s">
        <v>809</v>
      </c>
      <c r="F1100" s="51">
        <v>40000</v>
      </c>
      <c r="G1100" s="51">
        <v>100000</v>
      </c>
      <c r="H1100" s="51"/>
      <c r="I1100" s="51"/>
      <c r="J1100" s="201"/>
      <c r="K1100" s="201"/>
      <c r="L1100" s="201"/>
      <c r="M1100" s="201" t="s">
        <v>101</v>
      </c>
      <c r="N1100" s="201"/>
      <c r="O1100" s="51" t="s">
        <v>79</v>
      </c>
      <c r="P1100" s="56" t="s">
        <v>80</v>
      </c>
      <c r="Q1100" s="56">
        <v>50</v>
      </c>
      <c r="R1100" s="203">
        <v>2500</v>
      </c>
      <c r="S1100" s="56"/>
      <c r="T1100" s="56"/>
      <c r="U1100" s="56"/>
      <c r="V1100" s="56"/>
      <c r="W1100" s="56"/>
      <c r="X1100" s="56"/>
      <c r="Y1100" s="56"/>
      <c r="Z1100" s="56"/>
      <c r="AA1100" s="56"/>
      <c r="AB1100" s="56"/>
      <c r="AC1100" s="56"/>
      <c r="AD1100" s="56"/>
      <c r="AE1100" s="56"/>
      <c r="AF1100" s="56"/>
      <c r="AG1100" s="56"/>
      <c r="AH1100" s="56"/>
      <c r="AI1100" s="56"/>
      <c r="AJ1100" s="56"/>
      <c r="AK1100" s="56"/>
      <c r="AL1100" s="56"/>
      <c r="AM1100" s="56"/>
      <c r="AN1100" s="56"/>
      <c r="AO1100" s="56"/>
      <c r="AP1100" s="56"/>
      <c r="AQ1100" s="56"/>
      <c r="AR1100" s="56"/>
      <c r="AS1100" s="56"/>
      <c r="AT1100" s="56"/>
      <c r="AU1100" s="56"/>
      <c r="AV1100" s="56"/>
      <c r="AW1100" s="56"/>
      <c r="AX1100" s="56"/>
      <c r="AY1100" s="56"/>
      <c r="AZ1100" s="56"/>
      <c r="BA1100" s="56"/>
      <c r="BB1100" s="56"/>
      <c r="BC1100" s="56"/>
      <c r="BD1100" s="56"/>
      <c r="BE1100" s="56"/>
      <c r="BF1100" s="56"/>
      <c r="BG1100" s="56"/>
      <c r="BH1100" s="56"/>
      <c r="BI1100" s="56"/>
      <c r="BJ1100" s="56"/>
      <c r="BK1100" s="56"/>
      <c r="BL1100" s="56"/>
      <c r="BM1100" s="56"/>
      <c r="BN1100" s="56"/>
      <c r="BO1100" s="56"/>
      <c r="BP1100" s="56"/>
      <c r="BQ1100" s="56"/>
      <c r="BR1100" s="56"/>
      <c r="BS1100" s="56"/>
      <c r="BT1100" s="56"/>
      <c r="BU1100" s="56"/>
      <c r="BV1100" s="56"/>
      <c r="BW1100" s="56"/>
      <c r="BX1100" s="56"/>
      <c r="BY1100" s="83"/>
    </row>
    <row r="1101" spans="1:77" s="202" customFormat="1" x14ac:dyDescent="0.15">
      <c r="A1101" s="54">
        <v>1005020021</v>
      </c>
      <c r="B1101" s="200" t="s">
        <v>808</v>
      </c>
      <c r="C1101" s="51" t="s">
        <v>100</v>
      </c>
      <c r="D1101" s="51"/>
      <c r="E1101" s="51" t="s">
        <v>809</v>
      </c>
      <c r="F1101" s="51">
        <v>40000</v>
      </c>
      <c r="G1101" s="51">
        <v>100000</v>
      </c>
      <c r="H1101" s="51"/>
      <c r="I1101" s="51"/>
      <c r="J1101" s="201"/>
      <c r="K1101" s="201"/>
      <c r="L1101" s="201"/>
      <c r="M1101" s="201" t="s">
        <v>101</v>
      </c>
      <c r="N1101" s="201"/>
      <c r="O1101" s="51" t="s">
        <v>79</v>
      </c>
      <c r="P1101" s="56" t="s">
        <v>80</v>
      </c>
      <c r="Q1101" s="56">
        <v>50</v>
      </c>
      <c r="R1101" s="203">
        <v>2500</v>
      </c>
      <c r="S1101" s="56"/>
      <c r="T1101" s="56"/>
      <c r="U1101" s="56"/>
      <c r="V1101" s="56"/>
      <c r="W1101" s="56"/>
      <c r="X1101" s="56"/>
      <c r="Y1101" s="56"/>
      <c r="Z1101" s="56"/>
      <c r="AA1101" s="56"/>
      <c r="AB1101" s="56"/>
      <c r="AC1101" s="56"/>
      <c r="AD1101" s="56"/>
      <c r="AE1101" s="56"/>
      <c r="AF1101" s="56"/>
      <c r="AG1101" s="56"/>
      <c r="AH1101" s="56"/>
      <c r="AI1101" s="56"/>
      <c r="AJ1101" s="56"/>
      <c r="AK1101" s="56"/>
      <c r="AL1101" s="56"/>
      <c r="AM1101" s="56"/>
      <c r="AN1101" s="56"/>
      <c r="AO1101" s="56"/>
      <c r="AP1101" s="56"/>
      <c r="AQ1101" s="56"/>
      <c r="AR1101" s="56"/>
      <c r="AS1101" s="56"/>
      <c r="AT1101" s="56"/>
      <c r="AU1101" s="56"/>
      <c r="AV1101" s="56"/>
      <c r="AW1101" s="56"/>
      <c r="AX1101" s="56"/>
      <c r="AY1101" s="56"/>
      <c r="AZ1101" s="56"/>
      <c r="BA1101" s="56"/>
      <c r="BB1101" s="56"/>
      <c r="BC1101" s="56"/>
      <c r="BD1101" s="56"/>
      <c r="BE1101" s="56"/>
      <c r="BF1101" s="56"/>
      <c r="BG1101" s="56"/>
      <c r="BH1101" s="56"/>
      <c r="BI1101" s="56"/>
      <c r="BJ1101" s="56"/>
      <c r="BK1101" s="56"/>
      <c r="BL1101" s="56"/>
      <c r="BM1101" s="56"/>
      <c r="BN1101" s="56"/>
      <c r="BO1101" s="56"/>
      <c r="BP1101" s="56"/>
      <c r="BQ1101" s="56"/>
      <c r="BR1101" s="56"/>
      <c r="BS1101" s="56"/>
      <c r="BT1101" s="56"/>
      <c r="BU1101" s="56"/>
      <c r="BV1101" s="56"/>
      <c r="BW1101" s="56"/>
      <c r="BX1101" s="56"/>
      <c r="BY1101" s="83"/>
    </row>
    <row r="1102" spans="1:77" s="202" customFormat="1" x14ac:dyDescent="0.15">
      <c r="A1102" s="54">
        <v>1005020031</v>
      </c>
      <c r="B1102" s="200" t="s">
        <v>808</v>
      </c>
      <c r="C1102" s="51" t="s">
        <v>100</v>
      </c>
      <c r="D1102" s="51"/>
      <c r="E1102" s="51" t="s">
        <v>809</v>
      </c>
      <c r="F1102" s="51">
        <v>40000</v>
      </c>
      <c r="G1102" s="51">
        <v>100000</v>
      </c>
      <c r="H1102" s="51"/>
      <c r="I1102" s="51"/>
      <c r="J1102" s="201"/>
      <c r="K1102" s="201"/>
      <c r="L1102" s="201"/>
      <c r="M1102" s="201" t="s">
        <v>101</v>
      </c>
      <c r="N1102" s="201"/>
      <c r="O1102" s="51" t="s">
        <v>79</v>
      </c>
      <c r="P1102" s="56" t="s">
        <v>80</v>
      </c>
      <c r="Q1102" s="56">
        <v>50</v>
      </c>
      <c r="R1102" s="203">
        <v>2500</v>
      </c>
      <c r="S1102" s="56"/>
      <c r="T1102" s="56"/>
      <c r="U1102" s="56"/>
      <c r="V1102" s="56"/>
      <c r="W1102" s="56"/>
      <c r="X1102" s="56"/>
      <c r="Y1102" s="56"/>
      <c r="Z1102" s="56"/>
      <c r="AA1102" s="56"/>
      <c r="AB1102" s="56"/>
      <c r="AC1102" s="56"/>
      <c r="AD1102" s="56"/>
      <c r="AE1102" s="56"/>
      <c r="AF1102" s="56"/>
      <c r="AG1102" s="56"/>
      <c r="AH1102" s="56"/>
      <c r="AI1102" s="56"/>
      <c r="AJ1102" s="56"/>
      <c r="AK1102" s="56"/>
      <c r="AL1102" s="56"/>
      <c r="AM1102" s="56"/>
      <c r="AN1102" s="56"/>
      <c r="AO1102" s="56"/>
      <c r="AP1102" s="56"/>
      <c r="AQ1102" s="56"/>
      <c r="AR1102" s="56"/>
      <c r="AS1102" s="56"/>
      <c r="AT1102" s="56"/>
      <c r="AU1102" s="56"/>
      <c r="AV1102" s="56"/>
      <c r="AW1102" s="56"/>
      <c r="AX1102" s="56"/>
      <c r="AY1102" s="56"/>
      <c r="AZ1102" s="56"/>
      <c r="BA1102" s="56"/>
      <c r="BB1102" s="56"/>
      <c r="BC1102" s="56"/>
      <c r="BD1102" s="56"/>
      <c r="BE1102" s="56"/>
      <c r="BF1102" s="56"/>
      <c r="BG1102" s="56"/>
      <c r="BH1102" s="56"/>
      <c r="BI1102" s="56"/>
      <c r="BJ1102" s="56"/>
      <c r="BK1102" s="56"/>
      <c r="BL1102" s="56"/>
      <c r="BM1102" s="56"/>
      <c r="BN1102" s="56"/>
      <c r="BO1102" s="56"/>
      <c r="BP1102" s="56"/>
      <c r="BQ1102" s="56"/>
      <c r="BR1102" s="56"/>
      <c r="BS1102" s="56"/>
      <c r="BT1102" s="56"/>
      <c r="BU1102" s="56"/>
      <c r="BV1102" s="56"/>
      <c r="BW1102" s="56"/>
      <c r="BX1102" s="56"/>
      <c r="BY1102" s="83"/>
    </row>
    <row r="1103" spans="1:77" s="202" customFormat="1" x14ac:dyDescent="0.15">
      <c r="A1103" s="54">
        <v>1005020041</v>
      </c>
      <c r="B1103" s="200" t="s">
        <v>808</v>
      </c>
      <c r="C1103" s="51" t="s">
        <v>100</v>
      </c>
      <c r="D1103" s="51"/>
      <c r="E1103" s="51" t="s">
        <v>809</v>
      </c>
      <c r="F1103" s="51">
        <v>40000</v>
      </c>
      <c r="G1103" s="51">
        <v>100000</v>
      </c>
      <c r="H1103" s="51"/>
      <c r="I1103" s="51"/>
      <c r="J1103" s="201"/>
      <c r="K1103" s="201"/>
      <c r="L1103" s="201"/>
      <c r="M1103" s="201" t="s">
        <v>101</v>
      </c>
      <c r="N1103" s="201"/>
      <c r="O1103" s="51" t="s">
        <v>79</v>
      </c>
      <c r="P1103" s="56" t="s">
        <v>80</v>
      </c>
      <c r="Q1103" s="56">
        <v>50</v>
      </c>
      <c r="R1103" s="203">
        <v>2500</v>
      </c>
      <c r="S1103" s="56"/>
      <c r="T1103" s="56"/>
      <c r="U1103" s="56"/>
      <c r="V1103" s="56"/>
      <c r="W1103" s="56"/>
      <c r="X1103" s="56"/>
      <c r="Y1103" s="56"/>
      <c r="Z1103" s="56"/>
      <c r="AA1103" s="56"/>
      <c r="AB1103" s="56"/>
      <c r="AC1103" s="56"/>
      <c r="AD1103" s="56"/>
      <c r="AE1103" s="56"/>
      <c r="AF1103" s="56"/>
      <c r="AG1103" s="56"/>
      <c r="AH1103" s="56"/>
      <c r="AI1103" s="56"/>
      <c r="AJ1103" s="56"/>
      <c r="AK1103" s="56"/>
      <c r="AL1103" s="56"/>
      <c r="AM1103" s="56"/>
      <c r="AN1103" s="56"/>
      <c r="AO1103" s="56"/>
      <c r="AP1103" s="56"/>
      <c r="AQ1103" s="56"/>
      <c r="AR1103" s="56"/>
      <c r="AS1103" s="56"/>
      <c r="AT1103" s="56"/>
      <c r="AU1103" s="56"/>
      <c r="AV1103" s="56"/>
      <c r="AW1103" s="56"/>
      <c r="AX1103" s="56"/>
      <c r="AY1103" s="56"/>
      <c r="AZ1103" s="56"/>
      <c r="BA1103" s="56"/>
      <c r="BB1103" s="56"/>
      <c r="BC1103" s="56"/>
      <c r="BD1103" s="56"/>
      <c r="BE1103" s="56"/>
      <c r="BF1103" s="56"/>
      <c r="BG1103" s="56"/>
      <c r="BH1103" s="56"/>
      <c r="BI1103" s="56"/>
      <c r="BJ1103" s="56"/>
      <c r="BK1103" s="56"/>
      <c r="BL1103" s="56"/>
      <c r="BM1103" s="56"/>
      <c r="BN1103" s="56"/>
      <c r="BO1103" s="56"/>
      <c r="BP1103" s="56"/>
      <c r="BQ1103" s="56"/>
      <c r="BR1103" s="56"/>
      <c r="BS1103" s="56"/>
      <c r="BT1103" s="56"/>
      <c r="BU1103" s="56"/>
      <c r="BV1103" s="56"/>
      <c r="BW1103" s="56"/>
      <c r="BX1103" s="56"/>
      <c r="BY1103" s="83"/>
    </row>
    <row r="1104" spans="1:77" s="202" customFormat="1" x14ac:dyDescent="0.15">
      <c r="A1104" s="54">
        <v>1005020012</v>
      </c>
      <c r="B1104" s="200" t="s">
        <v>807</v>
      </c>
      <c r="C1104" s="51" t="s">
        <v>100</v>
      </c>
      <c r="D1104" s="51"/>
      <c r="E1104" s="51" t="s">
        <v>83</v>
      </c>
      <c r="F1104" s="51">
        <v>60000</v>
      </c>
      <c r="G1104" s="51"/>
      <c r="H1104" s="51"/>
      <c r="I1104" s="51"/>
      <c r="J1104" s="201"/>
      <c r="K1104" s="201"/>
      <c r="L1104" s="201"/>
      <c r="M1104" s="201" t="s">
        <v>101</v>
      </c>
      <c r="N1104" s="201"/>
      <c r="O1104" s="51" t="s">
        <v>79</v>
      </c>
      <c r="P1104" s="56" t="s">
        <v>80</v>
      </c>
      <c r="Q1104" s="56">
        <v>130</v>
      </c>
      <c r="R1104" s="203">
        <v>2500</v>
      </c>
      <c r="S1104" s="56"/>
      <c r="T1104" s="56"/>
      <c r="U1104" s="56"/>
      <c r="V1104" s="56"/>
      <c r="W1104" s="56"/>
      <c r="X1104" s="56"/>
      <c r="Y1104" s="56"/>
      <c r="Z1104" s="56"/>
      <c r="AA1104" s="56"/>
      <c r="AB1104" s="56"/>
      <c r="AC1104" s="56"/>
      <c r="AD1104" s="56"/>
      <c r="AE1104" s="56"/>
      <c r="AF1104" s="56"/>
      <c r="AG1104" s="56"/>
      <c r="AH1104" s="56"/>
      <c r="AI1104" s="56"/>
      <c r="AJ1104" s="56" t="s">
        <v>90</v>
      </c>
      <c r="AK1104" s="56"/>
      <c r="AL1104" s="56"/>
      <c r="AM1104" s="56"/>
      <c r="AN1104" s="56"/>
      <c r="AO1104" s="56"/>
      <c r="AP1104" s="56"/>
      <c r="AQ1104" s="56"/>
      <c r="AR1104" s="56"/>
      <c r="AS1104" s="56"/>
      <c r="AT1104" s="56"/>
      <c r="AU1104" s="56"/>
      <c r="AV1104" s="56"/>
      <c r="AW1104" s="56"/>
      <c r="AX1104" s="56">
        <v>1005020101</v>
      </c>
      <c r="AY1104" s="56">
        <v>1005020101</v>
      </c>
      <c r="AZ1104" s="56"/>
      <c r="BA1104" s="56"/>
      <c r="BB1104" s="56"/>
      <c r="BC1104" s="56"/>
      <c r="BD1104" s="56"/>
      <c r="BE1104" s="56"/>
      <c r="BF1104" s="56"/>
      <c r="BG1104" s="56"/>
      <c r="BH1104" s="56"/>
      <c r="BI1104" s="56"/>
      <c r="BJ1104" s="56"/>
      <c r="BK1104" s="56"/>
      <c r="BL1104" s="56"/>
      <c r="BM1104" s="56"/>
      <c r="BN1104" s="56"/>
      <c r="BO1104" s="56"/>
      <c r="BP1104" s="56"/>
      <c r="BQ1104" s="56"/>
      <c r="BR1104" s="56"/>
      <c r="BS1104" s="56"/>
      <c r="BT1104" s="56"/>
      <c r="BU1104" s="56"/>
      <c r="BV1104" s="56"/>
      <c r="BW1104" s="56"/>
      <c r="BX1104" s="56"/>
      <c r="BY1104" s="83"/>
    </row>
    <row r="1105" spans="1:77" s="202" customFormat="1" x14ac:dyDescent="0.15">
      <c r="A1105" s="54">
        <v>1005020022</v>
      </c>
      <c r="B1105" s="200" t="s">
        <v>807</v>
      </c>
      <c r="C1105" s="51" t="s">
        <v>100</v>
      </c>
      <c r="D1105" s="51"/>
      <c r="E1105" s="51" t="s">
        <v>83</v>
      </c>
      <c r="F1105" s="51">
        <v>60000</v>
      </c>
      <c r="G1105" s="51"/>
      <c r="H1105" s="51"/>
      <c r="I1105" s="51"/>
      <c r="J1105" s="201"/>
      <c r="K1105" s="201"/>
      <c r="L1105" s="201"/>
      <c r="M1105" s="201" t="s">
        <v>101</v>
      </c>
      <c r="N1105" s="201"/>
      <c r="O1105" s="51" t="s">
        <v>79</v>
      </c>
      <c r="P1105" s="56" t="s">
        <v>80</v>
      </c>
      <c r="Q1105" s="56">
        <v>180</v>
      </c>
      <c r="R1105" s="203">
        <v>2500</v>
      </c>
      <c r="S1105" s="56"/>
      <c r="T1105" s="56"/>
      <c r="U1105" s="56"/>
      <c r="V1105" s="56"/>
      <c r="W1105" s="56"/>
      <c r="X1105" s="56"/>
      <c r="Y1105" s="56"/>
      <c r="Z1105" s="56"/>
      <c r="AA1105" s="56"/>
      <c r="AB1105" s="56"/>
      <c r="AC1105" s="56"/>
      <c r="AD1105" s="56"/>
      <c r="AE1105" s="56"/>
      <c r="AF1105" s="56"/>
      <c r="AG1105" s="56"/>
      <c r="AH1105" s="56"/>
      <c r="AI1105" s="56"/>
      <c r="AJ1105" s="56" t="s">
        <v>90</v>
      </c>
      <c r="AK1105" s="56"/>
      <c r="AL1105" s="56"/>
      <c r="AM1105" s="56"/>
      <c r="AN1105" s="56"/>
      <c r="AO1105" s="56"/>
      <c r="AP1105" s="56"/>
      <c r="AQ1105" s="56"/>
      <c r="AR1105" s="56"/>
      <c r="AS1105" s="56"/>
      <c r="AT1105" s="56"/>
      <c r="AU1105" s="56"/>
      <c r="AV1105" s="56"/>
      <c r="AW1105" s="56"/>
      <c r="AX1105" s="56">
        <v>1005020101</v>
      </c>
      <c r="AY1105" s="56">
        <v>1005020101</v>
      </c>
      <c r="AZ1105" s="56"/>
      <c r="BA1105" s="56"/>
      <c r="BB1105" s="56"/>
      <c r="BC1105" s="56"/>
      <c r="BD1105" s="56"/>
      <c r="BE1105" s="56"/>
      <c r="BF1105" s="56"/>
      <c r="BG1105" s="56"/>
      <c r="BH1105" s="56"/>
      <c r="BI1105" s="56"/>
      <c r="BJ1105" s="56"/>
      <c r="BK1105" s="56"/>
      <c r="BL1105" s="56"/>
      <c r="BM1105" s="56"/>
      <c r="BN1105" s="56"/>
      <c r="BO1105" s="56"/>
      <c r="BP1105" s="56"/>
      <c r="BQ1105" s="56"/>
      <c r="BR1105" s="56"/>
      <c r="BS1105" s="56"/>
      <c r="BT1105" s="56"/>
      <c r="BU1105" s="56"/>
      <c r="BV1105" s="56"/>
      <c r="BW1105" s="56"/>
      <c r="BX1105" s="56"/>
      <c r="BY1105" s="83"/>
    </row>
    <row r="1106" spans="1:77" s="202" customFormat="1" x14ac:dyDescent="0.15">
      <c r="A1106" s="54">
        <v>1005020032</v>
      </c>
      <c r="B1106" s="200" t="s">
        <v>807</v>
      </c>
      <c r="C1106" s="51" t="s">
        <v>100</v>
      </c>
      <c r="D1106" s="51"/>
      <c r="E1106" s="51" t="s">
        <v>83</v>
      </c>
      <c r="F1106" s="51">
        <v>60000</v>
      </c>
      <c r="G1106" s="51"/>
      <c r="H1106" s="51"/>
      <c r="I1106" s="51"/>
      <c r="J1106" s="201"/>
      <c r="K1106" s="201"/>
      <c r="L1106" s="201"/>
      <c r="M1106" s="201" t="s">
        <v>101</v>
      </c>
      <c r="N1106" s="201"/>
      <c r="O1106" s="51" t="s">
        <v>79</v>
      </c>
      <c r="P1106" s="56" t="s">
        <v>80</v>
      </c>
      <c r="Q1106" s="56">
        <v>230</v>
      </c>
      <c r="R1106" s="203">
        <v>2500</v>
      </c>
      <c r="S1106" s="56"/>
      <c r="T1106" s="56"/>
      <c r="U1106" s="56"/>
      <c r="V1106" s="56"/>
      <c r="W1106" s="56"/>
      <c r="X1106" s="56"/>
      <c r="Y1106" s="56"/>
      <c r="Z1106" s="56"/>
      <c r="AA1106" s="56"/>
      <c r="AB1106" s="56"/>
      <c r="AC1106" s="56"/>
      <c r="AD1106" s="56"/>
      <c r="AE1106" s="56"/>
      <c r="AF1106" s="56"/>
      <c r="AG1106" s="56"/>
      <c r="AH1106" s="56"/>
      <c r="AI1106" s="56"/>
      <c r="AJ1106" s="56" t="s">
        <v>90</v>
      </c>
      <c r="AK1106" s="56"/>
      <c r="AL1106" s="56"/>
      <c r="AM1106" s="56"/>
      <c r="AN1106" s="56"/>
      <c r="AO1106" s="56"/>
      <c r="AP1106" s="56"/>
      <c r="AQ1106" s="56"/>
      <c r="AR1106" s="56"/>
      <c r="AS1106" s="56"/>
      <c r="AT1106" s="56"/>
      <c r="AU1106" s="56"/>
      <c r="AV1106" s="56"/>
      <c r="AW1106" s="56"/>
      <c r="AX1106" s="56">
        <v>1005020101</v>
      </c>
      <c r="AY1106" s="56">
        <v>1005020101</v>
      </c>
      <c r="AZ1106" s="56"/>
      <c r="BA1106" s="56"/>
      <c r="BB1106" s="56"/>
      <c r="BC1106" s="56"/>
      <c r="BD1106" s="56"/>
      <c r="BE1106" s="56"/>
      <c r="BF1106" s="56"/>
      <c r="BG1106" s="56"/>
      <c r="BH1106" s="56"/>
      <c r="BI1106" s="56"/>
      <c r="BJ1106" s="56"/>
      <c r="BK1106" s="56"/>
      <c r="BL1106" s="56"/>
      <c r="BM1106" s="56"/>
      <c r="BN1106" s="56"/>
      <c r="BO1106" s="56"/>
      <c r="BP1106" s="56"/>
      <c r="BQ1106" s="56"/>
      <c r="BR1106" s="56"/>
      <c r="BS1106" s="56"/>
      <c r="BT1106" s="56"/>
      <c r="BU1106" s="56"/>
      <c r="BV1106" s="56"/>
      <c r="BW1106" s="56"/>
      <c r="BX1106" s="56"/>
      <c r="BY1106" s="83"/>
    </row>
    <row r="1107" spans="1:77" s="202" customFormat="1" x14ac:dyDescent="0.15">
      <c r="A1107" s="54">
        <v>1005020042</v>
      </c>
      <c r="B1107" s="200" t="s">
        <v>807</v>
      </c>
      <c r="C1107" s="51" t="s">
        <v>100</v>
      </c>
      <c r="D1107" s="51"/>
      <c r="E1107" s="51" t="s">
        <v>83</v>
      </c>
      <c r="F1107" s="51">
        <v>60000</v>
      </c>
      <c r="G1107" s="51"/>
      <c r="H1107" s="51"/>
      <c r="I1107" s="51"/>
      <c r="J1107" s="201"/>
      <c r="K1107" s="201"/>
      <c r="L1107" s="201"/>
      <c r="M1107" s="201" t="s">
        <v>101</v>
      </c>
      <c r="N1107" s="201"/>
      <c r="O1107" s="51" t="s">
        <v>79</v>
      </c>
      <c r="P1107" s="56" t="s">
        <v>80</v>
      </c>
      <c r="Q1107" s="56">
        <v>280</v>
      </c>
      <c r="R1107" s="203">
        <v>2500</v>
      </c>
      <c r="S1107" s="56"/>
      <c r="T1107" s="56"/>
      <c r="U1107" s="56"/>
      <c r="V1107" s="56"/>
      <c r="W1107" s="56"/>
      <c r="X1107" s="56"/>
      <c r="Y1107" s="56"/>
      <c r="Z1107" s="56"/>
      <c r="AA1107" s="56"/>
      <c r="AB1107" s="56"/>
      <c r="AC1107" s="56"/>
      <c r="AD1107" s="56"/>
      <c r="AE1107" s="56"/>
      <c r="AF1107" s="56"/>
      <c r="AG1107" s="56"/>
      <c r="AH1107" s="56"/>
      <c r="AI1107" s="56"/>
      <c r="AJ1107" s="56" t="s">
        <v>90</v>
      </c>
      <c r="AK1107" s="56"/>
      <c r="AL1107" s="56"/>
      <c r="AM1107" s="56"/>
      <c r="AN1107" s="56"/>
      <c r="AO1107" s="56"/>
      <c r="AP1107" s="56"/>
      <c r="AQ1107" s="56"/>
      <c r="AR1107" s="56"/>
      <c r="AS1107" s="56"/>
      <c r="AT1107" s="56"/>
      <c r="AU1107" s="56"/>
      <c r="AV1107" s="56"/>
      <c r="AW1107" s="56"/>
      <c r="AX1107" s="56">
        <v>1005020101</v>
      </c>
      <c r="AY1107" s="56">
        <v>1005020101</v>
      </c>
      <c r="AZ1107" s="56"/>
      <c r="BA1107" s="56"/>
      <c r="BB1107" s="56"/>
      <c r="BC1107" s="56"/>
      <c r="BD1107" s="56"/>
      <c r="BE1107" s="56"/>
      <c r="BF1107" s="56"/>
      <c r="BG1107" s="56"/>
      <c r="BH1107" s="56"/>
      <c r="BI1107" s="56"/>
      <c r="BJ1107" s="56"/>
      <c r="BK1107" s="56"/>
      <c r="BL1107" s="56"/>
      <c r="BM1107" s="56"/>
      <c r="BN1107" s="56"/>
      <c r="BO1107" s="56"/>
      <c r="BP1107" s="56"/>
      <c r="BQ1107" s="56"/>
      <c r="BR1107" s="56"/>
      <c r="BS1107" s="56"/>
      <c r="BT1107" s="56"/>
      <c r="BU1107" s="56"/>
      <c r="BV1107" s="56"/>
      <c r="BW1107" s="56"/>
      <c r="BX1107" s="56"/>
      <c r="BY1107" s="83"/>
    </row>
    <row r="1108" spans="1:77" s="202" customFormat="1" x14ac:dyDescent="0.15">
      <c r="A1108" s="54">
        <v>1005040011</v>
      </c>
      <c r="B1108" s="200" t="s">
        <v>430</v>
      </c>
      <c r="C1108" s="51" t="s">
        <v>89</v>
      </c>
      <c r="D1108" s="51"/>
      <c r="E1108" s="51" t="s">
        <v>78</v>
      </c>
      <c r="F1108" s="51"/>
      <c r="G1108" s="51"/>
      <c r="H1108" s="51"/>
      <c r="I1108" s="51"/>
      <c r="J1108" s="201"/>
      <c r="K1108" s="201"/>
      <c r="L1108" s="201"/>
      <c r="M1108" s="201"/>
      <c r="N1108" s="201"/>
      <c r="O1108" s="51" t="s">
        <v>90</v>
      </c>
      <c r="P1108" s="56"/>
      <c r="Q1108" s="56"/>
      <c r="R1108" s="56"/>
      <c r="S1108" s="56"/>
      <c r="T1108" s="56"/>
      <c r="U1108" s="56"/>
      <c r="V1108" s="56"/>
      <c r="W1108" s="56"/>
      <c r="X1108" s="56"/>
      <c r="Y1108" s="56"/>
      <c r="Z1108" s="56"/>
      <c r="AA1108" s="56"/>
      <c r="AB1108" s="56"/>
      <c r="AC1108" s="56"/>
      <c r="AD1108" s="56">
        <v>1005040101</v>
      </c>
      <c r="AE1108" s="56"/>
      <c r="AF1108" s="56"/>
      <c r="AG1108" s="56"/>
      <c r="AH1108" s="56"/>
      <c r="AI1108" s="56"/>
      <c r="AJ1108" s="51" t="s">
        <v>90</v>
      </c>
      <c r="AK1108" s="56"/>
      <c r="AL1108" s="56"/>
      <c r="AM1108" s="56"/>
      <c r="AN1108" s="56"/>
      <c r="AO1108" s="56"/>
      <c r="AP1108" s="56"/>
      <c r="AQ1108" s="56"/>
      <c r="AR1108" s="56"/>
      <c r="AS1108" s="56"/>
      <c r="AT1108" s="56"/>
      <c r="AU1108" s="56"/>
      <c r="AV1108" s="56"/>
      <c r="AW1108" s="56"/>
      <c r="AX1108" s="56"/>
      <c r="AY1108" s="56">
        <v>1005040201</v>
      </c>
      <c r="AZ1108" s="56"/>
      <c r="BA1108" s="56"/>
      <c r="BB1108" s="56"/>
      <c r="BC1108" s="56"/>
      <c r="BD1108" s="56"/>
      <c r="BE1108" s="56"/>
      <c r="BF1108" s="56"/>
      <c r="BG1108" s="56"/>
      <c r="BH1108" s="56"/>
      <c r="BI1108" s="56"/>
      <c r="BJ1108" s="56"/>
      <c r="BK1108" s="56"/>
      <c r="BL1108" s="56"/>
      <c r="BM1108" s="56"/>
      <c r="BN1108" s="56"/>
      <c r="BO1108" s="56"/>
      <c r="BP1108" s="56"/>
      <c r="BQ1108" s="56"/>
      <c r="BR1108" s="56"/>
      <c r="BS1108" s="56"/>
      <c r="BT1108" s="56"/>
      <c r="BU1108" s="56"/>
      <c r="BV1108" s="56"/>
      <c r="BW1108" s="56"/>
      <c r="BX1108" s="56"/>
      <c r="BY1108" s="83"/>
    </row>
    <row r="1109" spans="1:77" s="202" customFormat="1" x14ac:dyDescent="0.15">
      <c r="A1109" s="54">
        <v>1005040021</v>
      </c>
      <c r="B1109" s="200" t="s">
        <v>430</v>
      </c>
      <c r="C1109" s="51" t="s">
        <v>89</v>
      </c>
      <c r="D1109" s="51"/>
      <c r="E1109" s="51" t="s">
        <v>78</v>
      </c>
      <c r="F1109" s="51"/>
      <c r="G1109" s="51"/>
      <c r="H1109" s="51"/>
      <c r="I1109" s="51"/>
      <c r="J1109" s="201"/>
      <c r="K1109" s="201"/>
      <c r="L1109" s="201"/>
      <c r="M1109" s="201"/>
      <c r="N1109" s="201"/>
      <c r="O1109" s="51" t="s">
        <v>90</v>
      </c>
      <c r="P1109" s="56"/>
      <c r="Q1109" s="56"/>
      <c r="R1109" s="56"/>
      <c r="S1109" s="56"/>
      <c r="T1109" s="56"/>
      <c r="U1109" s="56"/>
      <c r="V1109" s="56"/>
      <c r="W1109" s="56"/>
      <c r="X1109" s="56"/>
      <c r="Y1109" s="56"/>
      <c r="Z1109" s="56"/>
      <c r="AA1109" s="56"/>
      <c r="AB1109" s="56"/>
      <c r="AC1109" s="56"/>
      <c r="AD1109" s="56">
        <v>1005040102</v>
      </c>
      <c r="AE1109" s="56"/>
      <c r="AF1109" s="56"/>
      <c r="AG1109" s="56"/>
      <c r="AH1109" s="56"/>
      <c r="AI1109" s="56"/>
      <c r="AJ1109" s="51" t="s">
        <v>90</v>
      </c>
      <c r="AK1109" s="56"/>
      <c r="AL1109" s="56"/>
      <c r="AM1109" s="56"/>
      <c r="AN1109" s="56"/>
      <c r="AO1109" s="56"/>
      <c r="AP1109" s="56"/>
      <c r="AQ1109" s="56"/>
      <c r="AR1109" s="56"/>
      <c r="AS1109" s="56"/>
      <c r="AT1109" s="56"/>
      <c r="AU1109" s="56"/>
      <c r="AV1109" s="56"/>
      <c r="AW1109" s="56"/>
      <c r="AX1109" s="56"/>
      <c r="AY1109" s="56">
        <v>1005040202</v>
      </c>
      <c r="AZ1109" s="56"/>
      <c r="BA1109" s="56"/>
      <c r="BB1109" s="56"/>
      <c r="BC1109" s="56"/>
      <c r="BD1109" s="56"/>
      <c r="BE1109" s="56"/>
      <c r="BF1109" s="56"/>
      <c r="BG1109" s="56"/>
      <c r="BH1109" s="56"/>
      <c r="BI1109" s="56"/>
      <c r="BJ1109" s="56"/>
      <c r="BK1109" s="56"/>
      <c r="BL1109" s="56"/>
      <c r="BM1109" s="56"/>
      <c r="BN1109" s="56"/>
      <c r="BO1109" s="56"/>
      <c r="BP1109" s="56"/>
      <c r="BQ1109" s="56"/>
      <c r="BR1109" s="56"/>
      <c r="BS1109" s="56"/>
      <c r="BT1109" s="56"/>
      <c r="BU1109" s="56"/>
      <c r="BV1109" s="56"/>
      <c r="BW1109" s="56"/>
      <c r="BX1109" s="56"/>
      <c r="BY1109" s="83"/>
    </row>
    <row r="1110" spans="1:77" s="202" customFormat="1" x14ac:dyDescent="0.15">
      <c r="A1110" s="54">
        <v>1005040012</v>
      </c>
      <c r="B1110" s="200" t="s">
        <v>816</v>
      </c>
      <c r="C1110" s="51" t="s">
        <v>89</v>
      </c>
      <c r="D1110" s="51"/>
      <c r="E1110" s="51" t="s">
        <v>78</v>
      </c>
      <c r="F1110" s="51"/>
      <c r="G1110" s="51"/>
      <c r="H1110" s="51"/>
      <c r="I1110" s="51"/>
      <c r="J1110" s="201"/>
      <c r="K1110" s="201"/>
      <c r="L1110" s="201"/>
      <c r="M1110" s="201"/>
      <c r="N1110" s="201"/>
      <c r="O1110" s="51" t="s">
        <v>491</v>
      </c>
      <c r="P1110" s="56"/>
      <c r="Q1110" s="56"/>
      <c r="R1110" s="56"/>
      <c r="S1110" s="56"/>
      <c r="T1110" s="56"/>
      <c r="U1110" s="56"/>
      <c r="V1110" s="56"/>
      <c r="W1110" s="56"/>
      <c r="X1110" s="56"/>
      <c r="Y1110" s="56"/>
      <c r="Z1110" s="56"/>
      <c r="AA1110" s="56"/>
      <c r="AB1110" s="56"/>
      <c r="AC1110" s="56"/>
      <c r="AD1110" s="56"/>
      <c r="AE1110" s="56" t="s">
        <v>817</v>
      </c>
      <c r="AF1110" s="56">
        <v>-10000</v>
      </c>
      <c r="AG1110" s="56"/>
      <c r="AH1110" s="56"/>
      <c r="AI1110" s="56"/>
      <c r="AJ1110" s="56"/>
      <c r="AK1110" s="56"/>
      <c r="AL1110" s="56"/>
      <c r="AM1110" s="56"/>
      <c r="AN1110" s="56"/>
      <c r="AO1110" s="56"/>
      <c r="AP1110" s="56"/>
      <c r="AQ1110" s="56"/>
      <c r="AR1110" s="56"/>
      <c r="AS1110" s="56"/>
      <c r="AT1110" s="56"/>
      <c r="AU1110" s="56"/>
      <c r="AV1110" s="56"/>
      <c r="AW1110" s="56"/>
      <c r="AX1110" s="56"/>
      <c r="AY1110" s="56"/>
      <c r="AZ1110" s="56"/>
      <c r="BA1110" s="56"/>
      <c r="BB1110" s="56"/>
      <c r="BC1110" s="56"/>
      <c r="BD1110" s="56"/>
      <c r="BE1110" s="56"/>
      <c r="BF1110" s="56"/>
      <c r="BG1110" s="56"/>
      <c r="BH1110" s="56"/>
      <c r="BI1110" s="56"/>
      <c r="BJ1110" s="56"/>
      <c r="BK1110" s="56"/>
      <c r="BL1110" s="56"/>
      <c r="BM1110" s="56"/>
      <c r="BN1110" s="56"/>
      <c r="BO1110" s="56"/>
      <c r="BP1110" s="56"/>
      <c r="BQ1110" s="56"/>
      <c r="BR1110" s="56"/>
      <c r="BS1110" s="56"/>
      <c r="BT1110" s="56"/>
      <c r="BU1110" s="56"/>
      <c r="BV1110" s="56"/>
      <c r="BW1110" s="56"/>
      <c r="BX1110" s="56"/>
      <c r="BY1110" s="83"/>
    </row>
    <row r="1111" spans="1:77" s="202" customFormat="1" x14ac:dyDescent="0.15">
      <c r="A1111" s="54">
        <v>1005003011</v>
      </c>
      <c r="B1111" s="200" t="s">
        <v>813</v>
      </c>
      <c r="C1111" s="51" t="s">
        <v>77</v>
      </c>
      <c r="D1111" s="51"/>
      <c r="E1111" s="51" t="s">
        <v>78</v>
      </c>
      <c r="F1111" s="51"/>
      <c r="G1111" s="51"/>
      <c r="H1111" s="51"/>
      <c r="I1111" s="51"/>
      <c r="J1111" s="201"/>
      <c r="K1111" s="201"/>
      <c r="L1111" s="201"/>
      <c r="M1111" s="201"/>
      <c r="N1111" s="201"/>
      <c r="O1111" s="51" t="s">
        <v>79</v>
      </c>
      <c r="P1111" s="56" t="s">
        <v>80</v>
      </c>
      <c r="Q1111" s="56">
        <v>50</v>
      </c>
      <c r="R1111" s="56">
        <v>10000</v>
      </c>
      <c r="S1111" s="56"/>
      <c r="T1111" s="56">
        <v>10000</v>
      </c>
      <c r="U1111" s="56"/>
      <c r="V1111" s="56" t="s">
        <v>101</v>
      </c>
      <c r="W1111" s="56"/>
      <c r="X1111" s="56"/>
      <c r="Y1111" s="56"/>
      <c r="Z1111" s="56"/>
      <c r="AA1111" s="56"/>
      <c r="AB1111" s="56"/>
      <c r="AC1111" s="56"/>
      <c r="AD1111" s="56"/>
      <c r="AE1111" s="56"/>
      <c r="AF1111" s="56"/>
      <c r="AG1111" s="56"/>
      <c r="AH1111" s="56"/>
      <c r="AI1111" s="56"/>
      <c r="AJ1111" s="56"/>
      <c r="AK1111" s="56"/>
      <c r="AL1111" s="56"/>
      <c r="AM1111" s="56"/>
      <c r="AN1111" s="56"/>
      <c r="AO1111" s="56"/>
      <c r="AP1111" s="56"/>
      <c r="AQ1111" s="56"/>
      <c r="AR1111" s="56"/>
      <c r="AS1111" s="56"/>
      <c r="AT1111" s="56"/>
      <c r="AU1111" s="56"/>
      <c r="AV1111" s="56"/>
      <c r="AW1111" s="56"/>
      <c r="AX1111" s="56"/>
      <c r="AY1111" s="56"/>
      <c r="AZ1111" s="56"/>
      <c r="BA1111" s="56"/>
      <c r="BB1111" s="56"/>
      <c r="BC1111" s="56"/>
      <c r="BD1111" s="56"/>
      <c r="BE1111" s="56"/>
      <c r="BF1111" s="56"/>
      <c r="BG1111" s="56"/>
      <c r="BH1111" s="56"/>
      <c r="BI1111" s="56"/>
      <c r="BJ1111" s="56"/>
      <c r="BK1111" s="56"/>
      <c r="BL1111" s="56"/>
      <c r="BM1111" s="56"/>
      <c r="BN1111" s="56"/>
      <c r="BO1111" s="56"/>
      <c r="BP1111" s="56"/>
      <c r="BQ1111" s="56"/>
      <c r="BR1111" s="56"/>
      <c r="BS1111" s="56"/>
      <c r="BT1111" s="56"/>
      <c r="BU1111" s="56"/>
      <c r="BV1111" s="56"/>
      <c r="BW1111" s="56"/>
      <c r="BX1111" s="56"/>
      <c r="BY1111" s="83"/>
    </row>
    <row r="1112" spans="1:77" s="202" customFormat="1" x14ac:dyDescent="0.15">
      <c r="A1112" s="54">
        <v>1005003021</v>
      </c>
      <c r="B1112" s="200" t="s">
        <v>813</v>
      </c>
      <c r="C1112" s="51" t="s">
        <v>77</v>
      </c>
      <c r="D1112" s="51"/>
      <c r="E1112" s="51" t="s">
        <v>78</v>
      </c>
      <c r="F1112" s="51"/>
      <c r="G1112" s="51"/>
      <c r="H1112" s="51"/>
      <c r="I1112" s="51"/>
      <c r="J1112" s="201"/>
      <c r="K1112" s="201"/>
      <c r="L1112" s="201"/>
      <c r="M1112" s="201"/>
      <c r="N1112" s="201"/>
      <c r="O1112" s="51" t="s">
        <v>79</v>
      </c>
      <c r="P1112" s="56" t="s">
        <v>80</v>
      </c>
      <c r="Q1112" s="56">
        <v>100</v>
      </c>
      <c r="R1112" s="56">
        <v>10000</v>
      </c>
      <c r="S1112" s="56"/>
      <c r="T1112" s="56">
        <v>10000</v>
      </c>
      <c r="U1112" s="56"/>
      <c r="V1112" s="56" t="s">
        <v>101</v>
      </c>
      <c r="W1112" s="56"/>
      <c r="X1112" s="56"/>
      <c r="Y1112" s="56"/>
      <c r="Z1112" s="56"/>
      <c r="AA1112" s="56"/>
      <c r="AB1112" s="56"/>
      <c r="AC1112" s="56"/>
      <c r="AD1112" s="56"/>
      <c r="AE1112" s="56"/>
      <c r="AF1112" s="56"/>
      <c r="AG1112" s="56"/>
      <c r="AH1112" s="56"/>
      <c r="AI1112" s="56"/>
      <c r="AJ1112" s="56"/>
      <c r="AK1112" s="56"/>
      <c r="AL1112" s="56"/>
      <c r="AM1112" s="56"/>
      <c r="AN1112" s="56"/>
      <c r="AO1112" s="56"/>
      <c r="AP1112" s="56"/>
      <c r="AQ1112" s="56"/>
      <c r="AR1112" s="56"/>
      <c r="AS1112" s="56"/>
      <c r="AT1112" s="56"/>
      <c r="AU1112" s="56"/>
      <c r="AV1112" s="56"/>
      <c r="AW1112" s="56"/>
      <c r="AX1112" s="56"/>
      <c r="AY1112" s="56"/>
      <c r="AZ1112" s="56"/>
      <c r="BA1112" s="56"/>
      <c r="BB1112" s="56"/>
      <c r="BC1112" s="56"/>
      <c r="BD1112" s="56"/>
      <c r="BE1112" s="56"/>
      <c r="BF1112" s="56"/>
      <c r="BG1112" s="56"/>
      <c r="BH1112" s="56"/>
      <c r="BI1112" s="56"/>
      <c r="BJ1112" s="56"/>
      <c r="BK1112" s="56"/>
      <c r="BL1112" s="56"/>
      <c r="BM1112" s="56"/>
      <c r="BN1112" s="56"/>
      <c r="BO1112" s="56"/>
      <c r="BP1112" s="56"/>
      <c r="BQ1112" s="56"/>
      <c r="BR1112" s="56"/>
      <c r="BS1112" s="56"/>
      <c r="BT1112" s="56"/>
      <c r="BU1112" s="56"/>
      <c r="BV1112" s="56"/>
      <c r="BW1112" s="56"/>
      <c r="BX1112" s="56"/>
      <c r="BY1112" s="83"/>
    </row>
    <row r="1113" spans="1:77" s="202" customFormat="1" x14ac:dyDescent="0.15">
      <c r="A1113" s="54">
        <v>1005003013</v>
      </c>
      <c r="B1113" s="200" t="s">
        <v>814</v>
      </c>
      <c r="C1113" s="51" t="s">
        <v>782</v>
      </c>
      <c r="D1113" s="51"/>
      <c r="E1113" s="51" t="s">
        <v>78</v>
      </c>
      <c r="F1113" s="51"/>
      <c r="G1113" s="51"/>
      <c r="H1113" s="51"/>
      <c r="I1113" s="51"/>
      <c r="J1113" s="201"/>
      <c r="K1113" s="201"/>
      <c r="L1113" s="201"/>
      <c r="M1113" s="201"/>
      <c r="N1113" s="201"/>
      <c r="O1113" s="51" t="s">
        <v>491</v>
      </c>
      <c r="P1113" s="56"/>
      <c r="Q1113" s="56"/>
      <c r="R1113" s="56"/>
      <c r="S1113" s="56"/>
      <c r="T1113" s="56"/>
      <c r="U1113" s="56"/>
      <c r="V1113" s="56"/>
      <c r="W1113" s="56"/>
      <c r="X1113" s="56"/>
      <c r="Y1113" s="56"/>
      <c r="Z1113" s="56"/>
      <c r="AA1113" s="56"/>
      <c r="AB1113" s="56"/>
      <c r="AC1113" s="56"/>
      <c r="AD1113" s="56"/>
      <c r="AE1113" s="56" t="s">
        <v>784</v>
      </c>
      <c r="AF1113" s="56">
        <v>1</v>
      </c>
      <c r="AG1113" s="56"/>
      <c r="AH1113" s="56"/>
      <c r="AI1113" s="56"/>
      <c r="AJ1113" s="56"/>
      <c r="AK1113" s="56"/>
      <c r="AL1113" s="56"/>
      <c r="AM1113" s="56"/>
      <c r="AN1113" s="56"/>
      <c r="AO1113" s="56"/>
      <c r="AP1113" s="56"/>
      <c r="AQ1113" s="56"/>
      <c r="AR1113" s="56"/>
      <c r="AS1113" s="56"/>
      <c r="AT1113" s="56"/>
      <c r="AU1113" s="56"/>
      <c r="AV1113" s="56"/>
      <c r="AW1113" s="56"/>
      <c r="AX1113" s="56"/>
      <c r="AY1113" s="56"/>
      <c r="AZ1113" s="56"/>
      <c r="BA1113" s="56"/>
      <c r="BB1113" s="56"/>
      <c r="BC1113" s="56"/>
      <c r="BD1113" s="56"/>
      <c r="BE1113" s="56"/>
      <c r="BF1113" s="56"/>
      <c r="BG1113" s="56"/>
      <c r="BH1113" s="56"/>
      <c r="BI1113" s="56"/>
      <c r="BJ1113" s="56"/>
      <c r="BK1113" s="56"/>
      <c r="BL1113" s="56"/>
      <c r="BM1113" s="56"/>
      <c r="BN1113" s="56"/>
      <c r="BO1113" s="56"/>
      <c r="BP1113" s="56"/>
      <c r="BQ1113" s="56"/>
      <c r="BR1113" s="56"/>
      <c r="BS1113" s="56"/>
      <c r="BT1113" s="56"/>
      <c r="BU1113" s="56"/>
      <c r="BV1113" s="56"/>
      <c r="BW1113" s="56"/>
      <c r="BX1113" s="56"/>
      <c r="BY1113" s="83"/>
    </row>
    <row r="1114" spans="1:77" s="202" customFormat="1" x14ac:dyDescent="0.15">
      <c r="A1114" s="54">
        <v>1005003014</v>
      </c>
      <c r="B1114" s="200" t="s">
        <v>815</v>
      </c>
      <c r="C1114" s="51" t="s">
        <v>782</v>
      </c>
      <c r="D1114" s="51"/>
      <c r="E1114" s="51" t="s">
        <v>793</v>
      </c>
      <c r="F1114" s="51"/>
      <c r="G1114" s="51"/>
      <c r="H1114" s="51"/>
      <c r="I1114" s="51"/>
      <c r="J1114" s="201"/>
      <c r="K1114" s="201"/>
      <c r="L1114" s="201"/>
      <c r="M1114" s="201"/>
      <c r="N1114" s="201"/>
      <c r="O1114" s="51" t="s">
        <v>90</v>
      </c>
      <c r="P1114" s="56"/>
      <c r="Q1114" s="56"/>
      <c r="R1114" s="203"/>
      <c r="S1114" s="56"/>
      <c r="T1114" s="56"/>
      <c r="U1114" s="56"/>
      <c r="V1114" s="56"/>
      <c r="W1114" s="56"/>
      <c r="X1114" s="56"/>
      <c r="Y1114" s="56"/>
      <c r="Z1114" s="56"/>
      <c r="AA1114" s="56"/>
      <c r="AB1114" s="56"/>
      <c r="AC1114" s="56"/>
      <c r="AD1114" s="56">
        <v>1005003101</v>
      </c>
      <c r="AE1114" s="56"/>
      <c r="AF1114" s="56"/>
      <c r="AG1114" s="56"/>
      <c r="AH1114" s="56"/>
      <c r="AI1114" s="56"/>
      <c r="AJ1114" s="56"/>
      <c r="AK1114" s="56"/>
      <c r="AL1114" s="56"/>
      <c r="AM1114" s="56"/>
      <c r="AN1114" s="56"/>
      <c r="AO1114" s="56"/>
      <c r="AP1114" s="56"/>
      <c r="AQ1114" s="56"/>
      <c r="AR1114" s="56"/>
      <c r="AS1114" s="56"/>
      <c r="AT1114" s="56"/>
      <c r="AU1114" s="56"/>
      <c r="AV1114" s="56"/>
      <c r="AW1114" s="56"/>
      <c r="AX1114" s="56"/>
      <c r="AY1114" s="56"/>
      <c r="AZ1114" s="56"/>
      <c r="BA1114" s="56"/>
      <c r="BB1114" s="56"/>
      <c r="BC1114" s="56"/>
      <c r="BD1114" s="56"/>
      <c r="BE1114" s="56"/>
      <c r="BF1114" s="56"/>
      <c r="BG1114" s="56"/>
      <c r="BH1114" s="56"/>
      <c r="BI1114" s="56"/>
      <c r="BJ1114" s="56"/>
      <c r="BK1114" s="56"/>
      <c r="BL1114" s="56"/>
      <c r="BM1114" s="56"/>
      <c r="BN1114" s="56"/>
      <c r="BO1114" s="56"/>
      <c r="BP1114" s="56"/>
      <c r="BQ1114" s="56"/>
      <c r="BR1114" s="56"/>
      <c r="BS1114" s="56"/>
      <c r="BT1114" s="56"/>
      <c r="BU1114" s="56"/>
      <c r="BV1114" s="56"/>
      <c r="BW1114" s="56"/>
      <c r="BX1114" s="56"/>
      <c r="BY1114" s="83"/>
    </row>
    <row r="1115" spans="1:77" s="202" customFormat="1" x14ac:dyDescent="0.15">
      <c r="A1115" s="54">
        <v>1005100011</v>
      </c>
      <c r="B1115" s="200" t="s">
        <v>818</v>
      </c>
      <c r="C1115" s="51" t="s">
        <v>795</v>
      </c>
      <c r="D1115" s="51"/>
      <c r="E1115" s="51" t="s">
        <v>793</v>
      </c>
      <c r="F1115" s="51"/>
      <c r="G1115" s="51"/>
      <c r="H1115" s="51"/>
      <c r="I1115" s="51"/>
      <c r="J1115" s="201"/>
      <c r="K1115" s="201"/>
      <c r="L1115" s="201"/>
      <c r="M1115" s="201"/>
      <c r="N1115" s="201"/>
      <c r="O1115" s="51" t="s">
        <v>90</v>
      </c>
      <c r="P1115" s="56"/>
      <c r="Q1115" s="56"/>
      <c r="R1115" s="203"/>
      <c r="S1115" s="56"/>
      <c r="T1115" s="56"/>
      <c r="U1115" s="56"/>
      <c r="V1115" s="56"/>
      <c r="W1115" s="56"/>
      <c r="X1115" s="56"/>
      <c r="Y1115" s="56"/>
      <c r="Z1115" s="56"/>
      <c r="AA1115" s="56"/>
      <c r="AB1115" s="56"/>
      <c r="AC1115" s="56"/>
      <c r="AD1115" s="56">
        <v>1005100101</v>
      </c>
      <c r="AE1115" s="56"/>
      <c r="AF1115" s="56"/>
      <c r="AG1115" s="56"/>
      <c r="AH1115" s="56"/>
      <c r="AI1115" s="56"/>
      <c r="AJ1115" s="56"/>
      <c r="AK1115" s="56"/>
      <c r="AL1115" s="56"/>
      <c r="AM1115" s="56"/>
      <c r="AN1115" s="56"/>
      <c r="AO1115" s="56"/>
      <c r="AP1115" s="56"/>
      <c r="AQ1115" s="56"/>
      <c r="AR1115" s="56"/>
      <c r="AS1115" s="56"/>
      <c r="AT1115" s="56"/>
      <c r="AU1115" s="56"/>
      <c r="AV1115" s="56"/>
      <c r="AW1115" s="56"/>
      <c r="AX1115" s="56"/>
      <c r="AY1115" s="56"/>
      <c r="AZ1115" s="56"/>
      <c r="BA1115" s="56"/>
      <c r="BB1115" s="56"/>
      <c r="BC1115" s="56"/>
      <c r="BD1115" s="56"/>
      <c r="BE1115" s="56"/>
      <c r="BF1115" s="56"/>
      <c r="BG1115" s="56"/>
      <c r="BH1115" s="56"/>
      <c r="BI1115" s="56"/>
      <c r="BJ1115" s="56"/>
      <c r="BK1115" s="56"/>
      <c r="BL1115" s="56"/>
      <c r="BM1115" s="56"/>
      <c r="BN1115" s="56"/>
      <c r="BO1115" s="56"/>
      <c r="BP1115" s="56"/>
      <c r="BQ1115" s="56"/>
      <c r="BR1115" s="56"/>
      <c r="BS1115" s="56"/>
      <c r="BT1115" s="56"/>
      <c r="BU1115" s="56"/>
      <c r="BV1115" s="56"/>
      <c r="BW1115" s="56"/>
      <c r="BX1115" s="56"/>
      <c r="BY1115" s="83"/>
    </row>
    <row r="1116" spans="1:77" s="202" customFormat="1" x14ac:dyDescent="0.15">
      <c r="A1116" s="54">
        <v>1005100021</v>
      </c>
      <c r="B1116" s="200" t="s">
        <v>818</v>
      </c>
      <c r="C1116" s="51" t="s">
        <v>795</v>
      </c>
      <c r="D1116" s="51"/>
      <c r="E1116" s="51" t="s">
        <v>793</v>
      </c>
      <c r="F1116" s="51"/>
      <c r="G1116" s="51"/>
      <c r="H1116" s="51"/>
      <c r="I1116" s="51"/>
      <c r="J1116" s="201"/>
      <c r="K1116" s="201"/>
      <c r="L1116" s="201"/>
      <c r="M1116" s="201"/>
      <c r="N1116" s="201"/>
      <c r="O1116" s="51" t="s">
        <v>90</v>
      </c>
      <c r="P1116" s="56"/>
      <c r="Q1116" s="56"/>
      <c r="R1116" s="203"/>
      <c r="S1116" s="56"/>
      <c r="T1116" s="56"/>
      <c r="U1116" s="56"/>
      <c r="V1116" s="56"/>
      <c r="W1116" s="56"/>
      <c r="X1116" s="56"/>
      <c r="Y1116" s="56"/>
      <c r="Z1116" s="56"/>
      <c r="AA1116" s="56"/>
      <c r="AB1116" s="56"/>
      <c r="AC1116" s="56"/>
      <c r="AD1116" s="56">
        <v>1005100102</v>
      </c>
      <c r="AE1116" s="56"/>
      <c r="AF1116" s="56"/>
      <c r="AG1116" s="56"/>
      <c r="AH1116" s="56"/>
      <c r="AI1116" s="56"/>
      <c r="AJ1116" s="56"/>
      <c r="AK1116" s="56"/>
      <c r="AL1116" s="56"/>
      <c r="AM1116" s="56"/>
      <c r="AN1116" s="56"/>
      <c r="AO1116" s="56"/>
      <c r="AP1116" s="56"/>
      <c r="AQ1116" s="56"/>
      <c r="AR1116" s="56"/>
      <c r="AS1116" s="56"/>
      <c r="AT1116" s="56"/>
      <c r="AU1116" s="56"/>
      <c r="AV1116" s="56"/>
      <c r="AW1116" s="56"/>
      <c r="AX1116" s="56"/>
      <c r="AY1116" s="56"/>
      <c r="AZ1116" s="56"/>
      <c r="BA1116" s="56"/>
      <c r="BB1116" s="56"/>
      <c r="BC1116" s="56"/>
      <c r="BD1116" s="56"/>
      <c r="BE1116" s="56"/>
      <c r="BF1116" s="56"/>
      <c r="BG1116" s="56"/>
      <c r="BH1116" s="56"/>
      <c r="BI1116" s="56"/>
      <c r="BJ1116" s="56"/>
      <c r="BK1116" s="56"/>
      <c r="BL1116" s="56"/>
      <c r="BM1116" s="56"/>
      <c r="BN1116" s="56"/>
      <c r="BO1116" s="56"/>
      <c r="BP1116" s="56"/>
      <c r="BQ1116" s="56"/>
      <c r="BR1116" s="56"/>
      <c r="BS1116" s="56"/>
      <c r="BT1116" s="56"/>
      <c r="BU1116" s="56"/>
      <c r="BV1116" s="56"/>
      <c r="BW1116" s="56"/>
      <c r="BX1116" s="56"/>
      <c r="BY1116" s="83"/>
    </row>
    <row r="1117" spans="1:77" s="202" customFormat="1" x14ac:dyDescent="0.15">
      <c r="A1117" s="54">
        <v>1005100012</v>
      </c>
      <c r="B1117" s="200" t="s">
        <v>819</v>
      </c>
      <c r="C1117" s="51" t="s">
        <v>782</v>
      </c>
      <c r="D1117" s="51"/>
      <c r="E1117" s="51" t="s">
        <v>793</v>
      </c>
      <c r="F1117" s="51"/>
      <c r="G1117" s="51"/>
      <c r="H1117" s="51"/>
      <c r="I1117" s="51"/>
      <c r="J1117" s="201"/>
      <c r="K1117" s="201"/>
      <c r="L1117" s="201"/>
      <c r="M1117" s="201"/>
      <c r="N1117" s="201"/>
      <c r="O1117" s="51" t="s">
        <v>491</v>
      </c>
      <c r="P1117" s="56"/>
      <c r="Q1117" s="56"/>
      <c r="R1117" s="203"/>
      <c r="S1117" s="56"/>
      <c r="T1117" s="56"/>
      <c r="U1117" s="56"/>
      <c r="V1117" s="56"/>
      <c r="W1117" s="56"/>
      <c r="X1117" s="56"/>
      <c r="Y1117" s="56"/>
      <c r="Z1117" s="56"/>
      <c r="AA1117" s="56"/>
      <c r="AB1117" s="56"/>
      <c r="AC1117" s="56"/>
      <c r="AD1117" s="56"/>
      <c r="AE1117" s="56" t="s">
        <v>817</v>
      </c>
      <c r="AF1117" s="56">
        <v>-10000</v>
      </c>
      <c r="AG1117" s="56"/>
      <c r="AH1117" s="56"/>
      <c r="AI1117" s="56"/>
      <c r="AJ1117" s="56"/>
      <c r="AK1117" s="56"/>
      <c r="AL1117" s="56"/>
      <c r="AM1117" s="56"/>
      <c r="AN1117" s="56"/>
      <c r="AO1117" s="56"/>
      <c r="AP1117" s="56"/>
      <c r="AQ1117" s="56"/>
      <c r="AR1117" s="56"/>
      <c r="AS1117" s="56"/>
      <c r="AT1117" s="56"/>
      <c r="AU1117" s="56"/>
      <c r="AV1117" s="56"/>
      <c r="AW1117" s="56"/>
      <c r="AX1117" s="56"/>
      <c r="AY1117" s="56"/>
      <c r="AZ1117" s="56"/>
      <c r="BA1117" s="56"/>
      <c r="BB1117" s="56"/>
      <c r="BC1117" s="56"/>
      <c r="BD1117" s="56"/>
      <c r="BE1117" s="56"/>
      <c r="BF1117" s="56"/>
      <c r="BG1117" s="56"/>
      <c r="BH1117" s="56"/>
      <c r="BI1117" s="56"/>
      <c r="BJ1117" s="56"/>
      <c r="BK1117" s="56"/>
      <c r="BL1117" s="56"/>
      <c r="BM1117" s="56"/>
      <c r="BN1117" s="56"/>
      <c r="BO1117" s="56"/>
      <c r="BP1117" s="56"/>
      <c r="BQ1117" s="56"/>
      <c r="BR1117" s="56"/>
      <c r="BS1117" s="56"/>
      <c r="BT1117" s="56"/>
      <c r="BU1117" s="56"/>
      <c r="BV1117" s="56"/>
      <c r="BW1117" s="56"/>
      <c r="BX1117" s="56"/>
      <c r="BY1117" s="83"/>
    </row>
    <row r="1118" spans="1:77" s="19" customFormat="1" x14ac:dyDescent="0.15">
      <c r="A1118" s="151">
        <v>1305001011</v>
      </c>
      <c r="B1118" s="157" t="s">
        <v>558</v>
      </c>
      <c r="C1118" s="151" t="s">
        <v>77</v>
      </c>
      <c r="D1118" s="151"/>
      <c r="E1118" s="151" t="s">
        <v>78</v>
      </c>
      <c r="F1118" s="151"/>
      <c r="G1118" s="151"/>
      <c r="H1118" s="151"/>
      <c r="I1118" s="151"/>
      <c r="J1118" s="165"/>
      <c r="K1118" s="165"/>
      <c r="L1118" s="165"/>
      <c r="M1118" s="165"/>
      <c r="N1118" s="165"/>
      <c r="O1118" s="151" t="s">
        <v>79</v>
      </c>
      <c r="P1118" s="151" t="s">
        <v>80</v>
      </c>
      <c r="Q1118" s="151"/>
      <c r="R1118" s="151">
        <v>10000</v>
      </c>
      <c r="S1118" s="151"/>
      <c r="T1118" s="151">
        <v>10000</v>
      </c>
      <c r="U1118" s="151"/>
      <c r="V1118" s="151" t="s">
        <v>101</v>
      </c>
      <c r="W1118" s="151"/>
      <c r="X1118" s="151"/>
      <c r="Y1118" s="151"/>
      <c r="Z1118" s="151"/>
      <c r="AA1118" s="151"/>
      <c r="AB1118" s="151"/>
      <c r="AC1118" s="151"/>
      <c r="AD1118" s="151"/>
      <c r="AE1118" s="151"/>
      <c r="AF1118" s="151"/>
      <c r="AG1118" s="151"/>
      <c r="AH1118" s="151"/>
      <c r="AI1118" s="151"/>
      <c r="AJ1118" s="151"/>
      <c r="AK1118" s="151"/>
      <c r="AL1118" s="151"/>
      <c r="AM1118" s="151"/>
      <c r="AN1118" s="151"/>
      <c r="AO1118" s="151"/>
      <c r="AP1118" s="151"/>
      <c r="AQ1118" s="151"/>
      <c r="AR1118" s="151"/>
      <c r="AS1118" s="151"/>
      <c r="AT1118" s="151"/>
      <c r="AU1118" s="151"/>
      <c r="AV1118" s="151"/>
      <c r="AW1118" s="151"/>
      <c r="AX1118" s="151"/>
      <c r="AY1118" s="151"/>
      <c r="AZ1118" s="151"/>
      <c r="BA1118" s="151"/>
      <c r="BB1118" s="151"/>
      <c r="BC1118" s="151"/>
      <c r="BD1118" s="151"/>
      <c r="BE1118" s="151"/>
      <c r="BF1118" s="151"/>
      <c r="BG1118" s="151"/>
      <c r="BH1118" s="151"/>
      <c r="BI1118" s="151"/>
      <c r="BJ1118" s="151"/>
      <c r="BK1118" s="151"/>
      <c r="BL1118" s="151"/>
      <c r="BM1118" s="151"/>
      <c r="BN1118" s="151"/>
      <c r="BO1118" s="151"/>
      <c r="BP1118" s="151"/>
      <c r="BQ1118" s="151"/>
      <c r="BR1118" s="151"/>
      <c r="BS1118" s="151"/>
      <c r="BT1118" s="151"/>
      <c r="BU1118" s="151"/>
      <c r="BV1118" s="151"/>
      <c r="BW1118" s="151"/>
      <c r="BX1118" s="151"/>
      <c r="BY1118" s="151"/>
    </row>
    <row r="1119" spans="1:77" s="19" customFormat="1" x14ac:dyDescent="0.15">
      <c r="A1119" s="151">
        <v>1305001012</v>
      </c>
      <c r="B1119" s="157" t="s">
        <v>559</v>
      </c>
      <c r="C1119" s="151" t="s">
        <v>77</v>
      </c>
      <c r="D1119" s="151"/>
      <c r="E1119" s="151" t="s">
        <v>425</v>
      </c>
      <c r="F1119" s="151">
        <v>40000</v>
      </c>
      <c r="G1119" s="151">
        <v>1200</v>
      </c>
      <c r="H1119" s="151"/>
      <c r="I1119" s="151"/>
      <c r="J1119" s="165"/>
      <c r="K1119" s="165"/>
      <c r="L1119" s="165"/>
      <c r="M1119" s="165"/>
      <c r="N1119" s="165"/>
      <c r="O1119" s="151" t="s">
        <v>79</v>
      </c>
      <c r="P1119" s="151" t="s">
        <v>80</v>
      </c>
      <c r="Q1119" s="151"/>
      <c r="R1119" s="151">
        <v>5000</v>
      </c>
      <c r="S1119" s="151"/>
      <c r="T1119" s="151"/>
      <c r="U1119" s="151"/>
      <c r="V1119" s="151" t="s">
        <v>101</v>
      </c>
      <c r="W1119" s="151"/>
      <c r="X1119" s="151"/>
      <c r="Y1119" s="151"/>
      <c r="Z1119" s="151"/>
      <c r="AA1119" s="151"/>
      <c r="AB1119" s="151"/>
      <c r="AC1119" s="151"/>
      <c r="AD1119" s="151"/>
      <c r="AE1119" s="151"/>
      <c r="AF1119" s="151"/>
      <c r="AG1119" s="151"/>
      <c r="AH1119" s="151"/>
      <c r="AI1119" s="151"/>
      <c r="AJ1119" s="151"/>
      <c r="AK1119" s="151"/>
      <c r="AL1119" s="151"/>
      <c r="AM1119" s="151"/>
      <c r="AN1119" s="151"/>
      <c r="AO1119" s="151"/>
      <c r="AP1119" s="151"/>
      <c r="AQ1119" s="151"/>
      <c r="AR1119" s="151"/>
      <c r="AS1119" s="151"/>
      <c r="AT1119" s="151"/>
      <c r="AU1119" s="151"/>
      <c r="AV1119" s="151"/>
      <c r="AW1119" s="151"/>
      <c r="AX1119" s="151"/>
      <c r="AY1119" s="151"/>
      <c r="AZ1119" s="151"/>
      <c r="BA1119" s="151"/>
      <c r="BB1119" s="151"/>
      <c r="BC1119" s="151"/>
      <c r="BD1119" s="151"/>
      <c r="BE1119" s="151"/>
      <c r="BF1119" s="151"/>
      <c r="BG1119" s="151"/>
      <c r="BH1119" s="151"/>
      <c r="BI1119" s="151"/>
      <c r="BJ1119" s="151"/>
      <c r="BK1119" s="151"/>
      <c r="BL1119" s="151"/>
      <c r="BM1119" s="151"/>
      <c r="BN1119" s="151"/>
      <c r="BO1119" s="151"/>
      <c r="BP1119" s="151"/>
      <c r="BQ1119" s="151"/>
      <c r="BR1119" s="151"/>
      <c r="BS1119" s="151"/>
      <c r="BT1119" s="151"/>
      <c r="BU1119" s="151"/>
      <c r="BV1119" s="151"/>
      <c r="BW1119" s="151"/>
      <c r="BX1119" s="151"/>
      <c r="BY1119" s="151"/>
    </row>
    <row r="1120" spans="1:77" s="19" customFormat="1" x14ac:dyDescent="0.15">
      <c r="A1120" s="151">
        <v>1305002011</v>
      </c>
      <c r="B1120" s="157" t="s">
        <v>560</v>
      </c>
      <c r="C1120" s="151" t="s">
        <v>77</v>
      </c>
      <c r="D1120" s="151"/>
      <c r="E1120" s="151" t="s">
        <v>78</v>
      </c>
      <c r="F1120" s="151"/>
      <c r="G1120" s="151"/>
      <c r="H1120" s="151"/>
      <c r="I1120" s="151"/>
      <c r="J1120" s="165"/>
      <c r="K1120" s="165"/>
      <c r="L1120" s="165"/>
      <c r="M1120" s="165"/>
      <c r="N1120" s="165"/>
      <c r="O1120" s="151" t="s">
        <v>79</v>
      </c>
      <c r="P1120" s="151" t="s">
        <v>80</v>
      </c>
      <c r="Q1120" s="151"/>
      <c r="R1120" s="151">
        <v>10000</v>
      </c>
      <c r="S1120" s="151"/>
      <c r="T1120" s="151">
        <v>10000</v>
      </c>
      <c r="U1120" s="151"/>
      <c r="V1120" s="151" t="s">
        <v>101</v>
      </c>
      <c r="W1120" s="151"/>
      <c r="X1120" s="151"/>
      <c r="Y1120" s="151"/>
      <c r="Z1120" s="151"/>
      <c r="AA1120" s="151"/>
      <c r="AB1120" s="151"/>
      <c r="AC1120" s="151"/>
      <c r="AD1120" s="151"/>
      <c r="AE1120" s="151"/>
      <c r="AF1120" s="151"/>
      <c r="AG1120" s="151"/>
      <c r="AH1120" s="151"/>
      <c r="AI1120" s="151"/>
      <c r="AJ1120" s="151"/>
      <c r="AK1120" s="151"/>
      <c r="AL1120" s="151"/>
      <c r="AM1120" s="151"/>
      <c r="AN1120" s="151"/>
      <c r="AO1120" s="151"/>
      <c r="AP1120" s="151"/>
      <c r="AQ1120" s="151"/>
      <c r="AR1120" s="151"/>
      <c r="AS1120" s="151"/>
      <c r="AT1120" s="151"/>
      <c r="AU1120" s="151"/>
      <c r="AV1120" s="151"/>
      <c r="AW1120" s="151"/>
      <c r="AX1120" s="151"/>
      <c r="AY1120" s="151"/>
      <c r="AZ1120" s="151"/>
      <c r="BA1120" s="151"/>
      <c r="BB1120" s="151"/>
      <c r="BC1120" s="151"/>
      <c r="BD1120" s="151"/>
      <c r="BE1120" s="151"/>
      <c r="BF1120" s="151"/>
      <c r="BG1120" s="151"/>
      <c r="BH1120" s="151"/>
      <c r="BI1120" s="151"/>
      <c r="BJ1120" s="151"/>
      <c r="BK1120" s="151"/>
      <c r="BL1120" s="151"/>
      <c r="BM1120" s="151"/>
      <c r="BN1120" s="151"/>
      <c r="BO1120" s="151"/>
      <c r="BP1120" s="151"/>
      <c r="BQ1120" s="151"/>
      <c r="BR1120" s="151"/>
      <c r="BS1120" s="151"/>
      <c r="BT1120" s="151"/>
      <c r="BU1120" s="151"/>
      <c r="BV1120" s="151"/>
      <c r="BW1120" s="151"/>
      <c r="BX1120" s="151"/>
      <c r="BY1120" s="151"/>
    </row>
    <row r="1121" spans="1:77" s="19" customFormat="1" x14ac:dyDescent="0.15">
      <c r="A1121" s="151">
        <v>1305100011</v>
      </c>
      <c r="B1121" s="157" t="s">
        <v>832</v>
      </c>
      <c r="C1121" s="151" t="s">
        <v>830</v>
      </c>
      <c r="D1121" s="151"/>
      <c r="E1121" s="151" t="s">
        <v>827</v>
      </c>
      <c r="F1121" s="151"/>
      <c r="G1121" s="151"/>
      <c r="H1121" s="151"/>
      <c r="I1121" s="151"/>
      <c r="J1121" s="165"/>
      <c r="K1121" s="165"/>
      <c r="L1121" s="165"/>
      <c r="M1121" s="165"/>
      <c r="N1121" s="165"/>
      <c r="O1121" s="151" t="s">
        <v>491</v>
      </c>
      <c r="P1121" s="151"/>
      <c r="Q1121" s="151"/>
      <c r="R1121" s="151"/>
      <c r="S1121" s="151"/>
      <c r="T1121" s="151"/>
      <c r="U1121" s="151"/>
      <c r="V1121" s="151"/>
      <c r="W1121" s="151"/>
      <c r="X1121" s="151"/>
      <c r="Y1121" s="151"/>
      <c r="Z1121" s="151"/>
      <c r="AA1121" s="151"/>
      <c r="AB1121" s="151"/>
      <c r="AC1121" s="151"/>
      <c r="AD1121" s="151"/>
      <c r="AE1121" s="151" t="s">
        <v>831</v>
      </c>
      <c r="AF1121" s="151">
        <v>1</v>
      </c>
      <c r="AG1121" s="151"/>
      <c r="AH1121" s="151"/>
      <c r="AI1121" s="151"/>
      <c r="AJ1121" s="151"/>
      <c r="AK1121" s="151"/>
      <c r="AL1121" s="151"/>
      <c r="AM1121" s="151"/>
      <c r="AN1121" s="151"/>
      <c r="AO1121" s="151"/>
      <c r="AP1121" s="151"/>
      <c r="AQ1121" s="151"/>
      <c r="AR1121" s="151"/>
      <c r="AS1121" s="151"/>
      <c r="AT1121" s="151"/>
      <c r="AU1121" s="151"/>
      <c r="AV1121" s="151"/>
      <c r="AW1121" s="151"/>
      <c r="AX1121" s="151"/>
      <c r="AY1121" s="151"/>
      <c r="AZ1121" s="151"/>
      <c r="BA1121" s="151"/>
      <c r="BB1121" s="151"/>
      <c r="BC1121" s="151"/>
      <c r="BD1121" s="151"/>
      <c r="BE1121" s="151"/>
      <c r="BF1121" s="151"/>
      <c r="BG1121" s="151"/>
      <c r="BH1121" s="151"/>
      <c r="BI1121" s="151"/>
      <c r="BJ1121" s="151"/>
      <c r="BK1121" s="151"/>
      <c r="BL1121" s="151"/>
      <c r="BM1121" s="151"/>
      <c r="BN1121" s="151"/>
      <c r="BO1121" s="151"/>
      <c r="BP1121" s="151"/>
      <c r="BQ1121" s="151"/>
      <c r="BR1121" s="151"/>
      <c r="BS1121" s="151"/>
      <c r="BT1121" s="151"/>
      <c r="BU1121" s="151"/>
      <c r="BV1121" s="151"/>
      <c r="BW1121" s="151"/>
      <c r="BX1121" s="151"/>
      <c r="BY1121" s="151"/>
    </row>
    <row r="1122" spans="1:77" s="19" customFormat="1" x14ac:dyDescent="0.15">
      <c r="A1122" s="151">
        <v>1305200011</v>
      </c>
      <c r="B1122" s="157" t="s">
        <v>825</v>
      </c>
      <c r="C1122" s="151" t="s">
        <v>826</v>
      </c>
      <c r="D1122" s="151"/>
      <c r="E1122" s="151" t="s">
        <v>827</v>
      </c>
      <c r="F1122" s="151"/>
      <c r="G1122" s="151"/>
      <c r="H1122" s="151"/>
      <c r="I1122" s="151"/>
      <c r="J1122" s="165"/>
      <c r="K1122" s="165"/>
      <c r="L1122" s="165"/>
      <c r="M1122" s="165"/>
      <c r="N1122" s="165"/>
      <c r="O1122" s="151" t="s">
        <v>828</v>
      </c>
      <c r="P1122" s="151"/>
      <c r="Q1122" s="151"/>
      <c r="R1122" s="151"/>
      <c r="S1122" s="151"/>
      <c r="T1122" s="151"/>
      <c r="U1122" s="151"/>
      <c r="V1122" s="151"/>
      <c r="W1122" s="151"/>
      <c r="X1122" s="151"/>
      <c r="Y1122" s="151"/>
      <c r="Z1122" s="151"/>
      <c r="AA1122" s="151"/>
      <c r="AB1122" s="151"/>
      <c r="AC1122" s="151"/>
      <c r="AD1122" s="151">
        <v>1305200101</v>
      </c>
      <c r="AE1122" s="151"/>
      <c r="AF1122" s="151"/>
      <c r="AG1122" s="151"/>
      <c r="AH1122" s="151"/>
      <c r="AI1122" s="151"/>
      <c r="AJ1122" s="151"/>
      <c r="AK1122" s="151"/>
      <c r="AL1122" s="151"/>
      <c r="AM1122" s="151"/>
      <c r="AN1122" s="151"/>
      <c r="AO1122" s="151"/>
      <c r="AP1122" s="151"/>
      <c r="AQ1122" s="151"/>
      <c r="AR1122" s="151"/>
      <c r="AS1122" s="151"/>
      <c r="AT1122" s="151"/>
      <c r="AU1122" s="151"/>
      <c r="AV1122" s="151"/>
      <c r="AW1122" s="151"/>
      <c r="AX1122" s="151"/>
      <c r="AY1122" s="151"/>
      <c r="AZ1122" s="151"/>
      <c r="BA1122" s="151"/>
      <c r="BB1122" s="151"/>
      <c r="BC1122" s="151"/>
      <c r="BD1122" s="151"/>
      <c r="BE1122" s="151"/>
      <c r="BF1122" s="151"/>
      <c r="BG1122" s="151"/>
      <c r="BH1122" s="151"/>
      <c r="BI1122" s="151"/>
      <c r="BJ1122" s="151"/>
      <c r="BK1122" s="151"/>
      <c r="BL1122" s="151"/>
      <c r="BM1122" s="151"/>
      <c r="BN1122" s="151"/>
      <c r="BO1122" s="151"/>
      <c r="BP1122" s="151"/>
      <c r="BQ1122" s="151"/>
      <c r="BR1122" s="151"/>
      <c r="BS1122" s="151"/>
      <c r="BT1122" s="151"/>
      <c r="BU1122" s="151"/>
      <c r="BV1122" s="151"/>
      <c r="BW1122" s="151"/>
      <c r="BX1122" s="151"/>
      <c r="BY1122" s="151"/>
    </row>
    <row r="1123" spans="1:77" s="19" customFormat="1" x14ac:dyDescent="0.15">
      <c r="A1123" s="151">
        <v>1305200021</v>
      </c>
      <c r="B1123" s="157" t="s">
        <v>825</v>
      </c>
      <c r="C1123" s="151" t="s">
        <v>826</v>
      </c>
      <c r="D1123" s="151"/>
      <c r="E1123" s="151" t="s">
        <v>827</v>
      </c>
      <c r="F1123" s="151"/>
      <c r="G1123" s="151"/>
      <c r="H1123" s="151"/>
      <c r="I1123" s="151"/>
      <c r="J1123" s="165"/>
      <c r="K1123" s="165"/>
      <c r="L1123" s="165"/>
      <c r="M1123" s="165"/>
      <c r="N1123" s="165"/>
      <c r="O1123" s="151" t="s">
        <v>828</v>
      </c>
      <c r="P1123" s="151"/>
      <c r="Q1123" s="151"/>
      <c r="R1123" s="151"/>
      <c r="S1123" s="151"/>
      <c r="T1123" s="151"/>
      <c r="U1123" s="151"/>
      <c r="V1123" s="151"/>
      <c r="W1123" s="151"/>
      <c r="X1123" s="151"/>
      <c r="Y1123" s="151"/>
      <c r="Z1123" s="151"/>
      <c r="AA1123" s="151"/>
      <c r="AB1123" s="151"/>
      <c r="AC1123" s="151"/>
      <c r="AD1123" s="151">
        <v>1305200102</v>
      </c>
      <c r="AE1123" s="151"/>
      <c r="AF1123" s="151"/>
      <c r="AG1123" s="151"/>
      <c r="AH1123" s="151"/>
      <c r="AI1123" s="151"/>
      <c r="AJ1123" s="151"/>
      <c r="AK1123" s="151"/>
      <c r="AL1123" s="151"/>
      <c r="AM1123" s="151"/>
      <c r="AN1123" s="151"/>
      <c r="AO1123" s="151"/>
      <c r="AP1123" s="151"/>
      <c r="AQ1123" s="151"/>
      <c r="AR1123" s="151"/>
      <c r="AS1123" s="151"/>
      <c r="AT1123" s="151"/>
      <c r="AU1123" s="151"/>
      <c r="AV1123" s="151"/>
      <c r="AW1123" s="151"/>
      <c r="AX1123" s="151"/>
      <c r="AY1123" s="151"/>
      <c r="AZ1123" s="151"/>
      <c r="BA1123" s="151"/>
      <c r="BB1123" s="151"/>
      <c r="BC1123" s="151"/>
      <c r="BD1123" s="151"/>
      <c r="BE1123" s="151"/>
      <c r="BF1123" s="151"/>
      <c r="BG1123" s="151"/>
      <c r="BH1123" s="151"/>
      <c r="BI1123" s="151"/>
      <c r="BJ1123" s="151"/>
      <c r="BK1123" s="151"/>
      <c r="BL1123" s="151"/>
      <c r="BM1123" s="151"/>
      <c r="BN1123" s="151"/>
      <c r="BO1123" s="151"/>
      <c r="BP1123" s="151"/>
      <c r="BQ1123" s="151"/>
      <c r="BR1123" s="151"/>
      <c r="BS1123" s="151"/>
      <c r="BT1123" s="151"/>
      <c r="BU1123" s="151"/>
      <c r="BV1123" s="151"/>
      <c r="BW1123" s="151"/>
      <c r="BX1123" s="151"/>
      <c r="BY1123" s="151"/>
    </row>
    <row r="1124" spans="1:77" s="19" customFormat="1" x14ac:dyDescent="0.15">
      <c r="A1124" s="151">
        <v>1305200031</v>
      </c>
      <c r="B1124" s="157" t="s">
        <v>825</v>
      </c>
      <c r="C1124" s="151" t="s">
        <v>826</v>
      </c>
      <c r="D1124" s="151"/>
      <c r="E1124" s="151" t="s">
        <v>827</v>
      </c>
      <c r="F1124" s="151"/>
      <c r="G1124" s="151"/>
      <c r="H1124" s="151"/>
      <c r="I1124" s="151"/>
      <c r="J1124" s="165"/>
      <c r="K1124" s="165"/>
      <c r="L1124" s="165"/>
      <c r="M1124" s="165"/>
      <c r="N1124" s="165"/>
      <c r="O1124" s="151" t="s">
        <v>828</v>
      </c>
      <c r="P1124" s="151"/>
      <c r="Q1124" s="151"/>
      <c r="R1124" s="151"/>
      <c r="S1124" s="151"/>
      <c r="T1124" s="151"/>
      <c r="U1124" s="151"/>
      <c r="V1124" s="151"/>
      <c r="W1124" s="151"/>
      <c r="X1124" s="151"/>
      <c r="Y1124" s="151"/>
      <c r="Z1124" s="151"/>
      <c r="AA1124" s="151"/>
      <c r="AB1124" s="151"/>
      <c r="AC1124" s="151"/>
      <c r="AD1124" s="151">
        <v>1305200103</v>
      </c>
      <c r="AE1124" s="151"/>
      <c r="AF1124" s="151"/>
      <c r="AG1124" s="151"/>
      <c r="AH1124" s="151"/>
      <c r="AI1124" s="151"/>
      <c r="AJ1124" s="151"/>
      <c r="AK1124" s="151"/>
      <c r="AL1124" s="151"/>
      <c r="AM1124" s="151"/>
      <c r="AN1124" s="151"/>
      <c r="AO1124" s="151"/>
      <c r="AP1124" s="151"/>
      <c r="AQ1124" s="151"/>
      <c r="AR1124" s="151"/>
      <c r="AS1124" s="151"/>
      <c r="AT1124" s="151"/>
      <c r="AU1124" s="151"/>
      <c r="AV1124" s="151"/>
      <c r="AW1124" s="151"/>
      <c r="AX1124" s="151"/>
      <c r="AY1124" s="151"/>
      <c r="AZ1124" s="151"/>
      <c r="BA1124" s="151"/>
      <c r="BB1124" s="151"/>
      <c r="BC1124" s="151"/>
      <c r="BD1124" s="151"/>
      <c r="BE1124" s="151"/>
      <c r="BF1124" s="151"/>
      <c r="BG1124" s="151"/>
      <c r="BH1124" s="151"/>
      <c r="BI1124" s="151"/>
      <c r="BJ1124" s="151"/>
      <c r="BK1124" s="151"/>
      <c r="BL1124" s="151"/>
      <c r="BM1124" s="151"/>
      <c r="BN1124" s="151"/>
      <c r="BO1124" s="151"/>
      <c r="BP1124" s="151"/>
      <c r="BQ1124" s="151"/>
      <c r="BR1124" s="151"/>
      <c r="BS1124" s="151"/>
      <c r="BT1124" s="151"/>
      <c r="BU1124" s="151"/>
      <c r="BV1124" s="151"/>
      <c r="BW1124" s="151"/>
      <c r="BX1124" s="151"/>
      <c r="BY1124" s="151"/>
    </row>
    <row r="1125" spans="1:77" s="19" customFormat="1" x14ac:dyDescent="0.15">
      <c r="A1125" s="151">
        <v>1305200012</v>
      </c>
      <c r="B1125" s="157" t="s">
        <v>829</v>
      </c>
      <c r="C1125" s="151" t="s">
        <v>830</v>
      </c>
      <c r="D1125" s="151"/>
      <c r="E1125" s="151" t="s">
        <v>827</v>
      </c>
      <c r="F1125" s="151"/>
      <c r="G1125" s="151"/>
      <c r="H1125" s="151"/>
      <c r="I1125" s="151"/>
      <c r="J1125" s="165"/>
      <c r="K1125" s="165"/>
      <c r="L1125" s="165"/>
      <c r="M1125" s="165"/>
      <c r="N1125" s="165"/>
      <c r="O1125" s="151" t="s">
        <v>491</v>
      </c>
      <c r="P1125" s="151"/>
      <c r="Q1125" s="151"/>
      <c r="R1125" s="151"/>
      <c r="S1125" s="151"/>
      <c r="T1125" s="151"/>
      <c r="U1125" s="151"/>
      <c r="V1125" s="151"/>
      <c r="W1125" s="151"/>
      <c r="X1125" s="151"/>
      <c r="Y1125" s="151"/>
      <c r="Z1125" s="151"/>
      <c r="AA1125" s="151"/>
      <c r="AB1125" s="151"/>
      <c r="AC1125" s="151"/>
      <c r="AD1125" s="151"/>
      <c r="AE1125" s="151" t="s">
        <v>831</v>
      </c>
      <c r="AF1125" s="151">
        <v>1</v>
      </c>
      <c r="AG1125" s="151"/>
      <c r="AH1125" s="151"/>
      <c r="AI1125" s="151"/>
      <c r="AJ1125" s="151"/>
      <c r="AK1125" s="151"/>
      <c r="AL1125" s="151"/>
      <c r="AM1125" s="151"/>
      <c r="AN1125" s="151"/>
      <c r="AO1125" s="151"/>
      <c r="AP1125" s="151"/>
      <c r="AQ1125" s="151"/>
      <c r="AR1125" s="151"/>
      <c r="AS1125" s="151"/>
      <c r="AT1125" s="151"/>
      <c r="AU1125" s="151"/>
      <c r="AV1125" s="151"/>
      <c r="AW1125" s="151"/>
      <c r="AX1125" s="151"/>
      <c r="AY1125" s="151"/>
      <c r="AZ1125" s="151"/>
      <c r="BA1125" s="151"/>
      <c r="BB1125" s="151"/>
      <c r="BC1125" s="151"/>
      <c r="BD1125" s="151"/>
      <c r="BE1125" s="151"/>
      <c r="BF1125" s="151"/>
      <c r="BG1125" s="151"/>
      <c r="BH1125" s="151"/>
      <c r="BI1125" s="151"/>
      <c r="BJ1125" s="151"/>
      <c r="BK1125" s="151"/>
      <c r="BL1125" s="151"/>
      <c r="BM1125" s="151"/>
      <c r="BN1125" s="151"/>
      <c r="BO1125" s="151"/>
      <c r="BP1125" s="151"/>
      <c r="BQ1125" s="151"/>
      <c r="BR1125" s="151"/>
      <c r="BS1125" s="151"/>
      <c r="BT1125" s="151"/>
      <c r="BU1125" s="151"/>
      <c r="BV1125" s="151"/>
      <c r="BW1125" s="151"/>
      <c r="BX1125" s="151"/>
      <c r="BY1125" s="151"/>
    </row>
    <row r="1126" spans="1:77" s="19" customFormat="1" x14ac:dyDescent="0.15">
      <c r="A1126" s="151">
        <v>1305010011</v>
      </c>
      <c r="B1126" s="157" t="s">
        <v>562</v>
      </c>
      <c r="C1126" s="151" t="s">
        <v>100</v>
      </c>
      <c r="D1126" s="151"/>
      <c r="E1126" s="151" t="s">
        <v>85</v>
      </c>
      <c r="F1126" s="151">
        <v>60000</v>
      </c>
      <c r="G1126" s="151">
        <v>100000</v>
      </c>
      <c r="H1126" s="151"/>
      <c r="I1126" s="151"/>
      <c r="J1126" s="165"/>
      <c r="K1126" s="165"/>
      <c r="L1126" s="165"/>
      <c r="M1126" s="165" t="s">
        <v>101</v>
      </c>
      <c r="N1126" s="165" t="s">
        <v>842</v>
      </c>
      <c r="O1126" s="151" t="s">
        <v>79</v>
      </c>
      <c r="P1126" s="151" t="s">
        <v>80</v>
      </c>
      <c r="Q1126" s="151">
        <v>130</v>
      </c>
      <c r="R1126" s="151">
        <v>2500</v>
      </c>
      <c r="S1126" s="151"/>
      <c r="T1126" s="151"/>
      <c r="U1126" s="151"/>
      <c r="V1126" s="151"/>
      <c r="W1126" s="151"/>
      <c r="X1126" s="151"/>
      <c r="Y1126" s="151"/>
      <c r="Z1126" s="151"/>
      <c r="AA1126" s="151"/>
      <c r="AB1126" s="151"/>
      <c r="AC1126" s="151"/>
      <c r="AD1126" s="151"/>
      <c r="AE1126" s="151"/>
      <c r="AF1126" s="151"/>
      <c r="AG1126" s="151"/>
      <c r="AH1126" s="151"/>
      <c r="AI1126" s="151"/>
      <c r="AJ1126" s="151"/>
      <c r="AK1126" s="151"/>
      <c r="AL1126" s="151"/>
      <c r="AM1126" s="151"/>
      <c r="AN1126" s="151"/>
      <c r="AO1126" s="151"/>
      <c r="AP1126" s="151"/>
      <c r="AQ1126" s="151"/>
      <c r="AR1126" s="151"/>
      <c r="AS1126" s="151"/>
      <c r="AT1126" s="151"/>
      <c r="AU1126" s="151"/>
      <c r="AV1126" s="151"/>
      <c r="AW1126" s="151"/>
      <c r="AX1126" s="151"/>
      <c r="AY1126" s="151"/>
      <c r="AZ1126" s="151"/>
      <c r="BA1126" s="151"/>
      <c r="BB1126" s="151"/>
      <c r="BC1126" s="151"/>
      <c r="BD1126" s="151"/>
      <c r="BE1126" s="151"/>
      <c r="BF1126" s="151"/>
      <c r="BG1126" s="151"/>
      <c r="BH1126" s="151"/>
      <c r="BI1126" s="151"/>
      <c r="BJ1126" s="151"/>
      <c r="BK1126" s="151"/>
      <c r="BL1126" s="151"/>
      <c r="BM1126" s="151"/>
      <c r="BN1126" s="151"/>
      <c r="BO1126" s="151"/>
      <c r="BP1126" s="151"/>
      <c r="BQ1126" s="151"/>
      <c r="BR1126" s="151"/>
      <c r="BS1126" s="151"/>
      <c r="BT1126" s="151"/>
      <c r="BU1126" s="151"/>
      <c r="BV1126" s="151"/>
      <c r="BW1126" s="151"/>
      <c r="BX1126" s="151"/>
      <c r="BY1126" s="151"/>
    </row>
    <row r="1127" spans="1:77" s="19" customFormat="1" x14ac:dyDescent="0.15">
      <c r="A1127" s="151">
        <v>1305010021</v>
      </c>
      <c r="B1127" s="157" t="s">
        <v>562</v>
      </c>
      <c r="C1127" s="151" t="s">
        <v>100</v>
      </c>
      <c r="D1127" s="151"/>
      <c r="E1127" s="151" t="s">
        <v>85</v>
      </c>
      <c r="F1127" s="151">
        <v>60000</v>
      </c>
      <c r="G1127" s="151">
        <v>100000</v>
      </c>
      <c r="H1127" s="151"/>
      <c r="I1127" s="151"/>
      <c r="J1127" s="165"/>
      <c r="K1127" s="165"/>
      <c r="L1127" s="165"/>
      <c r="M1127" s="165" t="s">
        <v>101</v>
      </c>
      <c r="N1127" s="165" t="s">
        <v>842</v>
      </c>
      <c r="O1127" s="151" t="s">
        <v>79</v>
      </c>
      <c r="P1127" s="151" t="s">
        <v>80</v>
      </c>
      <c r="Q1127" s="151">
        <v>180</v>
      </c>
      <c r="R1127" s="151">
        <v>2500</v>
      </c>
      <c r="S1127" s="151"/>
      <c r="T1127" s="151"/>
      <c r="U1127" s="151"/>
      <c r="V1127" s="151"/>
      <c r="W1127" s="151"/>
      <c r="X1127" s="151"/>
      <c r="Y1127" s="151"/>
      <c r="Z1127" s="151"/>
      <c r="AA1127" s="151"/>
      <c r="AB1127" s="151"/>
      <c r="AC1127" s="151"/>
      <c r="AD1127" s="151"/>
      <c r="AE1127" s="151"/>
      <c r="AF1127" s="151"/>
      <c r="AG1127" s="151"/>
      <c r="AH1127" s="151"/>
      <c r="AI1127" s="151"/>
      <c r="AJ1127" s="151"/>
      <c r="AK1127" s="151"/>
      <c r="AL1127" s="151"/>
      <c r="AM1127" s="151"/>
      <c r="AN1127" s="151"/>
      <c r="AO1127" s="151"/>
      <c r="AP1127" s="151"/>
      <c r="AQ1127" s="151"/>
      <c r="AR1127" s="151"/>
      <c r="AS1127" s="151"/>
      <c r="AT1127" s="151"/>
      <c r="AU1127" s="151"/>
      <c r="AV1127" s="151"/>
      <c r="AW1127" s="151"/>
      <c r="AX1127" s="151"/>
      <c r="AY1127" s="151"/>
      <c r="AZ1127" s="151"/>
      <c r="BA1127" s="151"/>
      <c r="BB1127" s="151"/>
      <c r="BC1127" s="151"/>
      <c r="BD1127" s="151"/>
      <c r="BE1127" s="151"/>
      <c r="BF1127" s="151"/>
      <c r="BG1127" s="151"/>
      <c r="BH1127" s="151"/>
      <c r="BI1127" s="151"/>
      <c r="BJ1127" s="151"/>
      <c r="BK1127" s="151"/>
      <c r="BL1127" s="151"/>
      <c r="BM1127" s="151"/>
      <c r="BN1127" s="151"/>
      <c r="BO1127" s="151"/>
      <c r="BP1127" s="151"/>
      <c r="BQ1127" s="151"/>
      <c r="BR1127" s="151"/>
      <c r="BS1127" s="151"/>
      <c r="BT1127" s="151"/>
      <c r="BU1127" s="151"/>
      <c r="BV1127" s="151"/>
      <c r="BW1127" s="151"/>
      <c r="BX1127" s="151"/>
      <c r="BY1127" s="151"/>
    </row>
    <row r="1128" spans="1:77" s="19" customFormat="1" x14ac:dyDescent="0.15">
      <c r="A1128" s="151">
        <v>1305010031</v>
      </c>
      <c r="B1128" s="157" t="s">
        <v>562</v>
      </c>
      <c r="C1128" s="151" t="s">
        <v>100</v>
      </c>
      <c r="D1128" s="151"/>
      <c r="E1128" s="151" t="s">
        <v>85</v>
      </c>
      <c r="F1128" s="151">
        <v>60000</v>
      </c>
      <c r="G1128" s="151">
        <v>100000</v>
      </c>
      <c r="H1128" s="151"/>
      <c r="I1128" s="151"/>
      <c r="J1128" s="165"/>
      <c r="K1128" s="165"/>
      <c r="L1128" s="165"/>
      <c r="M1128" s="165" t="s">
        <v>101</v>
      </c>
      <c r="N1128" s="165" t="s">
        <v>842</v>
      </c>
      <c r="O1128" s="151" t="s">
        <v>79</v>
      </c>
      <c r="P1128" s="151" t="s">
        <v>80</v>
      </c>
      <c r="Q1128" s="151">
        <v>230</v>
      </c>
      <c r="R1128" s="151">
        <v>2500</v>
      </c>
      <c r="S1128" s="151"/>
      <c r="T1128" s="151"/>
      <c r="U1128" s="151"/>
      <c r="V1128" s="151"/>
      <c r="W1128" s="151"/>
      <c r="X1128" s="151"/>
      <c r="Y1128" s="151"/>
      <c r="Z1128" s="151"/>
      <c r="AA1128" s="151"/>
      <c r="AB1128" s="151"/>
      <c r="AC1128" s="151"/>
      <c r="AD1128" s="151"/>
      <c r="AE1128" s="151"/>
      <c r="AF1128" s="151"/>
      <c r="AG1128" s="151"/>
      <c r="AH1128" s="151"/>
      <c r="AI1128" s="151"/>
      <c r="AJ1128" s="151"/>
      <c r="AK1128" s="151"/>
      <c r="AL1128" s="151"/>
      <c r="AM1128" s="151"/>
      <c r="AN1128" s="151"/>
      <c r="AO1128" s="151"/>
      <c r="AP1128" s="151"/>
      <c r="AQ1128" s="151"/>
      <c r="AR1128" s="151"/>
      <c r="AS1128" s="151"/>
      <c r="AT1128" s="151"/>
      <c r="AU1128" s="151"/>
      <c r="AV1128" s="151"/>
      <c r="AW1128" s="151"/>
      <c r="AX1128" s="151"/>
      <c r="AY1128" s="151"/>
      <c r="AZ1128" s="151"/>
      <c r="BA1128" s="151"/>
      <c r="BB1128" s="151"/>
      <c r="BC1128" s="151"/>
      <c r="BD1128" s="151"/>
      <c r="BE1128" s="151"/>
      <c r="BF1128" s="151"/>
      <c r="BG1128" s="151"/>
      <c r="BH1128" s="151"/>
      <c r="BI1128" s="151"/>
      <c r="BJ1128" s="151"/>
      <c r="BK1128" s="151"/>
      <c r="BL1128" s="151"/>
      <c r="BM1128" s="151"/>
      <c r="BN1128" s="151"/>
      <c r="BO1128" s="151"/>
      <c r="BP1128" s="151"/>
      <c r="BQ1128" s="151"/>
      <c r="BR1128" s="151"/>
      <c r="BS1128" s="151"/>
      <c r="BT1128" s="151"/>
      <c r="BU1128" s="151"/>
      <c r="BV1128" s="151"/>
      <c r="BW1128" s="151"/>
      <c r="BX1128" s="151"/>
      <c r="BY1128" s="151"/>
    </row>
    <row r="1129" spans="1:77" s="19" customFormat="1" x14ac:dyDescent="0.15">
      <c r="A1129" s="151">
        <v>1305010041</v>
      </c>
      <c r="B1129" s="157" t="s">
        <v>562</v>
      </c>
      <c r="C1129" s="151" t="s">
        <v>100</v>
      </c>
      <c r="D1129" s="151"/>
      <c r="E1129" s="151" t="s">
        <v>85</v>
      </c>
      <c r="F1129" s="151">
        <v>60000</v>
      </c>
      <c r="G1129" s="151">
        <v>100000</v>
      </c>
      <c r="H1129" s="151"/>
      <c r="I1129" s="151"/>
      <c r="J1129" s="165"/>
      <c r="K1129" s="165"/>
      <c r="L1129" s="165"/>
      <c r="M1129" s="165" t="s">
        <v>101</v>
      </c>
      <c r="N1129" s="165" t="s">
        <v>842</v>
      </c>
      <c r="O1129" s="151" t="s">
        <v>79</v>
      </c>
      <c r="P1129" s="151" t="s">
        <v>80</v>
      </c>
      <c r="Q1129" s="151">
        <v>280</v>
      </c>
      <c r="R1129" s="151">
        <v>2500</v>
      </c>
      <c r="S1129" s="151"/>
      <c r="T1129" s="151"/>
      <c r="U1129" s="151"/>
      <c r="V1129" s="151"/>
      <c r="W1129" s="151"/>
      <c r="X1129" s="151"/>
      <c r="Y1129" s="151"/>
      <c r="Z1129" s="151"/>
      <c r="AA1129" s="151"/>
      <c r="AB1129" s="151"/>
      <c r="AC1129" s="151"/>
      <c r="AD1129" s="151"/>
      <c r="AE1129" s="151"/>
      <c r="AF1129" s="151"/>
      <c r="AG1129" s="151"/>
      <c r="AH1129" s="151"/>
      <c r="AI1129" s="151"/>
      <c r="AJ1129" s="151"/>
      <c r="AK1129" s="151"/>
      <c r="AL1129" s="151"/>
      <c r="AM1129" s="151"/>
      <c r="AN1129" s="151"/>
      <c r="AO1129" s="151"/>
      <c r="AP1129" s="151"/>
      <c r="AQ1129" s="151"/>
      <c r="AR1129" s="151"/>
      <c r="AS1129" s="151"/>
      <c r="AT1129" s="151"/>
      <c r="AU1129" s="151"/>
      <c r="AV1129" s="151"/>
      <c r="AW1129" s="151"/>
      <c r="AX1129" s="151"/>
      <c r="AY1129" s="151"/>
      <c r="AZ1129" s="151"/>
      <c r="BA1129" s="151"/>
      <c r="BB1129" s="151"/>
      <c r="BC1129" s="151"/>
      <c r="BD1129" s="151"/>
      <c r="BE1129" s="151"/>
      <c r="BF1129" s="151"/>
      <c r="BG1129" s="151"/>
      <c r="BH1129" s="151"/>
      <c r="BI1129" s="151"/>
      <c r="BJ1129" s="151"/>
      <c r="BK1129" s="151"/>
      <c r="BL1129" s="151"/>
      <c r="BM1129" s="151"/>
      <c r="BN1129" s="151"/>
      <c r="BO1129" s="151"/>
      <c r="BP1129" s="151"/>
      <c r="BQ1129" s="151"/>
      <c r="BR1129" s="151"/>
      <c r="BS1129" s="151"/>
      <c r="BT1129" s="151"/>
      <c r="BU1129" s="151"/>
      <c r="BV1129" s="151"/>
      <c r="BW1129" s="151"/>
      <c r="BX1129" s="151"/>
      <c r="BY1129" s="151"/>
    </row>
    <row r="1130" spans="1:77" s="19" customFormat="1" x14ac:dyDescent="0.15">
      <c r="A1130" s="151">
        <v>1305010012</v>
      </c>
      <c r="B1130" s="157" t="s">
        <v>820</v>
      </c>
      <c r="C1130" s="151" t="s">
        <v>89</v>
      </c>
      <c r="D1130" s="151"/>
      <c r="E1130" s="151" t="s">
        <v>78</v>
      </c>
      <c r="F1130" s="151"/>
      <c r="G1130" s="151"/>
      <c r="H1130" s="151"/>
      <c r="I1130" s="151"/>
      <c r="J1130" s="165"/>
      <c r="K1130" s="165"/>
      <c r="L1130" s="165"/>
      <c r="M1130" s="165"/>
      <c r="N1130" s="165"/>
      <c r="O1130" s="151" t="s">
        <v>90</v>
      </c>
      <c r="P1130" s="151"/>
      <c r="Q1130" s="151"/>
      <c r="R1130" s="151"/>
      <c r="S1130" s="151"/>
      <c r="T1130" s="151"/>
      <c r="U1130" s="151"/>
      <c r="V1130" s="151"/>
      <c r="W1130" s="151"/>
      <c r="X1130" s="151"/>
      <c r="Y1130" s="151"/>
      <c r="Z1130" s="151"/>
      <c r="AA1130" s="151"/>
      <c r="AB1130" s="151"/>
      <c r="AC1130" s="151"/>
      <c r="AD1130" s="151">
        <v>1305010101</v>
      </c>
      <c r="AE1130" s="151"/>
      <c r="AF1130" s="151"/>
      <c r="AG1130" s="151"/>
      <c r="AH1130" s="151"/>
      <c r="AI1130" s="151"/>
      <c r="AJ1130" s="151"/>
      <c r="AK1130" s="151"/>
      <c r="AL1130" s="151"/>
      <c r="AM1130" s="151"/>
      <c r="AN1130" s="151"/>
      <c r="AO1130" s="151"/>
      <c r="AP1130" s="151"/>
      <c r="AQ1130" s="151"/>
      <c r="AR1130" s="151"/>
      <c r="AS1130" s="151"/>
      <c r="AT1130" s="151"/>
      <c r="AU1130" s="151"/>
      <c r="AV1130" s="151"/>
      <c r="AW1130" s="151"/>
      <c r="AX1130" s="151"/>
      <c r="AY1130" s="151"/>
      <c r="AZ1130" s="151"/>
      <c r="BA1130" s="151"/>
      <c r="BB1130" s="151"/>
      <c r="BC1130" s="151"/>
      <c r="BD1130" s="151"/>
      <c r="BE1130" s="151"/>
      <c r="BF1130" s="151"/>
      <c r="BG1130" s="151"/>
      <c r="BH1130" s="151"/>
      <c r="BI1130" s="151"/>
      <c r="BJ1130" s="151"/>
      <c r="BK1130" s="151"/>
      <c r="BL1130" s="151"/>
      <c r="BM1130" s="151"/>
      <c r="BN1130" s="151"/>
      <c r="BO1130" s="151"/>
      <c r="BP1130" s="151"/>
      <c r="BQ1130" s="151"/>
      <c r="BR1130" s="151"/>
      <c r="BS1130" s="151"/>
      <c r="BT1130" s="151"/>
      <c r="BU1130" s="151"/>
      <c r="BV1130" s="151"/>
      <c r="BW1130" s="151"/>
      <c r="BX1130" s="151"/>
      <c r="BY1130" s="151"/>
    </row>
    <row r="1131" spans="1:77" s="19" customFormat="1" x14ac:dyDescent="0.15">
      <c r="A1131" s="151">
        <v>1305010022</v>
      </c>
      <c r="B1131" s="157" t="s">
        <v>820</v>
      </c>
      <c r="C1131" s="151" t="s">
        <v>89</v>
      </c>
      <c r="D1131" s="151"/>
      <c r="E1131" s="151" t="s">
        <v>78</v>
      </c>
      <c r="F1131" s="151"/>
      <c r="G1131" s="151"/>
      <c r="H1131" s="151"/>
      <c r="I1131" s="151"/>
      <c r="J1131" s="165"/>
      <c r="K1131" s="165"/>
      <c r="L1131" s="165"/>
      <c r="M1131" s="165"/>
      <c r="N1131" s="165"/>
      <c r="O1131" s="151" t="s">
        <v>90</v>
      </c>
      <c r="P1131" s="151"/>
      <c r="Q1131" s="151"/>
      <c r="R1131" s="151"/>
      <c r="S1131" s="151"/>
      <c r="T1131" s="151"/>
      <c r="U1131" s="151"/>
      <c r="V1131" s="151"/>
      <c r="W1131" s="151"/>
      <c r="X1131" s="151"/>
      <c r="Y1131" s="151"/>
      <c r="Z1131" s="151"/>
      <c r="AA1131" s="151"/>
      <c r="AB1131" s="151"/>
      <c r="AC1131" s="151"/>
      <c r="AD1131" s="151">
        <v>1305010102</v>
      </c>
      <c r="AE1131" s="151"/>
      <c r="AF1131" s="151"/>
      <c r="AG1131" s="151"/>
      <c r="AH1131" s="151"/>
      <c r="AI1131" s="151"/>
      <c r="AJ1131" s="151"/>
      <c r="AK1131" s="151"/>
      <c r="AL1131" s="151"/>
      <c r="AM1131" s="151"/>
      <c r="AN1131" s="151"/>
      <c r="AO1131" s="151"/>
      <c r="AP1131" s="151"/>
      <c r="AQ1131" s="151"/>
      <c r="AR1131" s="151"/>
      <c r="AS1131" s="151"/>
      <c r="AT1131" s="151"/>
      <c r="AU1131" s="151"/>
      <c r="AV1131" s="151"/>
      <c r="AW1131" s="151"/>
      <c r="AX1131" s="151"/>
      <c r="AY1131" s="151"/>
      <c r="AZ1131" s="151"/>
      <c r="BA1131" s="151"/>
      <c r="BB1131" s="151"/>
      <c r="BC1131" s="151"/>
      <c r="BD1131" s="151"/>
      <c r="BE1131" s="151"/>
      <c r="BF1131" s="151"/>
      <c r="BG1131" s="151"/>
      <c r="BH1131" s="151"/>
      <c r="BI1131" s="151"/>
      <c r="BJ1131" s="151"/>
      <c r="BK1131" s="151"/>
      <c r="BL1131" s="151"/>
      <c r="BM1131" s="151"/>
      <c r="BN1131" s="151"/>
      <c r="BO1131" s="151"/>
      <c r="BP1131" s="151"/>
      <c r="BQ1131" s="151"/>
      <c r="BR1131" s="151"/>
      <c r="BS1131" s="151"/>
      <c r="BT1131" s="151"/>
      <c r="BU1131" s="151"/>
      <c r="BV1131" s="151"/>
      <c r="BW1131" s="151"/>
      <c r="BX1131" s="151"/>
      <c r="BY1131" s="151"/>
    </row>
    <row r="1132" spans="1:77" s="19" customFormat="1" x14ac:dyDescent="0.15">
      <c r="A1132" s="151">
        <v>1305010032</v>
      </c>
      <c r="B1132" s="157" t="s">
        <v>820</v>
      </c>
      <c r="C1132" s="151" t="s">
        <v>89</v>
      </c>
      <c r="D1132" s="151"/>
      <c r="E1132" s="151" t="s">
        <v>78</v>
      </c>
      <c r="F1132" s="151"/>
      <c r="G1132" s="151"/>
      <c r="H1132" s="151"/>
      <c r="I1132" s="151"/>
      <c r="J1132" s="165"/>
      <c r="K1132" s="165"/>
      <c r="L1132" s="165"/>
      <c r="M1132" s="165"/>
      <c r="N1132" s="165"/>
      <c r="O1132" s="151" t="s">
        <v>90</v>
      </c>
      <c r="P1132" s="151"/>
      <c r="Q1132" s="151"/>
      <c r="R1132" s="151"/>
      <c r="S1132" s="151"/>
      <c r="T1132" s="151"/>
      <c r="U1132" s="151"/>
      <c r="V1132" s="151"/>
      <c r="W1132" s="151"/>
      <c r="X1132" s="151"/>
      <c r="Y1132" s="151"/>
      <c r="Z1132" s="151"/>
      <c r="AA1132" s="151"/>
      <c r="AB1132" s="151"/>
      <c r="AC1132" s="151"/>
      <c r="AD1132" s="151">
        <v>1305010103</v>
      </c>
      <c r="AE1132" s="151"/>
      <c r="AF1132" s="151"/>
      <c r="AG1132" s="151"/>
      <c r="AH1132" s="151"/>
      <c r="AI1132" s="151"/>
      <c r="AJ1132" s="151"/>
      <c r="AK1132" s="151"/>
      <c r="AL1132" s="151"/>
      <c r="AM1132" s="151"/>
      <c r="AN1132" s="151"/>
      <c r="AO1132" s="151"/>
      <c r="AP1132" s="151"/>
      <c r="AQ1132" s="151"/>
      <c r="AR1132" s="151"/>
      <c r="AS1132" s="151"/>
      <c r="AT1132" s="151"/>
      <c r="AU1132" s="151"/>
      <c r="AV1132" s="151"/>
      <c r="AW1132" s="151"/>
      <c r="AX1132" s="151"/>
      <c r="AY1132" s="151"/>
      <c r="AZ1132" s="151"/>
      <c r="BA1132" s="151"/>
      <c r="BB1132" s="151"/>
      <c r="BC1132" s="151"/>
      <c r="BD1132" s="151"/>
      <c r="BE1132" s="151"/>
      <c r="BF1132" s="151"/>
      <c r="BG1132" s="151"/>
      <c r="BH1132" s="151"/>
      <c r="BI1132" s="151"/>
      <c r="BJ1132" s="151"/>
      <c r="BK1132" s="151"/>
      <c r="BL1132" s="151"/>
      <c r="BM1132" s="151"/>
      <c r="BN1132" s="151"/>
      <c r="BO1132" s="151"/>
      <c r="BP1132" s="151"/>
      <c r="BQ1132" s="151"/>
      <c r="BR1132" s="151"/>
      <c r="BS1132" s="151"/>
      <c r="BT1132" s="151"/>
      <c r="BU1132" s="151"/>
      <c r="BV1132" s="151"/>
      <c r="BW1132" s="151"/>
      <c r="BX1132" s="151"/>
      <c r="BY1132" s="151"/>
    </row>
    <row r="1133" spans="1:77" s="19" customFormat="1" x14ac:dyDescent="0.15">
      <c r="A1133" s="151">
        <v>1305010042</v>
      </c>
      <c r="B1133" s="157" t="s">
        <v>820</v>
      </c>
      <c r="C1133" s="151" t="s">
        <v>89</v>
      </c>
      <c r="D1133" s="151"/>
      <c r="E1133" s="151" t="s">
        <v>78</v>
      </c>
      <c r="F1133" s="151"/>
      <c r="G1133" s="151"/>
      <c r="H1133" s="151"/>
      <c r="I1133" s="151"/>
      <c r="J1133" s="165"/>
      <c r="K1133" s="165"/>
      <c r="L1133" s="165"/>
      <c r="M1133" s="165"/>
      <c r="N1133" s="165"/>
      <c r="O1133" s="151" t="s">
        <v>90</v>
      </c>
      <c r="P1133" s="151"/>
      <c r="Q1133" s="151"/>
      <c r="R1133" s="151"/>
      <c r="S1133" s="151"/>
      <c r="T1133" s="151"/>
      <c r="U1133" s="151"/>
      <c r="V1133" s="151"/>
      <c r="W1133" s="151"/>
      <c r="X1133" s="151"/>
      <c r="Y1133" s="151"/>
      <c r="Z1133" s="151"/>
      <c r="AA1133" s="151"/>
      <c r="AB1133" s="151"/>
      <c r="AC1133" s="151"/>
      <c r="AD1133" s="151">
        <v>1305010104</v>
      </c>
      <c r="AE1133" s="151"/>
      <c r="AF1133" s="151"/>
      <c r="AG1133" s="151"/>
      <c r="AH1133" s="151"/>
      <c r="AI1133" s="151"/>
      <c r="AJ1133" s="151"/>
      <c r="AK1133" s="151"/>
      <c r="AL1133" s="151"/>
      <c r="AM1133" s="151"/>
      <c r="AN1133" s="151"/>
      <c r="AO1133" s="151"/>
      <c r="AP1133" s="151"/>
      <c r="AQ1133" s="151"/>
      <c r="AR1133" s="151"/>
      <c r="AS1133" s="151"/>
      <c r="AT1133" s="151"/>
      <c r="AU1133" s="151"/>
      <c r="AV1133" s="151"/>
      <c r="AW1133" s="151"/>
      <c r="AX1133" s="151"/>
      <c r="AY1133" s="151"/>
      <c r="AZ1133" s="151"/>
      <c r="BA1133" s="151"/>
      <c r="BB1133" s="151"/>
      <c r="BC1133" s="151"/>
      <c r="BD1133" s="151"/>
      <c r="BE1133" s="151"/>
      <c r="BF1133" s="151"/>
      <c r="BG1133" s="151"/>
      <c r="BH1133" s="151"/>
      <c r="BI1133" s="151"/>
      <c r="BJ1133" s="151"/>
      <c r="BK1133" s="151"/>
      <c r="BL1133" s="151"/>
      <c r="BM1133" s="151"/>
      <c r="BN1133" s="151"/>
      <c r="BO1133" s="151"/>
      <c r="BP1133" s="151"/>
      <c r="BQ1133" s="151"/>
      <c r="BR1133" s="151"/>
      <c r="BS1133" s="151"/>
      <c r="BT1133" s="151"/>
      <c r="BU1133" s="151"/>
      <c r="BV1133" s="151"/>
      <c r="BW1133" s="151"/>
      <c r="BX1133" s="151"/>
      <c r="BY1133" s="151"/>
    </row>
    <row r="1134" spans="1:77" s="19" customFormat="1" x14ac:dyDescent="0.15">
      <c r="A1134" s="151">
        <v>1305010013</v>
      </c>
      <c r="B1134" s="157" t="s">
        <v>821</v>
      </c>
      <c r="C1134" s="151" t="s">
        <v>89</v>
      </c>
      <c r="D1134" s="151"/>
      <c r="E1134" s="151" t="s">
        <v>78</v>
      </c>
      <c r="F1134" s="151"/>
      <c r="G1134" s="151"/>
      <c r="H1134" s="151"/>
      <c r="I1134" s="151"/>
      <c r="J1134" s="165"/>
      <c r="K1134" s="165"/>
      <c r="L1134" s="165"/>
      <c r="M1134" s="165"/>
      <c r="N1134" s="165"/>
      <c r="O1134" s="151" t="s">
        <v>90</v>
      </c>
      <c r="P1134" s="151"/>
      <c r="Q1134" s="151"/>
      <c r="R1134" s="151"/>
      <c r="S1134" s="151"/>
      <c r="T1134" s="151"/>
      <c r="U1134" s="151"/>
      <c r="V1134" s="151"/>
      <c r="W1134" s="151"/>
      <c r="X1134" s="151"/>
      <c r="Y1134" s="151"/>
      <c r="Z1134" s="151"/>
      <c r="AA1134" s="151"/>
      <c r="AB1134" s="151"/>
      <c r="AC1134" s="151"/>
      <c r="AD1134" s="151">
        <v>1305010201</v>
      </c>
      <c r="AE1134" s="151"/>
      <c r="AF1134" s="151"/>
      <c r="AG1134" s="151"/>
      <c r="AH1134" s="151"/>
      <c r="AI1134" s="151"/>
      <c r="AJ1134" s="151"/>
      <c r="AK1134" s="151"/>
      <c r="AL1134" s="151"/>
      <c r="AM1134" s="151"/>
      <c r="AN1134" s="151"/>
      <c r="AO1134" s="151"/>
      <c r="AP1134" s="151"/>
      <c r="AQ1134" s="151"/>
      <c r="AR1134" s="151"/>
      <c r="AS1134" s="151"/>
      <c r="AT1134" s="151"/>
      <c r="AU1134" s="151"/>
      <c r="AV1134" s="151"/>
      <c r="AW1134" s="151"/>
      <c r="AX1134" s="151"/>
      <c r="AY1134" s="151"/>
      <c r="AZ1134" s="151"/>
      <c r="BA1134" s="151"/>
      <c r="BB1134" s="151"/>
      <c r="BC1134" s="151"/>
      <c r="BD1134" s="151"/>
      <c r="BE1134" s="151"/>
      <c r="BF1134" s="151"/>
      <c r="BG1134" s="151"/>
      <c r="BH1134" s="151"/>
      <c r="BI1134" s="151"/>
      <c r="BJ1134" s="151"/>
      <c r="BK1134" s="151"/>
      <c r="BL1134" s="151"/>
      <c r="BM1134" s="151"/>
      <c r="BN1134" s="151"/>
      <c r="BO1134" s="151"/>
      <c r="BP1134" s="151"/>
      <c r="BQ1134" s="151"/>
      <c r="BR1134" s="151"/>
      <c r="BS1134" s="151"/>
      <c r="BT1134" s="151"/>
      <c r="BU1134" s="151"/>
      <c r="BV1134" s="151"/>
      <c r="BW1134" s="151"/>
      <c r="BX1134" s="151"/>
      <c r="BY1134" s="151"/>
    </row>
    <row r="1135" spans="1:77" s="19" customFormat="1" x14ac:dyDescent="0.15">
      <c r="A1135" s="151">
        <v>1305010023</v>
      </c>
      <c r="B1135" s="157" t="s">
        <v>821</v>
      </c>
      <c r="C1135" s="151" t="s">
        <v>89</v>
      </c>
      <c r="D1135" s="151"/>
      <c r="E1135" s="151" t="s">
        <v>78</v>
      </c>
      <c r="F1135" s="151"/>
      <c r="G1135" s="151"/>
      <c r="H1135" s="151"/>
      <c r="I1135" s="151"/>
      <c r="J1135" s="165"/>
      <c r="K1135" s="165"/>
      <c r="L1135" s="165"/>
      <c r="M1135" s="165"/>
      <c r="N1135" s="165"/>
      <c r="O1135" s="151" t="s">
        <v>90</v>
      </c>
      <c r="P1135" s="151"/>
      <c r="Q1135" s="151"/>
      <c r="R1135" s="151"/>
      <c r="S1135" s="151"/>
      <c r="T1135" s="151"/>
      <c r="U1135" s="151"/>
      <c r="V1135" s="151"/>
      <c r="W1135" s="151"/>
      <c r="X1135" s="151"/>
      <c r="Y1135" s="151"/>
      <c r="Z1135" s="151"/>
      <c r="AA1135" s="151"/>
      <c r="AB1135" s="151"/>
      <c r="AC1135" s="151"/>
      <c r="AD1135" s="151">
        <v>1305010202</v>
      </c>
      <c r="AE1135" s="151"/>
      <c r="AF1135" s="151"/>
      <c r="AG1135" s="151"/>
      <c r="AH1135" s="151"/>
      <c r="AI1135" s="151"/>
      <c r="AJ1135" s="151"/>
      <c r="AK1135" s="151"/>
      <c r="AL1135" s="151"/>
      <c r="AM1135" s="151"/>
      <c r="AN1135" s="151"/>
      <c r="AO1135" s="151"/>
      <c r="AP1135" s="151"/>
      <c r="AQ1135" s="151"/>
      <c r="AR1135" s="151"/>
      <c r="AS1135" s="151"/>
      <c r="AT1135" s="151"/>
      <c r="AU1135" s="151"/>
      <c r="AV1135" s="151"/>
      <c r="AW1135" s="151"/>
      <c r="AX1135" s="151"/>
      <c r="AY1135" s="151"/>
      <c r="AZ1135" s="151"/>
      <c r="BA1135" s="151"/>
      <c r="BB1135" s="151"/>
      <c r="BC1135" s="151"/>
      <c r="BD1135" s="151"/>
      <c r="BE1135" s="151"/>
      <c r="BF1135" s="151"/>
      <c r="BG1135" s="151"/>
      <c r="BH1135" s="151"/>
      <c r="BI1135" s="151"/>
      <c r="BJ1135" s="151"/>
      <c r="BK1135" s="151"/>
      <c r="BL1135" s="151"/>
      <c r="BM1135" s="151"/>
      <c r="BN1135" s="151"/>
      <c r="BO1135" s="151"/>
      <c r="BP1135" s="151"/>
      <c r="BQ1135" s="151"/>
      <c r="BR1135" s="151"/>
      <c r="BS1135" s="151"/>
      <c r="BT1135" s="151"/>
      <c r="BU1135" s="151"/>
      <c r="BV1135" s="151"/>
      <c r="BW1135" s="151"/>
      <c r="BX1135" s="151"/>
      <c r="BY1135" s="151"/>
    </row>
    <row r="1136" spans="1:77" s="19" customFormat="1" x14ac:dyDescent="0.15">
      <c r="A1136" s="151">
        <v>1305010033</v>
      </c>
      <c r="B1136" s="157" t="s">
        <v>821</v>
      </c>
      <c r="C1136" s="151" t="s">
        <v>89</v>
      </c>
      <c r="D1136" s="151"/>
      <c r="E1136" s="151" t="s">
        <v>78</v>
      </c>
      <c r="F1136" s="151"/>
      <c r="G1136" s="151"/>
      <c r="H1136" s="151"/>
      <c r="I1136" s="151"/>
      <c r="J1136" s="165"/>
      <c r="K1136" s="165"/>
      <c r="L1136" s="165"/>
      <c r="M1136" s="165"/>
      <c r="N1136" s="165"/>
      <c r="O1136" s="151" t="s">
        <v>90</v>
      </c>
      <c r="P1136" s="151"/>
      <c r="Q1136" s="151"/>
      <c r="R1136" s="151"/>
      <c r="S1136" s="151"/>
      <c r="T1136" s="151"/>
      <c r="U1136" s="151"/>
      <c r="V1136" s="151"/>
      <c r="W1136" s="151"/>
      <c r="X1136" s="151"/>
      <c r="Y1136" s="151"/>
      <c r="Z1136" s="151"/>
      <c r="AA1136" s="151"/>
      <c r="AB1136" s="151"/>
      <c r="AC1136" s="151"/>
      <c r="AD1136" s="151">
        <v>1305010203</v>
      </c>
      <c r="AE1136" s="151"/>
      <c r="AF1136" s="151"/>
      <c r="AG1136" s="151"/>
      <c r="AH1136" s="151"/>
      <c r="AI1136" s="151"/>
      <c r="AJ1136" s="151"/>
      <c r="AK1136" s="151"/>
      <c r="AL1136" s="151"/>
      <c r="AM1136" s="151"/>
      <c r="AN1136" s="151"/>
      <c r="AO1136" s="151"/>
      <c r="AP1136" s="151"/>
      <c r="AQ1136" s="151"/>
      <c r="AR1136" s="151"/>
      <c r="AS1136" s="151"/>
      <c r="AT1136" s="151"/>
      <c r="AU1136" s="151"/>
      <c r="AV1136" s="151"/>
      <c r="AW1136" s="151"/>
      <c r="AX1136" s="151"/>
      <c r="AY1136" s="151"/>
      <c r="AZ1136" s="151"/>
      <c r="BA1136" s="151"/>
      <c r="BB1136" s="151"/>
      <c r="BC1136" s="151"/>
      <c r="BD1136" s="151"/>
      <c r="BE1136" s="151"/>
      <c r="BF1136" s="151"/>
      <c r="BG1136" s="151"/>
      <c r="BH1136" s="151"/>
      <c r="BI1136" s="151"/>
      <c r="BJ1136" s="151"/>
      <c r="BK1136" s="151"/>
      <c r="BL1136" s="151"/>
      <c r="BM1136" s="151"/>
      <c r="BN1136" s="151"/>
      <c r="BO1136" s="151"/>
      <c r="BP1136" s="151"/>
      <c r="BQ1136" s="151"/>
      <c r="BR1136" s="151"/>
      <c r="BS1136" s="151"/>
      <c r="BT1136" s="151"/>
      <c r="BU1136" s="151"/>
      <c r="BV1136" s="151"/>
      <c r="BW1136" s="151"/>
      <c r="BX1136" s="151"/>
      <c r="BY1136" s="151"/>
    </row>
    <row r="1137" spans="1:77" s="19" customFormat="1" x14ac:dyDescent="0.15">
      <c r="A1137" s="151">
        <v>1305010043</v>
      </c>
      <c r="B1137" s="157" t="s">
        <v>821</v>
      </c>
      <c r="C1137" s="151" t="s">
        <v>89</v>
      </c>
      <c r="D1137" s="151"/>
      <c r="E1137" s="151" t="s">
        <v>78</v>
      </c>
      <c r="F1137" s="151"/>
      <c r="G1137" s="151"/>
      <c r="H1137" s="151"/>
      <c r="I1137" s="151"/>
      <c r="J1137" s="165"/>
      <c r="K1137" s="165"/>
      <c r="L1137" s="165"/>
      <c r="M1137" s="165"/>
      <c r="N1137" s="165"/>
      <c r="O1137" s="151" t="s">
        <v>90</v>
      </c>
      <c r="P1137" s="151"/>
      <c r="Q1137" s="151"/>
      <c r="R1137" s="151"/>
      <c r="S1137" s="151"/>
      <c r="T1137" s="151"/>
      <c r="U1137" s="151"/>
      <c r="V1137" s="151"/>
      <c r="W1137" s="151"/>
      <c r="X1137" s="151"/>
      <c r="Y1137" s="151"/>
      <c r="Z1137" s="151"/>
      <c r="AA1137" s="151"/>
      <c r="AB1137" s="151"/>
      <c r="AC1137" s="151"/>
      <c r="AD1137" s="151">
        <v>1305010204</v>
      </c>
      <c r="AE1137" s="151"/>
      <c r="AF1137" s="151"/>
      <c r="AG1137" s="151"/>
      <c r="AH1137" s="151"/>
      <c r="AI1137" s="151"/>
      <c r="AJ1137" s="151"/>
      <c r="AK1137" s="151"/>
      <c r="AL1137" s="151"/>
      <c r="AM1137" s="151"/>
      <c r="AN1137" s="151"/>
      <c r="AO1137" s="151"/>
      <c r="AP1137" s="151"/>
      <c r="AQ1137" s="151"/>
      <c r="AR1137" s="151"/>
      <c r="AS1137" s="151"/>
      <c r="AT1137" s="151"/>
      <c r="AU1137" s="151"/>
      <c r="AV1137" s="151"/>
      <c r="AW1137" s="151"/>
      <c r="AX1137" s="151"/>
      <c r="AY1137" s="151"/>
      <c r="AZ1137" s="151"/>
      <c r="BA1137" s="151"/>
      <c r="BB1137" s="151"/>
      <c r="BC1137" s="151"/>
      <c r="BD1137" s="151"/>
      <c r="BE1137" s="151"/>
      <c r="BF1137" s="151"/>
      <c r="BG1137" s="151"/>
      <c r="BH1137" s="151"/>
      <c r="BI1137" s="151"/>
      <c r="BJ1137" s="151"/>
      <c r="BK1137" s="151"/>
      <c r="BL1137" s="151"/>
      <c r="BM1137" s="151"/>
      <c r="BN1137" s="151"/>
      <c r="BO1137" s="151"/>
      <c r="BP1137" s="151"/>
      <c r="BQ1137" s="151"/>
      <c r="BR1137" s="151"/>
      <c r="BS1137" s="151"/>
      <c r="BT1137" s="151"/>
      <c r="BU1137" s="151"/>
      <c r="BV1137" s="151"/>
      <c r="BW1137" s="151"/>
      <c r="BX1137" s="151"/>
      <c r="BY1137" s="151"/>
    </row>
    <row r="1138" spans="1:77" s="19" customFormat="1" x14ac:dyDescent="0.15">
      <c r="A1138" s="151">
        <v>1305020011</v>
      </c>
      <c r="B1138" s="157" t="s">
        <v>822</v>
      </c>
      <c r="C1138" s="151" t="s">
        <v>100</v>
      </c>
      <c r="D1138" s="151"/>
      <c r="E1138" s="151" t="s">
        <v>823</v>
      </c>
      <c r="F1138" s="151">
        <v>70000</v>
      </c>
      <c r="G1138" s="151"/>
      <c r="H1138" s="151"/>
      <c r="I1138" s="151"/>
      <c r="J1138" s="165"/>
      <c r="K1138" s="165"/>
      <c r="L1138" s="165"/>
      <c r="M1138" s="165" t="s">
        <v>101</v>
      </c>
      <c r="N1138" s="165" t="s">
        <v>842</v>
      </c>
      <c r="O1138" s="151" t="s">
        <v>79</v>
      </c>
      <c r="P1138" s="151" t="s">
        <v>80</v>
      </c>
      <c r="Q1138" s="151">
        <v>200</v>
      </c>
      <c r="R1138" s="151">
        <v>3500</v>
      </c>
      <c r="S1138" s="151"/>
      <c r="T1138" s="151"/>
      <c r="U1138" s="151"/>
      <c r="V1138" s="151"/>
      <c r="W1138" s="151"/>
      <c r="X1138" s="151"/>
      <c r="Y1138" s="151"/>
      <c r="Z1138" s="151"/>
      <c r="AA1138" s="151"/>
      <c r="AB1138" s="151"/>
      <c r="AC1138" s="151"/>
      <c r="AE1138" s="151"/>
      <c r="AF1138" s="151"/>
      <c r="AG1138" s="151"/>
      <c r="AH1138" s="151"/>
      <c r="AI1138" s="151"/>
      <c r="AJ1138" s="151" t="s">
        <v>90</v>
      </c>
      <c r="AK1138" s="151"/>
      <c r="AL1138" s="151"/>
      <c r="AM1138" s="151"/>
      <c r="AN1138" s="151"/>
      <c r="AO1138" s="151"/>
      <c r="AP1138" s="151"/>
      <c r="AQ1138" s="151"/>
      <c r="AR1138" s="151"/>
      <c r="AS1138" s="151"/>
      <c r="AT1138" s="151"/>
      <c r="AU1138" s="151"/>
      <c r="AV1138" s="151"/>
      <c r="AW1138" s="151"/>
      <c r="AX1138" s="151">
        <v>1305020201</v>
      </c>
      <c r="AY1138" s="151">
        <v>1305020101</v>
      </c>
      <c r="AZ1138" s="151"/>
      <c r="BA1138" s="151"/>
      <c r="BB1138" s="151"/>
      <c r="BC1138" s="151"/>
      <c r="BD1138" s="151"/>
      <c r="BE1138" s="151"/>
      <c r="BF1138" s="151"/>
      <c r="BG1138" s="151"/>
      <c r="BH1138" s="151"/>
      <c r="BI1138" s="151"/>
      <c r="BJ1138" s="151"/>
      <c r="BK1138" s="151"/>
      <c r="BL1138" s="151"/>
      <c r="BM1138" s="151"/>
      <c r="BN1138" s="151"/>
      <c r="BO1138" s="151"/>
      <c r="BP1138" s="151"/>
      <c r="BQ1138" s="151"/>
      <c r="BR1138" s="151"/>
      <c r="BS1138" s="151"/>
      <c r="BT1138" s="151"/>
      <c r="BU1138" s="151"/>
      <c r="BV1138" s="151"/>
      <c r="BW1138" s="151"/>
      <c r="BX1138" s="151"/>
      <c r="BY1138" s="151"/>
    </row>
    <row r="1139" spans="1:77" s="19" customFormat="1" x14ac:dyDescent="0.15">
      <c r="A1139" s="151">
        <v>1305020021</v>
      </c>
      <c r="B1139" s="157" t="s">
        <v>822</v>
      </c>
      <c r="C1139" s="151" t="s">
        <v>100</v>
      </c>
      <c r="D1139" s="151"/>
      <c r="E1139" s="151" t="s">
        <v>823</v>
      </c>
      <c r="F1139" s="151">
        <v>70000</v>
      </c>
      <c r="G1139" s="151"/>
      <c r="H1139" s="151"/>
      <c r="I1139" s="151"/>
      <c r="J1139" s="165"/>
      <c r="K1139" s="165"/>
      <c r="L1139" s="165"/>
      <c r="M1139" s="165" t="s">
        <v>101</v>
      </c>
      <c r="N1139" s="165" t="s">
        <v>842</v>
      </c>
      <c r="O1139" s="151" t="s">
        <v>79</v>
      </c>
      <c r="P1139" s="151" t="s">
        <v>80</v>
      </c>
      <c r="Q1139" s="151">
        <v>260</v>
      </c>
      <c r="R1139" s="151">
        <v>3500</v>
      </c>
      <c r="S1139" s="151"/>
      <c r="T1139" s="151"/>
      <c r="U1139" s="151"/>
      <c r="V1139" s="151"/>
      <c r="W1139" s="151"/>
      <c r="X1139" s="151"/>
      <c r="Y1139" s="151"/>
      <c r="Z1139" s="151"/>
      <c r="AA1139" s="151"/>
      <c r="AB1139" s="151"/>
      <c r="AC1139" s="151"/>
      <c r="AE1139" s="151"/>
      <c r="AF1139" s="151"/>
      <c r="AG1139" s="151"/>
      <c r="AH1139" s="151"/>
      <c r="AI1139" s="151"/>
      <c r="AJ1139" s="151" t="s">
        <v>90</v>
      </c>
      <c r="AK1139" s="151"/>
      <c r="AL1139" s="151"/>
      <c r="AM1139" s="151"/>
      <c r="AN1139" s="151"/>
      <c r="AO1139" s="151"/>
      <c r="AP1139" s="151"/>
      <c r="AQ1139" s="151"/>
      <c r="AR1139" s="151"/>
      <c r="AS1139" s="151"/>
      <c r="AT1139" s="151"/>
      <c r="AU1139" s="151"/>
      <c r="AV1139" s="151"/>
      <c r="AW1139" s="151"/>
      <c r="AX1139" s="151">
        <v>1305020202</v>
      </c>
      <c r="AY1139" s="151">
        <v>1305020102</v>
      </c>
      <c r="AZ1139" s="151"/>
      <c r="BA1139" s="151"/>
      <c r="BB1139" s="151"/>
      <c r="BC1139" s="151"/>
      <c r="BD1139" s="151"/>
      <c r="BE1139" s="151"/>
      <c r="BF1139" s="151"/>
      <c r="BG1139" s="151"/>
      <c r="BH1139" s="151"/>
      <c r="BI1139" s="151"/>
      <c r="BJ1139" s="151"/>
      <c r="BK1139" s="151"/>
      <c r="BL1139" s="151"/>
      <c r="BM1139" s="151"/>
      <c r="BN1139" s="151"/>
      <c r="BO1139" s="151"/>
      <c r="BP1139" s="151"/>
      <c r="BQ1139" s="151"/>
      <c r="BR1139" s="151"/>
      <c r="BS1139" s="151"/>
      <c r="BT1139" s="151"/>
      <c r="BU1139" s="151"/>
      <c r="BV1139" s="151"/>
      <c r="BW1139" s="151"/>
      <c r="BX1139" s="151"/>
      <c r="BY1139" s="151"/>
    </row>
    <row r="1140" spans="1:77" s="19" customFormat="1" x14ac:dyDescent="0.15">
      <c r="A1140" s="151">
        <v>1305020031</v>
      </c>
      <c r="B1140" s="157" t="s">
        <v>822</v>
      </c>
      <c r="C1140" s="151" t="s">
        <v>100</v>
      </c>
      <c r="D1140" s="151"/>
      <c r="E1140" s="151" t="s">
        <v>823</v>
      </c>
      <c r="F1140" s="151">
        <v>70000</v>
      </c>
      <c r="G1140" s="151"/>
      <c r="H1140" s="151"/>
      <c r="I1140" s="151"/>
      <c r="J1140" s="165"/>
      <c r="K1140" s="165"/>
      <c r="L1140" s="165"/>
      <c r="M1140" s="165" t="s">
        <v>101</v>
      </c>
      <c r="N1140" s="165" t="s">
        <v>842</v>
      </c>
      <c r="O1140" s="151" t="s">
        <v>79</v>
      </c>
      <c r="P1140" s="151" t="s">
        <v>80</v>
      </c>
      <c r="Q1140" s="151">
        <v>320</v>
      </c>
      <c r="R1140" s="151">
        <v>3500</v>
      </c>
      <c r="S1140" s="151"/>
      <c r="T1140" s="151"/>
      <c r="U1140" s="151"/>
      <c r="V1140" s="151"/>
      <c r="W1140" s="151"/>
      <c r="X1140" s="151"/>
      <c r="Y1140" s="151"/>
      <c r="Z1140" s="151"/>
      <c r="AA1140" s="151"/>
      <c r="AB1140" s="151"/>
      <c r="AC1140" s="151"/>
      <c r="AE1140" s="151"/>
      <c r="AF1140" s="151"/>
      <c r="AG1140" s="151"/>
      <c r="AH1140" s="151"/>
      <c r="AI1140" s="151"/>
      <c r="AJ1140" s="151" t="s">
        <v>90</v>
      </c>
      <c r="AK1140" s="151"/>
      <c r="AL1140" s="151"/>
      <c r="AM1140" s="151"/>
      <c r="AN1140" s="151"/>
      <c r="AO1140" s="151"/>
      <c r="AP1140" s="151"/>
      <c r="AQ1140" s="151"/>
      <c r="AR1140" s="151"/>
      <c r="AS1140" s="151"/>
      <c r="AT1140" s="151"/>
      <c r="AU1140" s="151"/>
      <c r="AV1140" s="151"/>
      <c r="AW1140" s="151"/>
      <c r="AX1140" s="151">
        <v>1305020103</v>
      </c>
      <c r="AY1140" s="151">
        <v>1305020103</v>
      </c>
      <c r="AZ1140" s="151"/>
      <c r="BA1140" s="151"/>
      <c r="BB1140" s="151"/>
      <c r="BC1140" s="151"/>
      <c r="BD1140" s="151"/>
      <c r="BE1140" s="151"/>
      <c r="BF1140" s="151"/>
      <c r="BG1140" s="151"/>
      <c r="BH1140" s="151"/>
      <c r="BI1140" s="151"/>
      <c r="BJ1140" s="151"/>
      <c r="BK1140" s="151"/>
      <c r="BL1140" s="151"/>
      <c r="BM1140" s="151"/>
      <c r="BN1140" s="151"/>
      <c r="BO1140" s="151"/>
      <c r="BP1140" s="151"/>
      <c r="BQ1140" s="151"/>
      <c r="BR1140" s="151"/>
      <c r="BS1140" s="151"/>
      <c r="BT1140" s="151"/>
      <c r="BU1140" s="151"/>
      <c r="BV1140" s="151"/>
      <c r="BW1140" s="151"/>
      <c r="BX1140" s="151"/>
      <c r="BY1140" s="151"/>
    </row>
    <row r="1141" spans="1:77" s="19" customFormat="1" x14ac:dyDescent="0.15">
      <c r="A1141" s="151">
        <v>1305020041</v>
      </c>
      <c r="B1141" s="157" t="s">
        <v>822</v>
      </c>
      <c r="C1141" s="151" t="s">
        <v>100</v>
      </c>
      <c r="D1141" s="151"/>
      <c r="E1141" s="151" t="s">
        <v>823</v>
      </c>
      <c r="F1141" s="151">
        <v>70000</v>
      </c>
      <c r="G1141" s="151"/>
      <c r="H1141" s="151"/>
      <c r="I1141" s="151"/>
      <c r="J1141" s="165"/>
      <c r="K1141" s="165"/>
      <c r="L1141" s="165"/>
      <c r="M1141" s="165" t="s">
        <v>101</v>
      </c>
      <c r="N1141" s="165" t="s">
        <v>842</v>
      </c>
      <c r="O1141" s="151" t="s">
        <v>79</v>
      </c>
      <c r="P1141" s="151" t="s">
        <v>80</v>
      </c>
      <c r="Q1141" s="151">
        <v>380</v>
      </c>
      <c r="R1141" s="151">
        <v>3500</v>
      </c>
      <c r="S1141" s="151"/>
      <c r="T1141" s="151"/>
      <c r="U1141" s="151"/>
      <c r="V1141" s="151"/>
      <c r="W1141" s="151"/>
      <c r="X1141" s="151"/>
      <c r="Y1141" s="151"/>
      <c r="Z1141" s="151"/>
      <c r="AA1141" s="151"/>
      <c r="AB1141" s="151"/>
      <c r="AC1141" s="151"/>
      <c r="AE1141" s="151"/>
      <c r="AF1141" s="151"/>
      <c r="AG1141" s="151"/>
      <c r="AH1141" s="151"/>
      <c r="AI1141" s="151"/>
      <c r="AJ1141" s="151" t="s">
        <v>90</v>
      </c>
      <c r="AK1141" s="151"/>
      <c r="AL1141" s="151"/>
      <c r="AM1141" s="151"/>
      <c r="AN1141" s="151"/>
      <c r="AO1141" s="151"/>
      <c r="AP1141" s="151"/>
      <c r="AQ1141" s="151"/>
      <c r="AR1141" s="151"/>
      <c r="AS1141" s="151"/>
      <c r="AT1141" s="151"/>
      <c r="AU1141" s="151"/>
      <c r="AV1141" s="151"/>
      <c r="AW1141" s="151"/>
      <c r="AX1141" s="151">
        <v>1305020104</v>
      </c>
      <c r="AY1141" s="151">
        <v>1305020104</v>
      </c>
      <c r="AZ1141" s="151"/>
      <c r="BA1141" s="151"/>
      <c r="BB1141" s="151"/>
      <c r="BC1141" s="151"/>
      <c r="BD1141" s="151"/>
      <c r="BE1141" s="151"/>
      <c r="BF1141" s="151"/>
      <c r="BG1141" s="151"/>
      <c r="BH1141" s="151"/>
      <c r="BI1141" s="151"/>
      <c r="BJ1141" s="151"/>
      <c r="BK1141" s="151"/>
      <c r="BL1141" s="151"/>
      <c r="BM1141" s="151"/>
      <c r="BN1141" s="151"/>
      <c r="BO1141" s="151"/>
      <c r="BP1141" s="151"/>
      <c r="BQ1141" s="151"/>
      <c r="BR1141" s="151"/>
      <c r="BS1141" s="151"/>
      <c r="BT1141" s="151"/>
      <c r="BU1141" s="151"/>
      <c r="BV1141" s="151"/>
      <c r="BW1141" s="151"/>
      <c r="BX1141" s="151"/>
      <c r="BY1141" s="151"/>
    </row>
    <row r="1142" spans="1:77" s="19" customFormat="1" x14ac:dyDescent="0.15">
      <c r="A1142" s="151">
        <v>1305040011</v>
      </c>
      <c r="B1142" s="157" t="s">
        <v>567</v>
      </c>
      <c r="C1142" s="151" t="s">
        <v>100</v>
      </c>
      <c r="D1142" s="151"/>
      <c r="E1142" s="151" t="s">
        <v>83</v>
      </c>
      <c r="F1142" s="151">
        <v>70000</v>
      </c>
      <c r="G1142" s="151"/>
      <c r="H1142" s="151"/>
      <c r="I1142" s="151"/>
      <c r="J1142" s="165"/>
      <c r="K1142" s="165"/>
      <c r="L1142" s="165"/>
      <c r="M1142" s="165" t="s">
        <v>101</v>
      </c>
      <c r="N1142" s="165" t="s">
        <v>842</v>
      </c>
      <c r="O1142" s="151" t="s">
        <v>79</v>
      </c>
      <c r="P1142" s="151" t="s">
        <v>837</v>
      </c>
      <c r="Q1142" s="151">
        <v>250</v>
      </c>
      <c r="R1142" s="151">
        <v>3000</v>
      </c>
      <c r="S1142" s="151"/>
      <c r="T1142" s="151"/>
      <c r="U1142" s="151"/>
      <c r="V1142" s="151"/>
      <c r="W1142" s="151"/>
      <c r="X1142" s="151"/>
      <c r="Y1142" s="151"/>
      <c r="Z1142" s="151"/>
      <c r="AA1142" s="151"/>
      <c r="AB1142" s="151"/>
      <c r="AC1142" s="151"/>
      <c r="AD1142" s="151"/>
      <c r="AE1142" s="151"/>
      <c r="AF1142" s="151"/>
      <c r="AG1142" s="151"/>
      <c r="AH1142" s="151"/>
      <c r="AI1142" s="151"/>
      <c r="AJ1142" s="151"/>
      <c r="AK1142" s="151"/>
      <c r="AL1142" s="151"/>
      <c r="AM1142" s="151"/>
      <c r="AN1142" s="151"/>
      <c r="AO1142" s="151"/>
      <c r="AP1142" s="151"/>
      <c r="AQ1142" s="151"/>
      <c r="AR1142" s="151"/>
      <c r="AS1142" s="151"/>
      <c r="AT1142" s="151"/>
      <c r="AU1142" s="151"/>
      <c r="AV1142" s="151"/>
      <c r="AW1142" s="151"/>
      <c r="AX1142" s="151"/>
      <c r="AY1142" s="151"/>
      <c r="AZ1142" s="151"/>
      <c r="BA1142" s="151"/>
      <c r="BB1142" s="151"/>
      <c r="BC1142" s="151"/>
      <c r="BD1142" s="151"/>
      <c r="BE1142" s="151"/>
      <c r="BF1142" s="151"/>
      <c r="BG1142" s="151"/>
      <c r="BH1142" s="151"/>
      <c r="BI1142" s="151"/>
      <c r="BJ1142" s="151"/>
      <c r="BK1142" s="151"/>
      <c r="BL1142" s="151"/>
      <c r="BM1142" s="151"/>
      <c r="BN1142" s="151"/>
      <c r="BO1142" s="151"/>
      <c r="BP1142" s="151"/>
      <c r="BQ1142" s="151"/>
      <c r="BR1142" s="151"/>
      <c r="BS1142" s="151"/>
      <c r="BT1142" s="151"/>
      <c r="BU1142" s="151"/>
      <c r="BV1142" s="151"/>
      <c r="BW1142" s="151"/>
      <c r="BX1142" s="151"/>
      <c r="BY1142" s="151"/>
    </row>
    <row r="1143" spans="1:77" s="19" customFormat="1" x14ac:dyDescent="0.15">
      <c r="A1143" s="151">
        <v>1305040021</v>
      </c>
      <c r="B1143" s="157" t="s">
        <v>567</v>
      </c>
      <c r="C1143" s="151" t="s">
        <v>100</v>
      </c>
      <c r="D1143" s="151"/>
      <c r="E1143" s="151" t="s">
        <v>83</v>
      </c>
      <c r="F1143" s="151">
        <v>70000</v>
      </c>
      <c r="G1143" s="151"/>
      <c r="H1143" s="151"/>
      <c r="I1143" s="151"/>
      <c r="J1143" s="165"/>
      <c r="K1143" s="165"/>
      <c r="L1143" s="165"/>
      <c r="M1143" s="165" t="s">
        <v>101</v>
      </c>
      <c r="N1143" s="165" t="s">
        <v>842</v>
      </c>
      <c r="O1143" s="151" t="s">
        <v>79</v>
      </c>
      <c r="P1143" s="151" t="s">
        <v>837</v>
      </c>
      <c r="Q1143" s="151">
        <v>350</v>
      </c>
      <c r="R1143" s="151">
        <v>3000</v>
      </c>
      <c r="S1143" s="151"/>
      <c r="T1143" s="151"/>
      <c r="U1143" s="151"/>
      <c r="V1143" s="151"/>
      <c r="W1143" s="151"/>
      <c r="X1143" s="151"/>
      <c r="Y1143" s="151"/>
      <c r="Z1143" s="151"/>
      <c r="AA1143" s="151"/>
      <c r="AB1143" s="151"/>
      <c r="AC1143" s="151"/>
      <c r="AD1143" s="151"/>
      <c r="AE1143" s="151"/>
      <c r="AF1143" s="151"/>
      <c r="AG1143" s="151"/>
      <c r="AH1143" s="151"/>
      <c r="AI1143" s="151"/>
      <c r="AJ1143" s="151"/>
      <c r="AK1143" s="151"/>
      <c r="AL1143" s="151"/>
      <c r="AM1143" s="151"/>
      <c r="AN1143" s="151"/>
      <c r="AO1143" s="151"/>
      <c r="AP1143" s="151"/>
      <c r="AQ1143" s="151"/>
      <c r="AR1143" s="151"/>
      <c r="AS1143" s="151"/>
      <c r="AT1143" s="151"/>
      <c r="AU1143" s="151"/>
      <c r="AV1143" s="151"/>
      <c r="AW1143" s="151"/>
      <c r="AX1143" s="151"/>
      <c r="AY1143" s="151"/>
      <c r="AZ1143" s="151"/>
      <c r="BA1143" s="151"/>
      <c r="BB1143" s="151"/>
      <c r="BC1143" s="151"/>
      <c r="BD1143" s="151"/>
      <c r="BE1143" s="151"/>
      <c r="BF1143" s="151"/>
      <c r="BG1143" s="151"/>
      <c r="BH1143" s="151"/>
      <c r="BI1143" s="151"/>
      <c r="BJ1143" s="151"/>
      <c r="BK1143" s="151"/>
      <c r="BL1143" s="151"/>
      <c r="BM1143" s="151"/>
      <c r="BN1143" s="151"/>
      <c r="BO1143" s="151"/>
      <c r="BP1143" s="151"/>
      <c r="BQ1143" s="151"/>
      <c r="BR1143" s="151"/>
      <c r="BS1143" s="151"/>
      <c r="BT1143" s="151"/>
      <c r="BU1143" s="151"/>
      <c r="BV1143" s="151"/>
      <c r="BW1143" s="151"/>
      <c r="BX1143" s="151"/>
      <c r="BY1143" s="151"/>
    </row>
    <row r="1144" spans="1:77" s="19" customFormat="1" x14ac:dyDescent="0.15">
      <c r="A1144" s="151">
        <v>1305040012</v>
      </c>
      <c r="B1144" s="157" t="s">
        <v>568</v>
      </c>
      <c r="C1144" s="151" t="s">
        <v>89</v>
      </c>
      <c r="D1144" s="151"/>
      <c r="E1144" s="151" t="s">
        <v>78</v>
      </c>
      <c r="F1144" s="151"/>
      <c r="G1144" s="151"/>
      <c r="H1144" s="151"/>
      <c r="I1144" s="151"/>
      <c r="J1144" s="165"/>
      <c r="K1144" s="165"/>
      <c r="L1144" s="165"/>
      <c r="M1144" s="165"/>
      <c r="N1144" s="165"/>
      <c r="O1144" s="151" t="s">
        <v>90</v>
      </c>
      <c r="P1144" s="151"/>
      <c r="Q1144" s="151"/>
      <c r="R1144" s="151"/>
      <c r="S1144" s="151"/>
      <c r="T1144" s="151"/>
      <c r="U1144" s="151"/>
      <c r="V1144" s="151"/>
      <c r="W1144" s="151"/>
      <c r="X1144" s="151"/>
      <c r="Y1144" s="151"/>
      <c r="Z1144" s="151"/>
      <c r="AA1144" s="151"/>
      <c r="AB1144" s="151"/>
      <c r="AC1144" s="151"/>
      <c r="AD1144" s="151">
        <v>1305040101</v>
      </c>
      <c r="AE1144" s="151"/>
      <c r="AF1144" s="151"/>
      <c r="AG1144" s="151"/>
      <c r="AH1144" s="151"/>
      <c r="AI1144" s="151"/>
      <c r="AJ1144" s="151"/>
      <c r="AK1144" s="151"/>
      <c r="AL1144" s="151"/>
      <c r="AM1144" s="151"/>
      <c r="AN1144" s="151"/>
      <c r="AO1144" s="151"/>
      <c r="AP1144" s="151"/>
      <c r="AQ1144" s="151"/>
      <c r="AR1144" s="151"/>
      <c r="AS1144" s="151"/>
      <c r="AT1144" s="151"/>
      <c r="AU1144" s="151"/>
      <c r="AV1144" s="151"/>
      <c r="AW1144" s="151"/>
      <c r="AX1144" s="151"/>
      <c r="AY1144" s="151"/>
      <c r="AZ1144" s="151"/>
      <c r="BA1144" s="151"/>
      <c r="BB1144" s="151"/>
      <c r="BC1144" s="151"/>
      <c r="BD1144" s="151"/>
      <c r="BE1144" s="151"/>
      <c r="BF1144" s="151"/>
      <c r="BG1144" s="151"/>
      <c r="BH1144" s="151"/>
      <c r="BI1144" s="151"/>
      <c r="BJ1144" s="151"/>
      <c r="BK1144" s="151"/>
      <c r="BL1144" s="151"/>
      <c r="BM1144" s="151"/>
      <c r="BN1144" s="151"/>
      <c r="BO1144" s="151"/>
      <c r="BP1144" s="151"/>
      <c r="BQ1144" s="151"/>
      <c r="BR1144" s="151"/>
      <c r="BS1144" s="151"/>
      <c r="BT1144" s="151"/>
      <c r="BU1144" s="151"/>
      <c r="BV1144" s="151"/>
      <c r="BW1144" s="151"/>
      <c r="BX1144" s="151"/>
      <c r="BY1144" s="151"/>
    </row>
    <row r="1145" spans="1:77" s="19" customFormat="1" x14ac:dyDescent="0.15">
      <c r="A1145" s="151">
        <v>1305040022</v>
      </c>
      <c r="B1145" s="157" t="s">
        <v>568</v>
      </c>
      <c r="C1145" s="151" t="s">
        <v>89</v>
      </c>
      <c r="D1145" s="151"/>
      <c r="E1145" s="151" t="s">
        <v>78</v>
      </c>
      <c r="F1145" s="151"/>
      <c r="G1145" s="151"/>
      <c r="H1145" s="151"/>
      <c r="I1145" s="151"/>
      <c r="J1145" s="165"/>
      <c r="K1145" s="165"/>
      <c r="L1145" s="165"/>
      <c r="M1145" s="165"/>
      <c r="N1145" s="165"/>
      <c r="O1145" s="151" t="s">
        <v>90</v>
      </c>
      <c r="P1145" s="151"/>
      <c r="Q1145" s="151"/>
      <c r="R1145" s="151"/>
      <c r="S1145" s="151"/>
      <c r="T1145" s="151"/>
      <c r="U1145" s="151"/>
      <c r="V1145" s="151"/>
      <c r="W1145" s="151"/>
      <c r="X1145" s="151"/>
      <c r="Y1145" s="151"/>
      <c r="Z1145" s="151"/>
      <c r="AA1145" s="151"/>
      <c r="AB1145" s="151"/>
      <c r="AC1145" s="151"/>
      <c r="AD1145" s="151">
        <v>1305040102</v>
      </c>
      <c r="AE1145" s="151"/>
      <c r="AF1145" s="151"/>
      <c r="AG1145" s="151"/>
      <c r="AH1145" s="151"/>
      <c r="AI1145" s="151"/>
      <c r="AJ1145" s="151"/>
      <c r="AK1145" s="151"/>
      <c r="AL1145" s="151"/>
      <c r="AM1145" s="151"/>
      <c r="AN1145" s="151"/>
      <c r="AO1145" s="151"/>
      <c r="AP1145" s="151"/>
      <c r="AQ1145" s="151"/>
      <c r="AR1145" s="151"/>
      <c r="AS1145" s="151"/>
      <c r="AT1145" s="151"/>
      <c r="AU1145" s="151"/>
      <c r="AV1145" s="151"/>
      <c r="AW1145" s="151"/>
      <c r="AX1145" s="151"/>
      <c r="AY1145" s="151"/>
      <c r="AZ1145" s="151"/>
      <c r="BA1145" s="151"/>
      <c r="BB1145" s="151"/>
      <c r="BC1145" s="151"/>
      <c r="BD1145" s="151"/>
      <c r="BE1145" s="151"/>
      <c r="BF1145" s="151"/>
      <c r="BG1145" s="151"/>
      <c r="BH1145" s="151"/>
      <c r="BI1145" s="151"/>
      <c r="BJ1145" s="151"/>
      <c r="BK1145" s="151"/>
      <c r="BL1145" s="151"/>
      <c r="BM1145" s="151"/>
      <c r="BN1145" s="151"/>
      <c r="BO1145" s="151"/>
      <c r="BP1145" s="151"/>
      <c r="BQ1145" s="151"/>
      <c r="BR1145" s="151"/>
      <c r="BS1145" s="151"/>
      <c r="BT1145" s="151"/>
      <c r="BU1145" s="151"/>
      <c r="BV1145" s="151"/>
      <c r="BW1145" s="151"/>
      <c r="BX1145" s="151"/>
      <c r="BY1145" s="151"/>
    </row>
    <row r="1146" spans="1:77" s="19" customFormat="1" x14ac:dyDescent="0.15">
      <c r="A1146" s="151">
        <v>1305040013</v>
      </c>
      <c r="B1146" s="157" t="s">
        <v>838</v>
      </c>
      <c r="C1146" s="151" t="s">
        <v>100</v>
      </c>
      <c r="D1146" s="151"/>
      <c r="E1146" s="151" t="s">
        <v>83</v>
      </c>
      <c r="F1146" s="151">
        <v>80000</v>
      </c>
      <c r="G1146" s="151"/>
      <c r="H1146" s="151"/>
      <c r="I1146" s="151"/>
      <c r="J1146" s="165"/>
      <c r="K1146" s="165" t="s">
        <v>859</v>
      </c>
      <c r="L1146" s="165">
        <v>5</v>
      </c>
      <c r="M1146" s="165"/>
      <c r="N1146" s="165"/>
      <c r="O1146" s="151" t="s">
        <v>79</v>
      </c>
      <c r="P1146" s="151" t="s">
        <v>824</v>
      </c>
      <c r="Q1146" s="151">
        <v>45</v>
      </c>
      <c r="R1146" s="151">
        <v>500</v>
      </c>
      <c r="S1146" s="151"/>
      <c r="T1146" s="151"/>
      <c r="U1146" s="151">
        <v>3000</v>
      </c>
      <c r="V1146" s="151"/>
      <c r="W1146" s="151"/>
      <c r="X1146" s="151"/>
      <c r="Y1146" s="151"/>
      <c r="Z1146" s="151"/>
      <c r="AA1146" s="151"/>
      <c r="AB1146" s="151"/>
      <c r="AC1146" s="151"/>
      <c r="AD1146" s="151"/>
      <c r="AE1146" s="151"/>
      <c r="AF1146" s="151"/>
      <c r="AG1146" s="151"/>
      <c r="AH1146" s="151"/>
      <c r="AI1146" s="151"/>
      <c r="AJ1146" s="151"/>
      <c r="AK1146" s="151"/>
      <c r="AL1146" s="151"/>
      <c r="AM1146" s="151"/>
      <c r="AN1146" s="151"/>
      <c r="AO1146" s="151"/>
      <c r="AP1146" s="151"/>
      <c r="AQ1146" s="151"/>
      <c r="AR1146" s="151"/>
      <c r="AS1146" s="151"/>
      <c r="AT1146" s="151"/>
      <c r="AU1146" s="151"/>
      <c r="AV1146" s="151"/>
      <c r="AW1146" s="151"/>
      <c r="AX1146" s="151"/>
      <c r="AY1146" s="151"/>
      <c r="AZ1146" s="151"/>
      <c r="BA1146" s="151"/>
      <c r="BB1146" s="151"/>
      <c r="BC1146" s="151"/>
      <c r="BD1146" s="151"/>
      <c r="BE1146" s="151"/>
      <c r="BF1146" s="151"/>
      <c r="BG1146" s="151"/>
      <c r="BH1146" s="151"/>
      <c r="BI1146" s="151"/>
      <c r="BJ1146" s="151"/>
      <c r="BK1146" s="151"/>
      <c r="BL1146" s="151"/>
      <c r="BM1146" s="151"/>
      <c r="BN1146" s="151"/>
      <c r="BO1146" s="151"/>
      <c r="BP1146" s="151"/>
      <c r="BQ1146" s="151"/>
      <c r="BR1146" s="151"/>
      <c r="BS1146" s="151"/>
      <c r="BT1146" s="151"/>
      <c r="BU1146" s="151"/>
      <c r="BV1146" s="151"/>
      <c r="BW1146" s="151"/>
      <c r="BX1146" s="151"/>
      <c r="BY1146" s="151"/>
    </row>
    <row r="1147" spans="1:77" s="19" customFormat="1" x14ac:dyDescent="0.15">
      <c r="A1147" s="151">
        <v>1305040023</v>
      </c>
      <c r="B1147" s="157" t="s">
        <v>839</v>
      </c>
      <c r="C1147" s="151" t="s">
        <v>100</v>
      </c>
      <c r="D1147" s="151"/>
      <c r="E1147" s="151" t="s">
        <v>83</v>
      </c>
      <c r="F1147" s="151">
        <v>80000</v>
      </c>
      <c r="G1147" s="151"/>
      <c r="H1147" s="151"/>
      <c r="I1147" s="151"/>
      <c r="J1147" s="165"/>
      <c r="K1147" s="165" t="s">
        <v>389</v>
      </c>
      <c r="L1147" s="165">
        <v>5</v>
      </c>
      <c r="M1147" s="165"/>
      <c r="N1147" s="165"/>
      <c r="O1147" s="151" t="s">
        <v>79</v>
      </c>
      <c r="P1147" s="151" t="s">
        <v>824</v>
      </c>
      <c r="Q1147" s="151">
        <v>75</v>
      </c>
      <c r="R1147" s="151">
        <v>500</v>
      </c>
      <c r="S1147" s="151"/>
      <c r="T1147" s="151"/>
      <c r="U1147" s="151">
        <v>3000</v>
      </c>
      <c r="V1147" s="151"/>
      <c r="W1147" s="151"/>
      <c r="X1147" s="151"/>
      <c r="Y1147" s="151"/>
      <c r="Z1147" s="151"/>
      <c r="AA1147" s="151"/>
      <c r="AB1147" s="151"/>
      <c r="AC1147" s="151"/>
      <c r="AD1147" s="151"/>
      <c r="AE1147" s="151"/>
      <c r="AF1147" s="151"/>
      <c r="AG1147" s="151"/>
      <c r="AH1147" s="151"/>
      <c r="AI1147" s="151"/>
      <c r="AJ1147" s="151"/>
      <c r="AK1147" s="151"/>
      <c r="AL1147" s="151"/>
      <c r="AM1147" s="151"/>
      <c r="AN1147" s="151"/>
      <c r="AO1147" s="151"/>
      <c r="AP1147" s="151"/>
      <c r="AQ1147" s="151"/>
      <c r="AR1147" s="151"/>
      <c r="AS1147" s="151"/>
      <c r="AT1147" s="151"/>
      <c r="AU1147" s="151"/>
      <c r="AV1147" s="151"/>
      <c r="AW1147" s="151"/>
      <c r="AX1147" s="151"/>
      <c r="AY1147" s="151"/>
      <c r="AZ1147" s="151"/>
      <c r="BA1147" s="151"/>
      <c r="BB1147" s="151"/>
      <c r="BC1147" s="151"/>
      <c r="BD1147" s="151"/>
      <c r="BE1147" s="151"/>
      <c r="BF1147" s="151"/>
      <c r="BG1147" s="151"/>
      <c r="BH1147" s="151"/>
      <c r="BI1147" s="151"/>
      <c r="BJ1147" s="151"/>
      <c r="BK1147" s="151"/>
      <c r="BL1147" s="151"/>
      <c r="BM1147" s="151"/>
      <c r="BN1147" s="151"/>
      <c r="BO1147" s="151"/>
      <c r="BP1147" s="151"/>
      <c r="BQ1147" s="151"/>
      <c r="BR1147" s="151"/>
      <c r="BS1147" s="151"/>
      <c r="BT1147" s="151"/>
      <c r="BU1147" s="151"/>
      <c r="BV1147" s="151"/>
      <c r="BW1147" s="151"/>
      <c r="BX1147" s="151"/>
      <c r="BY1147" s="151"/>
    </row>
    <row r="1148" spans="1:77" s="19" customFormat="1" x14ac:dyDescent="0.15">
      <c r="A1148" s="151">
        <v>1305040014</v>
      </c>
      <c r="B1148" s="157" t="s">
        <v>836</v>
      </c>
      <c r="C1148" s="151" t="s">
        <v>89</v>
      </c>
      <c r="D1148" s="151"/>
      <c r="E1148" s="151" t="s">
        <v>78</v>
      </c>
      <c r="F1148" s="151"/>
      <c r="G1148" s="151"/>
      <c r="H1148" s="151"/>
      <c r="I1148" s="151"/>
      <c r="J1148" s="165"/>
      <c r="K1148" s="165"/>
      <c r="L1148" s="165"/>
      <c r="M1148" s="165"/>
      <c r="N1148" s="165"/>
      <c r="O1148" s="151" t="s">
        <v>90</v>
      </c>
      <c r="P1148" s="151"/>
      <c r="Q1148" s="151"/>
      <c r="R1148" s="151"/>
      <c r="S1148" s="151"/>
      <c r="T1148" s="151"/>
      <c r="U1148" s="151"/>
      <c r="V1148" s="151"/>
      <c r="W1148" s="151"/>
      <c r="X1148" s="151"/>
      <c r="Y1148" s="151"/>
      <c r="Z1148" s="151"/>
      <c r="AA1148" s="151"/>
      <c r="AB1148" s="151"/>
      <c r="AC1148" s="151"/>
      <c r="AD1148" s="151">
        <v>1305040201</v>
      </c>
      <c r="AE1148" s="151"/>
      <c r="AF1148" s="151"/>
      <c r="AG1148" s="151"/>
      <c r="AH1148" s="151"/>
      <c r="AI1148" s="151"/>
      <c r="AJ1148" s="151"/>
      <c r="AK1148" s="151"/>
      <c r="AL1148" s="151"/>
      <c r="AM1148" s="151"/>
      <c r="AN1148" s="151"/>
      <c r="AO1148" s="151"/>
      <c r="AP1148" s="151"/>
      <c r="AQ1148" s="151"/>
      <c r="AR1148" s="151"/>
      <c r="AS1148" s="151"/>
      <c r="AT1148" s="151"/>
      <c r="AU1148" s="151"/>
      <c r="AV1148" s="151"/>
      <c r="AW1148" s="151"/>
      <c r="AX1148" s="151"/>
      <c r="AY1148" s="151"/>
      <c r="AZ1148" s="151"/>
      <c r="BA1148" s="151"/>
      <c r="BB1148" s="151"/>
      <c r="BC1148" s="151"/>
      <c r="BD1148" s="151"/>
      <c r="BE1148" s="151"/>
      <c r="BF1148" s="151"/>
      <c r="BG1148" s="151"/>
      <c r="BH1148" s="151"/>
      <c r="BI1148" s="151"/>
      <c r="BJ1148" s="151"/>
      <c r="BK1148" s="151"/>
      <c r="BL1148" s="151"/>
      <c r="BM1148" s="151"/>
      <c r="BN1148" s="151"/>
      <c r="BO1148" s="151"/>
      <c r="BP1148" s="151"/>
      <c r="BQ1148" s="151"/>
      <c r="BR1148" s="151"/>
      <c r="BS1148" s="151"/>
      <c r="BT1148" s="151"/>
      <c r="BU1148" s="151"/>
      <c r="BV1148" s="151"/>
      <c r="BW1148" s="151"/>
      <c r="BX1148" s="151"/>
      <c r="BY1148" s="151"/>
    </row>
  </sheetData>
  <autoFilter ref="K1:K1148"/>
  <phoneticPr fontId="12" type="noConversion"/>
  <conditionalFormatting sqref="C57:D57 S1071:T1086 V1067:AD1067 S1067:T1067 V1071:AD1086 V1088:AD1089 S1088:T1089">
    <cfRule type="cellIs" dxfId="2084" priority="675" stopIfTrue="1" operator="notEqual">
      <formula>INDIRECT("Dummy_for_Comparison4!"&amp;ADDRESS(ROW(),COLUMN()))</formula>
    </cfRule>
  </conditionalFormatting>
  <conditionalFormatting sqref="C58">
    <cfRule type="cellIs" dxfId="2083" priority="674" stopIfTrue="1" operator="notEqual">
      <formula>INDIRECT("Dummy_for_Comparison4!"&amp;ADDRESS(ROW(),COLUMN()))</formula>
    </cfRule>
  </conditionalFormatting>
  <conditionalFormatting sqref="C59">
    <cfRule type="cellIs" dxfId="2082" priority="3155" stopIfTrue="1" operator="notEqual">
      <formula>INDIRECT("Dummy_for_Comparison4!"&amp;ADDRESS(ROW(),COLUMN()))</formula>
    </cfRule>
  </conditionalFormatting>
  <conditionalFormatting sqref="C64:D64">
    <cfRule type="cellIs" dxfId="2081" priority="3999" stopIfTrue="1" operator="notEqual">
      <formula>INDIRECT("Dummy_for_Comparison4!"&amp;ADDRESS(ROW(),COLUMN()))</formula>
    </cfRule>
  </conditionalFormatting>
  <conditionalFormatting sqref="C65">
    <cfRule type="cellIs" dxfId="2080" priority="3998" stopIfTrue="1" operator="notEqual">
      <formula>INDIRECT("Dummy_for_Comparison4!"&amp;ADDRESS(ROW(),COLUMN()))</formula>
    </cfRule>
  </conditionalFormatting>
  <conditionalFormatting sqref="C66">
    <cfRule type="cellIs" dxfId="2079" priority="3719" stopIfTrue="1" operator="notEqual">
      <formula>INDIRECT("Dummy_for_Comparison4!"&amp;ADDRESS(ROW(),COLUMN()))</formula>
    </cfRule>
  </conditionalFormatting>
  <conditionalFormatting sqref="C70">
    <cfRule type="cellIs" dxfId="2078" priority="3425" stopIfTrue="1" operator="notEqual">
      <formula>INDIRECT("Dummy_for_Comparison4!"&amp;ADDRESS(ROW(),COLUMN()))</formula>
    </cfRule>
  </conditionalFormatting>
  <conditionalFormatting sqref="C73">
    <cfRule type="cellIs" dxfId="2077" priority="4400" stopIfTrue="1" operator="notEqual">
      <formula>INDIRECT("Dummy_for_Comparison4!"&amp;ADDRESS(ROW(),COLUMN()))</formula>
    </cfRule>
  </conditionalFormatting>
  <conditionalFormatting sqref="C137">
    <cfRule type="cellIs" dxfId="2076" priority="4380" stopIfTrue="1" operator="notEqual">
      <formula>INDIRECT("Dummy_for_Comparison4!"&amp;ADDRESS(ROW(),COLUMN()))</formula>
    </cfRule>
  </conditionalFormatting>
  <conditionalFormatting sqref="D137">
    <cfRule type="cellIs" dxfId="2075" priority="4381" stopIfTrue="1" operator="notEqual">
      <formula>INDIRECT("Dummy_for_Comparison4!"&amp;ADDRESS(ROW(),COLUMN()))</formula>
    </cfRule>
  </conditionalFormatting>
  <conditionalFormatting sqref="C148:D148">
    <cfRule type="cellIs" dxfId="2074" priority="4385" stopIfTrue="1" operator="notEqual">
      <formula>INDIRECT("Dummy_for_Comparison4!"&amp;ADDRESS(ROW(),COLUMN()))</formula>
    </cfRule>
  </conditionalFormatting>
  <conditionalFormatting sqref="C150">
    <cfRule type="cellIs" dxfId="2073" priority="4382" stopIfTrue="1" operator="notEqual">
      <formula>INDIRECT("Dummy_for_Comparison4!"&amp;ADDRESS(ROW(),COLUMN()))</formula>
    </cfRule>
  </conditionalFormatting>
  <conditionalFormatting sqref="C152">
    <cfRule type="cellIs" dxfId="2072" priority="3112" stopIfTrue="1" operator="notEqual">
      <formula>INDIRECT("Dummy_for_Comparison4!"&amp;ADDRESS(ROW(),COLUMN()))</formula>
    </cfRule>
  </conditionalFormatting>
  <conditionalFormatting sqref="C154">
    <cfRule type="cellIs" dxfId="2071" priority="3654" stopIfTrue="1" operator="notEqual">
      <formula>INDIRECT("Dummy_for_Comparison4!"&amp;ADDRESS(ROW(),COLUMN()))</formula>
    </cfRule>
  </conditionalFormatting>
  <conditionalFormatting sqref="C155">
    <cfRule type="cellIs" dxfId="2070" priority="3652" stopIfTrue="1" operator="notEqual">
      <formula>INDIRECT("Dummy_for_Comparison4!"&amp;ADDRESS(ROW(),COLUMN()))</formula>
    </cfRule>
  </conditionalFormatting>
  <conditionalFormatting sqref="D160">
    <cfRule type="cellIs" dxfId="2069" priority="3188" stopIfTrue="1" operator="notEqual">
      <formula>INDIRECT("Dummy_for_Comparison4!"&amp;ADDRESS(ROW(),COLUMN()))</formula>
    </cfRule>
  </conditionalFormatting>
  <conditionalFormatting sqref="O160">
    <cfRule type="cellIs" dxfId="2068" priority="3187" stopIfTrue="1" operator="notEqual">
      <formula>INDIRECT("Dummy_for_Comparison4!"&amp;ADDRESS(ROW(),COLUMN()))</formula>
    </cfRule>
  </conditionalFormatting>
  <conditionalFormatting sqref="C164">
    <cfRule type="cellIs" dxfId="2067" priority="4273" stopIfTrue="1" operator="notEqual">
      <formula>INDIRECT("Dummy_for_Comparison4!"&amp;ADDRESS(ROW(),COLUMN()))</formula>
    </cfRule>
  </conditionalFormatting>
  <conditionalFormatting sqref="C165:D165">
    <cfRule type="cellIs" dxfId="2066" priority="4271" stopIfTrue="1" operator="notEqual">
      <formula>INDIRECT("Dummy_for_Comparison4!"&amp;ADDRESS(ROW(),COLUMN()))</formula>
    </cfRule>
  </conditionalFormatting>
  <conditionalFormatting sqref="C166">
    <cfRule type="cellIs" dxfId="2065" priority="4270" stopIfTrue="1" operator="notEqual">
      <formula>INDIRECT("Dummy_for_Comparison4!"&amp;ADDRESS(ROW(),COLUMN()))</formula>
    </cfRule>
  </conditionalFormatting>
  <conditionalFormatting sqref="C167">
    <cfRule type="cellIs" dxfId="2064" priority="3724" stopIfTrue="1" operator="notEqual">
      <formula>INDIRECT("Dummy_for_Comparison4!"&amp;ADDRESS(ROW(),COLUMN()))</formula>
    </cfRule>
  </conditionalFormatting>
  <conditionalFormatting sqref="C170">
    <cfRule type="cellIs" dxfId="2063" priority="3158" stopIfTrue="1" operator="notEqual">
      <formula>INDIRECT("Dummy_for_Comparison4!"&amp;ADDRESS(ROW(),COLUMN()))</formula>
    </cfRule>
  </conditionalFormatting>
  <conditionalFormatting sqref="G176">
    <cfRule type="cellIs" dxfId="2062" priority="3584" stopIfTrue="1" operator="notEqual">
      <formula>INDIRECT("Dummy_for_Comparison4!"&amp;ADDRESS(ROW(),COLUMN()))</formula>
    </cfRule>
  </conditionalFormatting>
  <conditionalFormatting sqref="K176">
    <cfRule type="cellIs" dxfId="2061" priority="1520" stopIfTrue="1" operator="notEqual">
      <formula>INDIRECT("Dummy_for_Comparison4!"&amp;ADDRESS(ROW(),COLUMN()))</formula>
    </cfRule>
  </conditionalFormatting>
  <conditionalFormatting sqref="C178">
    <cfRule type="cellIs" dxfId="2060" priority="4550" stopIfTrue="1" operator="notEqual">
      <formula>INDIRECT("Dummy_for_Comparison4!"&amp;ADDRESS(ROW(),COLUMN()))</formula>
    </cfRule>
  </conditionalFormatting>
  <conditionalFormatting sqref="C179">
    <cfRule type="cellIs" dxfId="2059" priority="4549" stopIfTrue="1" operator="notEqual">
      <formula>INDIRECT("Dummy_for_Comparison4!"&amp;ADDRESS(ROW(),COLUMN()))</formula>
    </cfRule>
  </conditionalFormatting>
  <conditionalFormatting sqref="C182">
    <cfRule type="cellIs" dxfId="2058" priority="3440" stopIfTrue="1" operator="notEqual">
      <formula>INDIRECT("Dummy_for_Comparison4!"&amp;ADDRESS(ROW(),COLUMN()))</formula>
    </cfRule>
  </conditionalFormatting>
  <conditionalFormatting sqref="E182">
    <cfRule type="cellIs" dxfId="2057" priority="3439" stopIfTrue="1" operator="notEqual">
      <formula>INDIRECT("Dummy_for_Comparison4!"&amp;ADDRESS(ROW(),COLUMN()))</formula>
    </cfRule>
  </conditionalFormatting>
  <conditionalFormatting sqref="G182">
    <cfRule type="cellIs" dxfId="2056" priority="3437" stopIfTrue="1" operator="notEqual">
      <formula>INDIRECT("Dummy_for_Comparison4!"&amp;ADDRESS(ROW(),COLUMN()))</formula>
    </cfRule>
  </conditionalFormatting>
  <conditionalFormatting sqref="K182">
    <cfRule type="cellIs" dxfId="2055" priority="1440" stopIfTrue="1" operator="notEqual">
      <formula>INDIRECT("Dummy_for_Comparison4!"&amp;ADDRESS(ROW(),COLUMN()))</formula>
    </cfRule>
  </conditionalFormatting>
  <conditionalFormatting sqref="O182">
    <cfRule type="cellIs" dxfId="2054" priority="3438" stopIfTrue="1" operator="notEqual">
      <formula>INDIRECT("Dummy_for_Comparison4!"&amp;ADDRESS(ROW(),COLUMN()))</formula>
    </cfRule>
  </conditionalFormatting>
  <conditionalFormatting sqref="C183">
    <cfRule type="cellIs" dxfId="2053" priority="4533" stopIfTrue="1" operator="notEqual">
      <formula>INDIRECT("Dummy_for_Comparison4!"&amp;ADDRESS(ROW(),COLUMN()))</formula>
    </cfRule>
  </conditionalFormatting>
  <conditionalFormatting sqref="G186">
    <cfRule type="cellIs" dxfId="2052" priority="3585" stopIfTrue="1" operator="notEqual">
      <formula>INDIRECT("Dummy_for_Comparison4!"&amp;ADDRESS(ROW(),COLUMN()))</formula>
    </cfRule>
  </conditionalFormatting>
  <conditionalFormatting sqref="K186">
    <cfRule type="cellIs" dxfId="2051" priority="1521" stopIfTrue="1" operator="notEqual">
      <formula>INDIRECT("Dummy_for_Comparison4!"&amp;ADDRESS(ROW(),COLUMN()))</formula>
    </cfRule>
  </conditionalFormatting>
  <conditionalFormatting sqref="AJ187">
    <cfRule type="cellIs" dxfId="2050" priority="4547" stopIfTrue="1" operator="notEqual">
      <formula>INDIRECT("Dummy_for_Comparison4!"&amp;ADDRESS(ROW(),COLUMN()))</formula>
    </cfRule>
  </conditionalFormatting>
  <conditionalFormatting sqref="G188">
    <cfRule type="cellIs" dxfId="2049" priority="3586" stopIfTrue="1" operator="notEqual">
      <formula>INDIRECT("Dummy_for_Comparison4!"&amp;ADDRESS(ROW(),COLUMN()))</formula>
    </cfRule>
  </conditionalFormatting>
  <conditionalFormatting sqref="K188">
    <cfRule type="cellIs" dxfId="2048" priority="1522" stopIfTrue="1" operator="notEqual">
      <formula>INDIRECT("Dummy_for_Comparison4!"&amp;ADDRESS(ROW(),COLUMN()))</formula>
    </cfRule>
  </conditionalFormatting>
  <conditionalFormatting sqref="O188">
    <cfRule type="cellIs" dxfId="2047" priority="4098" stopIfTrue="1" operator="notEqual">
      <formula>INDIRECT("Dummy_for_Comparison4!"&amp;ADDRESS(ROW(),COLUMN()))</formula>
    </cfRule>
  </conditionalFormatting>
  <conditionalFormatting sqref="AJ188">
    <cfRule type="cellIs" dxfId="2046" priority="4099" stopIfTrue="1" operator="notEqual">
      <formula>INDIRECT("Dummy_for_Comparison4!"&amp;ADDRESS(ROW(),COLUMN()))</formula>
    </cfRule>
  </conditionalFormatting>
  <conditionalFormatting sqref="C194">
    <cfRule type="cellIs" dxfId="2045" priority="4632" stopIfTrue="1" operator="notEqual">
      <formula>INDIRECT("Dummy_for_Comparison4!"&amp;ADDRESS(ROW(),COLUMN()))</formula>
    </cfRule>
  </conditionalFormatting>
  <conditionalFormatting sqref="D194">
    <cfRule type="cellIs" dxfId="2044" priority="4602" stopIfTrue="1" operator="notEqual">
      <formula>INDIRECT("Dummy_for_Comparison4!"&amp;ADDRESS(ROW(),COLUMN()))</formula>
    </cfRule>
  </conditionalFormatting>
  <conditionalFormatting sqref="C195">
    <cfRule type="cellIs" dxfId="2043" priority="4551" stopIfTrue="1" operator="notEqual">
      <formula>INDIRECT("Dummy_for_Comparison4!"&amp;ADDRESS(ROW(),COLUMN()))</formula>
    </cfRule>
  </conditionalFormatting>
  <conditionalFormatting sqref="C196">
    <cfRule type="cellIs" dxfId="2042" priority="4631" stopIfTrue="1" operator="notEqual">
      <formula>INDIRECT("Dummy_for_Comparison4!"&amp;ADDRESS(ROW(),COLUMN()))</formula>
    </cfRule>
  </conditionalFormatting>
  <conditionalFormatting sqref="D196">
    <cfRule type="cellIs" dxfId="2041" priority="4601" stopIfTrue="1" operator="notEqual">
      <formula>INDIRECT("Dummy_for_Comparison4!"&amp;ADDRESS(ROW(),COLUMN()))</formula>
    </cfRule>
  </conditionalFormatting>
  <conditionalFormatting sqref="C197">
    <cfRule type="cellIs" dxfId="2040" priority="4605" stopIfTrue="1" operator="notEqual">
      <formula>INDIRECT("Dummy_for_Comparison4!"&amp;ADDRESS(ROW(),COLUMN()))</formula>
    </cfRule>
  </conditionalFormatting>
  <conditionalFormatting sqref="D197">
    <cfRule type="cellIs" dxfId="2039" priority="4600" stopIfTrue="1" operator="notEqual">
      <formula>INDIRECT("Dummy_for_Comparison4!"&amp;ADDRESS(ROW(),COLUMN()))</formula>
    </cfRule>
  </conditionalFormatting>
  <conditionalFormatting sqref="D199">
    <cfRule type="cellIs" dxfId="2038" priority="4599" stopIfTrue="1" operator="notEqual">
      <formula>INDIRECT("Dummy_for_Comparison4!"&amp;ADDRESS(ROW(),COLUMN()))</formula>
    </cfRule>
  </conditionalFormatting>
  <conditionalFormatting sqref="C200">
    <cfRule type="cellIs" dxfId="2037" priority="4081" stopIfTrue="1" operator="notEqual">
      <formula>INDIRECT("Dummy_for_Comparison4!"&amp;ADDRESS(ROW(),COLUMN()))</formula>
    </cfRule>
  </conditionalFormatting>
  <conditionalFormatting sqref="D200">
    <cfRule type="cellIs" dxfId="2036" priority="4598" stopIfTrue="1" operator="notEqual">
      <formula>INDIRECT("Dummy_for_Comparison4!"&amp;ADDRESS(ROW(),COLUMN()))</formula>
    </cfRule>
  </conditionalFormatting>
  <conditionalFormatting sqref="O200">
    <cfRule type="cellIs" dxfId="2035" priority="4606" stopIfTrue="1" operator="notEqual">
      <formula>INDIRECT("Dummy_for_Comparison4!"&amp;ADDRESS(ROW(),COLUMN()))</formula>
    </cfRule>
  </conditionalFormatting>
  <conditionalFormatting sqref="C201">
    <cfRule type="cellIs" dxfId="2034" priority="4629" stopIfTrue="1" operator="notEqual">
      <formula>INDIRECT("Dummy_for_Comparison4!"&amp;ADDRESS(ROW(),COLUMN()))</formula>
    </cfRule>
  </conditionalFormatting>
  <conditionalFormatting sqref="D201">
    <cfRule type="cellIs" dxfId="2033" priority="4597" stopIfTrue="1" operator="notEqual">
      <formula>INDIRECT("Dummy_for_Comparison4!"&amp;ADDRESS(ROW(),COLUMN()))</formula>
    </cfRule>
  </conditionalFormatting>
  <conditionalFormatting sqref="C202">
    <cfRule type="cellIs" dxfId="2032" priority="4398" stopIfTrue="1" operator="notEqual">
      <formula>INDIRECT("Dummy_for_Comparison4!"&amp;ADDRESS(ROW(),COLUMN()))</formula>
    </cfRule>
  </conditionalFormatting>
  <conditionalFormatting sqref="D202">
    <cfRule type="cellIs" dxfId="2031" priority="4397" stopIfTrue="1" operator="notEqual">
      <formula>INDIRECT("Dummy_for_Comparison4!"&amp;ADDRESS(ROW(),COLUMN()))</formula>
    </cfRule>
  </conditionalFormatting>
  <conditionalFormatting sqref="G202">
    <cfRule type="cellIs" dxfId="2030" priority="3601" stopIfTrue="1" operator="notEqual">
      <formula>INDIRECT("Dummy_for_Comparison4!"&amp;ADDRESS(ROW(),COLUMN()))</formula>
    </cfRule>
  </conditionalFormatting>
  <conditionalFormatting sqref="K202">
    <cfRule type="cellIs" dxfId="2029" priority="1537" stopIfTrue="1" operator="notEqual">
      <formula>INDIRECT("Dummy_for_Comparison4!"&amp;ADDRESS(ROW(),COLUMN()))</formula>
    </cfRule>
  </conditionalFormatting>
  <conditionalFormatting sqref="C204">
    <cfRule type="cellIs" dxfId="2028" priority="4626" stopIfTrue="1" operator="notEqual">
      <formula>INDIRECT("Dummy_for_Comparison4!"&amp;ADDRESS(ROW(),COLUMN()))</formula>
    </cfRule>
  </conditionalFormatting>
  <conditionalFormatting sqref="D204">
    <cfRule type="cellIs" dxfId="2027" priority="4596" stopIfTrue="1" operator="notEqual">
      <formula>INDIRECT("Dummy_for_Comparison4!"&amp;ADDRESS(ROW(),COLUMN()))</formula>
    </cfRule>
  </conditionalFormatting>
  <conditionalFormatting sqref="G208">
    <cfRule type="cellIs" dxfId="2026" priority="3617" stopIfTrue="1" operator="notEqual">
      <formula>INDIRECT("Dummy_for_Comparison4!"&amp;ADDRESS(ROW(),COLUMN()))</formula>
    </cfRule>
  </conditionalFormatting>
  <conditionalFormatting sqref="K208">
    <cfRule type="cellIs" dxfId="2025" priority="1552" stopIfTrue="1" operator="notEqual">
      <formula>INDIRECT("Dummy_for_Comparison4!"&amp;ADDRESS(ROW(),COLUMN()))</formula>
    </cfRule>
  </conditionalFormatting>
  <conditionalFormatting sqref="G209">
    <cfRule type="cellIs" dxfId="2024" priority="3627" stopIfTrue="1" operator="notEqual">
      <formula>INDIRECT("Dummy_for_Comparison4!"&amp;ADDRESS(ROW(),COLUMN()))</formula>
    </cfRule>
  </conditionalFormatting>
  <conditionalFormatting sqref="K209">
    <cfRule type="cellIs" dxfId="2023" priority="1561" stopIfTrue="1" operator="notEqual">
      <formula>INDIRECT("Dummy_for_Comparison4!"&amp;ADDRESS(ROW(),COLUMN()))</formula>
    </cfRule>
  </conditionalFormatting>
  <conditionalFormatting sqref="G210">
    <cfRule type="cellIs" dxfId="2022" priority="3616" stopIfTrue="1" operator="notEqual">
      <formula>INDIRECT("Dummy_for_Comparison4!"&amp;ADDRESS(ROW(),COLUMN()))</formula>
    </cfRule>
  </conditionalFormatting>
  <conditionalFormatting sqref="G211">
    <cfRule type="cellIs" dxfId="2021" priority="3626" stopIfTrue="1" operator="notEqual">
      <formula>INDIRECT("Dummy_for_Comparison4!"&amp;ADDRESS(ROW(),COLUMN()))</formula>
    </cfRule>
  </conditionalFormatting>
  <conditionalFormatting sqref="G212">
    <cfRule type="cellIs" dxfId="2020" priority="3615" stopIfTrue="1" operator="notEqual">
      <formula>INDIRECT("Dummy_for_Comparison4!"&amp;ADDRESS(ROW(),COLUMN()))</formula>
    </cfRule>
  </conditionalFormatting>
  <conditionalFormatting sqref="K212">
    <cfRule type="cellIs" dxfId="2019" priority="1550" stopIfTrue="1" operator="notEqual">
      <formula>INDIRECT("Dummy_for_Comparison4!"&amp;ADDRESS(ROW(),COLUMN()))</formula>
    </cfRule>
  </conditionalFormatting>
  <conditionalFormatting sqref="C215">
    <cfRule type="cellIs" dxfId="2018" priority="4522" stopIfTrue="1" operator="notEqual">
      <formula>INDIRECT("Dummy_for_Comparison4!"&amp;ADDRESS(ROW(),COLUMN()))</formula>
    </cfRule>
  </conditionalFormatting>
  <conditionalFormatting sqref="C216">
    <cfRule type="cellIs" dxfId="2017" priority="3460" stopIfTrue="1" operator="notEqual">
      <formula>INDIRECT("Dummy_for_Comparison4!"&amp;ADDRESS(ROW(),COLUMN()))</formula>
    </cfRule>
  </conditionalFormatting>
  <conditionalFormatting sqref="O216">
    <cfRule type="cellIs" dxfId="2016" priority="3457" stopIfTrue="1" operator="notEqual">
      <formula>INDIRECT("Dummy_for_Comparison4!"&amp;ADDRESS(ROW(),COLUMN()))</formula>
    </cfRule>
  </conditionalFormatting>
  <conditionalFormatting sqref="AJ216">
    <cfRule type="cellIs" dxfId="2015" priority="3454" stopIfTrue="1" operator="notEqual">
      <formula>INDIRECT("Dummy_for_Comparison4!"&amp;ADDRESS(ROW(),COLUMN()))</formula>
    </cfRule>
  </conditionalFormatting>
  <conditionalFormatting sqref="C217">
    <cfRule type="cellIs" dxfId="2014" priority="3458" stopIfTrue="1" operator="notEqual">
      <formula>INDIRECT("Dummy_for_Comparison4!"&amp;ADDRESS(ROW(),COLUMN()))</formula>
    </cfRule>
  </conditionalFormatting>
  <conditionalFormatting sqref="O217">
    <cfRule type="cellIs" dxfId="2013" priority="3455" stopIfTrue="1" operator="notEqual">
      <formula>INDIRECT("Dummy_for_Comparison4!"&amp;ADDRESS(ROW(),COLUMN()))</formula>
    </cfRule>
  </conditionalFormatting>
  <conditionalFormatting sqref="G218">
    <cfRule type="cellIs" dxfId="2012" priority="3614" stopIfTrue="1" operator="notEqual">
      <formula>INDIRECT("Dummy_for_Comparison4!"&amp;ADDRESS(ROW(),COLUMN()))</formula>
    </cfRule>
  </conditionalFormatting>
  <conditionalFormatting sqref="K218">
    <cfRule type="cellIs" dxfId="2011" priority="1549" stopIfTrue="1" operator="notEqual">
      <formula>INDIRECT("Dummy_for_Comparison4!"&amp;ADDRESS(ROW(),COLUMN()))</formula>
    </cfRule>
  </conditionalFormatting>
  <conditionalFormatting sqref="C219">
    <cfRule type="cellIs" dxfId="2010" priority="4520" stopIfTrue="1" operator="notEqual">
      <formula>INDIRECT("Dummy_for_Comparison4!"&amp;ADDRESS(ROW(),COLUMN()))</formula>
    </cfRule>
  </conditionalFormatting>
  <conditionalFormatting sqref="G219">
    <cfRule type="cellIs" dxfId="2009" priority="3623" stopIfTrue="1" operator="notEqual">
      <formula>INDIRECT("Dummy_for_Comparison4!"&amp;ADDRESS(ROW(),COLUMN()))</formula>
    </cfRule>
  </conditionalFormatting>
  <conditionalFormatting sqref="K219">
    <cfRule type="cellIs" dxfId="2008" priority="1559" stopIfTrue="1" operator="notEqual">
      <formula>INDIRECT("Dummy_for_Comparison4!"&amp;ADDRESS(ROW(),COLUMN()))</formula>
    </cfRule>
  </conditionalFormatting>
  <conditionalFormatting sqref="F220">
    <cfRule type="cellIs" dxfId="2007" priority="4441" stopIfTrue="1" operator="notEqual">
      <formula>INDIRECT("Dummy_for_Comparison4!"&amp;ADDRESS(ROW(),COLUMN()))</formula>
    </cfRule>
  </conditionalFormatting>
  <conditionalFormatting sqref="G220">
    <cfRule type="cellIs" dxfId="2006" priority="3605" stopIfTrue="1" operator="notEqual">
      <formula>INDIRECT("Dummy_for_Comparison4!"&amp;ADDRESS(ROW(),COLUMN()))</formula>
    </cfRule>
  </conditionalFormatting>
  <conditionalFormatting sqref="K220">
    <cfRule type="cellIs" dxfId="2005" priority="1558" stopIfTrue="1" operator="notEqual">
      <formula>INDIRECT("Dummy_for_Comparison4!"&amp;ADDRESS(ROW(),COLUMN()))</formula>
    </cfRule>
  </conditionalFormatting>
  <conditionalFormatting sqref="G221">
    <cfRule type="cellIs" dxfId="2004" priority="3606" stopIfTrue="1" operator="notEqual">
      <formula>INDIRECT("Dummy_for_Comparison4!"&amp;ADDRESS(ROW(),COLUMN()))</formula>
    </cfRule>
  </conditionalFormatting>
  <conditionalFormatting sqref="K221">
    <cfRule type="cellIs" dxfId="2003" priority="1541" stopIfTrue="1" operator="notEqual">
      <formula>INDIRECT("Dummy_for_Comparison4!"&amp;ADDRESS(ROW(),COLUMN()))</formula>
    </cfRule>
  </conditionalFormatting>
  <conditionalFormatting sqref="F222">
    <cfRule type="cellIs" dxfId="2002" priority="4439" stopIfTrue="1" operator="notEqual">
      <formula>INDIRECT("Dummy_for_Comparison4!"&amp;ADDRESS(ROW(),COLUMN()))</formula>
    </cfRule>
  </conditionalFormatting>
  <conditionalFormatting sqref="G222">
    <cfRule type="cellIs" dxfId="2001" priority="3604" stopIfTrue="1" operator="notEqual">
      <formula>INDIRECT("Dummy_for_Comparison4!"&amp;ADDRESS(ROW(),COLUMN()))</formula>
    </cfRule>
  </conditionalFormatting>
  <conditionalFormatting sqref="K222">
    <cfRule type="cellIs" dxfId="2000" priority="1540" stopIfTrue="1" operator="notEqual">
      <formula>INDIRECT("Dummy_for_Comparison4!"&amp;ADDRESS(ROW(),COLUMN()))</formula>
    </cfRule>
  </conditionalFormatting>
  <conditionalFormatting sqref="G223">
    <cfRule type="cellIs" dxfId="1999" priority="3603" stopIfTrue="1" operator="notEqual">
      <formula>INDIRECT("Dummy_for_Comparison4!"&amp;ADDRESS(ROW(),COLUMN()))</formula>
    </cfRule>
  </conditionalFormatting>
  <conditionalFormatting sqref="K223">
    <cfRule type="cellIs" dxfId="1998" priority="1539" stopIfTrue="1" operator="notEqual">
      <formula>INDIRECT("Dummy_for_Comparison4!"&amp;ADDRESS(ROW(),COLUMN()))</formula>
    </cfRule>
  </conditionalFormatting>
  <conditionalFormatting sqref="F224">
    <cfRule type="cellIs" dxfId="1997" priority="4415" stopIfTrue="1" operator="notEqual">
      <formula>INDIRECT("Dummy_for_Comparison4!"&amp;ADDRESS(ROW(),COLUMN()))</formula>
    </cfRule>
  </conditionalFormatting>
  <conditionalFormatting sqref="G224">
    <cfRule type="cellIs" dxfId="1996" priority="3602" stopIfTrue="1" operator="notEqual">
      <formula>INDIRECT("Dummy_for_Comparison4!"&amp;ADDRESS(ROW(),COLUMN()))</formula>
    </cfRule>
  </conditionalFormatting>
  <conditionalFormatting sqref="K224">
    <cfRule type="cellIs" dxfId="1995" priority="1538" stopIfTrue="1" operator="notEqual">
      <formula>INDIRECT("Dummy_for_Comparison4!"&amp;ADDRESS(ROW(),COLUMN()))</formula>
    </cfRule>
  </conditionalFormatting>
  <conditionalFormatting sqref="C225">
    <cfRule type="cellIs" dxfId="1994" priority="4491" stopIfTrue="1" operator="notEqual">
      <formula>INDIRECT("Dummy_for_Comparison4!"&amp;ADDRESS(ROW(),COLUMN()))</formula>
    </cfRule>
  </conditionalFormatting>
  <conditionalFormatting sqref="D225">
    <cfRule type="cellIs" dxfId="1993" priority="4490" stopIfTrue="1" operator="notEqual">
      <formula>INDIRECT("Dummy_for_Comparison4!"&amp;ADDRESS(ROW(),COLUMN()))</formula>
    </cfRule>
  </conditionalFormatting>
  <conditionalFormatting sqref="G225">
    <cfRule type="cellIs" dxfId="1992" priority="3613" stopIfTrue="1" operator="notEqual">
      <formula>INDIRECT("Dummy_for_Comparison4!"&amp;ADDRESS(ROW(),COLUMN()))</formula>
    </cfRule>
  </conditionalFormatting>
  <conditionalFormatting sqref="K225">
    <cfRule type="cellIs" dxfId="1991" priority="1548" stopIfTrue="1" operator="notEqual">
      <formula>INDIRECT("Dummy_for_Comparison4!"&amp;ADDRESS(ROW(),COLUMN()))</formula>
    </cfRule>
  </conditionalFormatting>
  <conditionalFormatting sqref="O225">
    <cfRule type="cellIs" dxfId="1990" priority="626" stopIfTrue="1" operator="notEqual">
      <formula>INDIRECT("Dummy_for_Comparison4!"&amp;ADDRESS(ROW(),COLUMN()))</formula>
    </cfRule>
  </conditionalFormatting>
  <conditionalFormatting sqref="G230">
    <cfRule type="cellIs" dxfId="1989" priority="3612" stopIfTrue="1" operator="notEqual">
      <formula>INDIRECT("Dummy_for_Comparison4!"&amp;ADDRESS(ROW(),COLUMN()))</formula>
    </cfRule>
  </conditionalFormatting>
  <conditionalFormatting sqref="K230">
    <cfRule type="cellIs" dxfId="1988" priority="1547" stopIfTrue="1" operator="notEqual">
      <formula>INDIRECT("Dummy_for_Comparison4!"&amp;ADDRESS(ROW(),COLUMN()))</formula>
    </cfRule>
  </conditionalFormatting>
  <conditionalFormatting sqref="D231">
    <cfRule type="cellIs" dxfId="1987" priority="4514" stopIfTrue="1" operator="notEqual">
      <formula>INDIRECT("Dummy_for_Comparison4!"&amp;ADDRESS(ROW(),COLUMN()))</formula>
    </cfRule>
  </conditionalFormatting>
  <conditionalFormatting sqref="D232">
    <cfRule type="cellIs" dxfId="1986" priority="4512" stopIfTrue="1" operator="notEqual">
      <formula>INDIRECT("Dummy_for_Comparison4!"&amp;ADDRESS(ROW(),COLUMN()))</formula>
    </cfRule>
  </conditionalFormatting>
  <conditionalFormatting sqref="G233">
    <cfRule type="cellIs" dxfId="1985" priority="3611" stopIfTrue="1" operator="notEqual">
      <formula>INDIRECT("Dummy_for_Comparison4!"&amp;ADDRESS(ROW(),COLUMN()))</formula>
    </cfRule>
  </conditionalFormatting>
  <conditionalFormatting sqref="K233">
    <cfRule type="cellIs" dxfId="1984" priority="1546" stopIfTrue="1" operator="notEqual">
      <formula>INDIRECT("Dummy_for_Comparison4!"&amp;ADDRESS(ROW(),COLUMN()))</formula>
    </cfRule>
  </conditionalFormatting>
  <conditionalFormatting sqref="C236">
    <cfRule type="cellIs" dxfId="1983" priority="4486" stopIfTrue="1" operator="notEqual">
      <formula>INDIRECT("Dummy_for_Comparison4!"&amp;ADDRESS(ROW(),COLUMN()))</formula>
    </cfRule>
  </conditionalFormatting>
  <conditionalFormatting sqref="D236">
    <cfRule type="cellIs" dxfId="1982" priority="4485" stopIfTrue="1" operator="notEqual">
      <formula>INDIRECT("Dummy_for_Comparison4!"&amp;ADDRESS(ROW(),COLUMN()))</formula>
    </cfRule>
  </conditionalFormatting>
  <conditionalFormatting sqref="G236">
    <cfRule type="cellIs" dxfId="1981" priority="3610" stopIfTrue="1" operator="notEqual">
      <formula>INDIRECT("Dummy_for_Comparison4!"&amp;ADDRESS(ROW(),COLUMN()))</formula>
    </cfRule>
  </conditionalFormatting>
  <conditionalFormatting sqref="K236">
    <cfRule type="cellIs" dxfId="1980" priority="1545" stopIfTrue="1" operator="notEqual">
      <formula>INDIRECT("Dummy_for_Comparison4!"&amp;ADDRESS(ROW(),COLUMN()))</formula>
    </cfRule>
  </conditionalFormatting>
  <conditionalFormatting sqref="C237">
    <cfRule type="cellIs" dxfId="1979" priority="663" stopIfTrue="1" operator="notEqual">
      <formula>INDIRECT("Dummy_for_Comparison4!"&amp;ADDRESS(ROW(),COLUMN()))</formula>
    </cfRule>
  </conditionalFormatting>
  <conditionalFormatting sqref="D237">
    <cfRule type="cellIs" dxfId="1978" priority="662" stopIfTrue="1" operator="notEqual">
      <formula>INDIRECT("Dummy_for_Comparison4!"&amp;ADDRESS(ROW(),COLUMN()))</formula>
    </cfRule>
  </conditionalFormatting>
  <conditionalFormatting sqref="G237">
    <cfRule type="cellIs" dxfId="1977" priority="661" stopIfTrue="1" operator="notEqual">
      <formula>INDIRECT("Dummy_for_Comparison4!"&amp;ADDRESS(ROW(),COLUMN()))</formula>
    </cfRule>
  </conditionalFormatting>
  <conditionalFormatting sqref="K237">
    <cfRule type="cellIs" dxfId="1976" priority="660" stopIfTrue="1" operator="notEqual">
      <formula>INDIRECT("Dummy_for_Comparison4!"&amp;ADDRESS(ROW(),COLUMN()))</formula>
    </cfRule>
  </conditionalFormatting>
  <conditionalFormatting sqref="C238">
    <cfRule type="cellIs" dxfId="1975" priority="4501" stopIfTrue="1" operator="notEqual">
      <formula>INDIRECT("Dummy_for_Comparison4!"&amp;ADDRESS(ROW(),COLUMN()))</formula>
    </cfRule>
  </conditionalFormatting>
  <conditionalFormatting sqref="D238">
    <cfRule type="cellIs" dxfId="1974" priority="4500" stopIfTrue="1" operator="notEqual">
      <formula>INDIRECT("Dummy_for_Comparison4!"&amp;ADDRESS(ROW(),COLUMN()))</formula>
    </cfRule>
  </conditionalFormatting>
  <conditionalFormatting sqref="G238">
    <cfRule type="cellIs" dxfId="1973" priority="3619" stopIfTrue="1" operator="notEqual">
      <formula>INDIRECT("Dummy_for_Comparison4!"&amp;ADDRESS(ROW(),COLUMN()))</formula>
    </cfRule>
  </conditionalFormatting>
  <conditionalFormatting sqref="K238">
    <cfRule type="cellIs" dxfId="1972" priority="1554" stopIfTrue="1" operator="notEqual">
      <formula>INDIRECT("Dummy_for_Comparison4!"&amp;ADDRESS(ROW(),COLUMN()))</formula>
    </cfRule>
  </conditionalFormatting>
  <conditionalFormatting sqref="C239">
    <cfRule type="cellIs" dxfId="1971" priority="4498" stopIfTrue="1" operator="notEqual">
      <formula>INDIRECT("Dummy_for_Comparison4!"&amp;ADDRESS(ROW(),COLUMN()))</formula>
    </cfRule>
  </conditionalFormatting>
  <conditionalFormatting sqref="D239">
    <cfRule type="cellIs" dxfId="1970" priority="4497" stopIfTrue="1" operator="notEqual">
      <formula>INDIRECT("Dummy_for_Comparison4!"&amp;ADDRESS(ROW(),COLUMN()))</formula>
    </cfRule>
  </conditionalFormatting>
  <conditionalFormatting sqref="G239">
    <cfRule type="cellIs" dxfId="1969" priority="3618" stopIfTrue="1" operator="notEqual">
      <formula>INDIRECT("Dummy_for_Comparison4!"&amp;ADDRESS(ROW(),COLUMN()))</formula>
    </cfRule>
  </conditionalFormatting>
  <conditionalFormatting sqref="K239">
    <cfRule type="cellIs" dxfId="1968" priority="1553" stopIfTrue="1" operator="notEqual">
      <formula>INDIRECT("Dummy_for_Comparison4!"&amp;ADDRESS(ROW(),COLUMN()))</formula>
    </cfRule>
  </conditionalFormatting>
  <conditionalFormatting sqref="C241">
    <cfRule type="cellIs" dxfId="1967" priority="4504" stopIfTrue="1" operator="notEqual">
      <formula>INDIRECT("Dummy_for_Comparison4!"&amp;ADDRESS(ROW(),COLUMN()))</formula>
    </cfRule>
  </conditionalFormatting>
  <conditionalFormatting sqref="D241">
    <cfRule type="cellIs" dxfId="1966" priority="4503" stopIfTrue="1" operator="notEqual">
      <formula>INDIRECT("Dummy_for_Comparison4!"&amp;ADDRESS(ROW(),COLUMN()))</formula>
    </cfRule>
  </conditionalFormatting>
  <conditionalFormatting sqref="G241">
    <cfRule type="cellIs" dxfId="1965" priority="3620" stopIfTrue="1" operator="notEqual">
      <formula>INDIRECT("Dummy_for_Comparison4!"&amp;ADDRESS(ROW(),COLUMN()))</formula>
    </cfRule>
  </conditionalFormatting>
  <conditionalFormatting sqref="K241">
    <cfRule type="cellIs" dxfId="1964" priority="1555" stopIfTrue="1" operator="notEqual">
      <formula>INDIRECT("Dummy_for_Comparison4!"&amp;ADDRESS(ROW(),COLUMN()))</formula>
    </cfRule>
  </conditionalFormatting>
  <conditionalFormatting sqref="C242">
    <cfRule type="cellIs" dxfId="1963" priority="4507" stopIfTrue="1" operator="notEqual">
      <formula>INDIRECT("Dummy_for_Comparison4!"&amp;ADDRESS(ROW(),COLUMN()))</formula>
    </cfRule>
  </conditionalFormatting>
  <conditionalFormatting sqref="D242">
    <cfRule type="cellIs" dxfId="1962" priority="4506" stopIfTrue="1" operator="notEqual">
      <formula>INDIRECT("Dummy_for_Comparison4!"&amp;ADDRESS(ROW(),COLUMN()))</formula>
    </cfRule>
  </conditionalFormatting>
  <conditionalFormatting sqref="G242">
    <cfRule type="cellIs" dxfId="1961" priority="3621" stopIfTrue="1" operator="notEqual">
      <formula>INDIRECT("Dummy_for_Comparison4!"&amp;ADDRESS(ROW(),COLUMN()))</formula>
    </cfRule>
  </conditionalFormatting>
  <conditionalFormatting sqref="K242">
    <cfRule type="cellIs" dxfId="1960" priority="1556" stopIfTrue="1" operator="notEqual">
      <formula>INDIRECT("Dummy_for_Comparison4!"&amp;ADDRESS(ROW(),COLUMN()))</formula>
    </cfRule>
  </conditionalFormatting>
  <conditionalFormatting sqref="C244">
    <cfRule type="cellIs" dxfId="1959" priority="4483" stopIfTrue="1" operator="notEqual">
      <formula>INDIRECT("Dummy_for_Comparison4!"&amp;ADDRESS(ROW(),COLUMN()))</formula>
    </cfRule>
  </conditionalFormatting>
  <conditionalFormatting sqref="D244">
    <cfRule type="cellIs" dxfId="1958" priority="4482" stopIfTrue="1" operator="notEqual">
      <formula>INDIRECT("Dummy_for_Comparison4!"&amp;ADDRESS(ROW(),COLUMN()))</formula>
    </cfRule>
  </conditionalFormatting>
  <conditionalFormatting sqref="G244">
    <cfRule type="cellIs" dxfId="1957" priority="3609" stopIfTrue="1" operator="notEqual">
      <formula>INDIRECT("Dummy_for_Comparison4!"&amp;ADDRESS(ROW(),COLUMN()))</formula>
    </cfRule>
  </conditionalFormatting>
  <conditionalFormatting sqref="K244">
    <cfRule type="cellIs" dxfId="1956" priority="1544" stopIfTrue="1" operator="notEqual">
      <formula>INDIRECT("Dummy_for_Comparison4!"&amp;ADDRESS(ROW(),COLUMN()))</formula>
    </cfRule>
  </conditionalFormatting>
  <conditionalFormatting sqref="C245">
    <cfRule type="cellIs" dxfId="1955" priority="4395" stopIfTrue="1" operator="notEqual">
      <formula>INDIRECT("Dummy_for_Comparison4!"&amp;ADDRESS(ROW(),COLUMN()))</formula>
    </cfRule>
  </conditionalFormatting>
  <conditionalFormatting sqref="D245">
    <cfRule type="cellIs" dxfId="1954" priority="4394" stopIfTrue="1" operator="notEqual">
      <formula>INDIRECT("Dummy_for_Comparison4!"&amp;ADDRESS(ROW(),COLUMN()))</formula>
    </cfRule>
  </conditionalFormatting>
  <conditionalFormatting sqref="G245">
    <cfRule type="cellIs" dxfId="1953" priority="3600" stopIfTrue="1" operator="notEqual">
      <formula>INDIRECT("Dummy_for_Comparison4!"&amp;ADDRESS(ROW(),COLUMN()))</formula>
    </cfRule>
  </conditionalFormatting>
  <conditionalFormatting sqref="K245">
    <cfRule type="cellIs" dxfId="1952" priority="1536" stopIfTrue="1" operator="notEqual">
      <formula>INDIRECT("Dummy_for_Comparison4!"&amp;ADDRESS(ROW(),COLUMN()))</formula>
    </cfRule>
  </conditionalFormatting>
  <conditionalFormatting sqref="G246">
    <cfRule type="cellIs" dxfId="1951" priority="3608" stopIfTrue="1" operator="notEqual">
      <formula>INDIRECT("Dummy_for_Comparison4!"&amp;ADDRESS(ROW(),COLUMN()))</formula>
    </cfRule>
  </conditionalFormatting>
  <conditionalFormatting sqref="K246">
    <cfRule type="cellIs" dxfId="1950" priority="1543" stopIfTrue="1" operator="notEqual">
      <formula>INDIRECT("Dummy_for_Comparison4!"&amp;ADDRESS(ROW(),COLUMN()))</formula>
    </cfRule>
  </conditionalFormatting>
  <conditionalFormatting sqref="G249">
    <cfRule type="cellIs" dxfId="1949" priority="3607" stopIfTrue="1" operator="notEqual">
      <formula>INDIRECT("Dummy_for_Comparison4!"&amp;ADDRESS(ROW(),COLUMN()))</formula>
    </cfRule>
  </conditionalFormatting>
  <conditionalFormatting sqref="K249">
    <cfRule type="cellIs" dxfId="1948" priority="1542" stopIfTrue="1" operator="notEqual">
      <formula>INDIRECT("Dummy_for_Comparison4!"&amp;ADDRESS(ROW(),COLUMN()))</formula>
    </cfRule>
  </conditionalFormatting>
  <conditionalFormatting sqref="C256">
    <cfRule type="cellIs" dxfId="1947" priority="4254" stopIfTrue="1" operator="notEqual">
      <formula>INDIRECT("Dummy_for_Comparison4!"&amp;ADDRESS(ROW(),COLUMN()))</formula>
    </cfRule>
  </conditionalFormatting>
  <conditionalFormatting sqref="G256">
    <cfRule type="cellIs" dxfId="1946" priority="3598" stopIfTrue="1" operator="notEqual">
      <formula>INDIRECT("Dummy_for_Comparison4!"&amp;ADDRESS(ROW(),COLUMN()))</formula>
    </cfRule>
  </conditionalFormatting>
  <conditionalFormatting sqref="K256">
    <cfRule type="cellIs" dxfId="1945" priority="1534" stopIfTrue="1" operator="notEqual">
      <formula>INDIRECT("Dummy_for_Comparison4!"&amp;ADDRESS(ROW(),COLUMN()))</formula>
    </cfRule>
  </conditionalFormatting>
  <conditionalFormatting sqref="C258">
    <cfRule type="cellIs" dxfId="1944" priority="4252" stopIfTrue="1" operator="notEqual">
      <formula>INDIRECT("Dummy_for_Comparison4!"&amp;ADDRESS(ROW(),COLUMN()))</formula>
    </cfRule>
  </conditionalFormatting>
  <conditionalFormatting sqref="G258">
    <cfRule type="cellIs" dxfId="1943" priority="3597" stopIfTrue="1" operator="notEqual">
      <formula>INDIRECT("Dummy_for_Comparison4!"&amp;ADDRESS(ROW(),COLUMN()))</formula>
    </cfRule>
  </conditionalFormatting>
  <conditionalFormatting sqref="K258">
    <cfRule type="cellIs" dxfId="1942" priority="1533" stopIfTrue="1" operator="notEqual">
      <formula>INDIRECT("Dummy_for_Comparison4!"&amp;ADDRESS(ROW(),COLUMN()))</formula>
    </cfRule>
  </conditionalFormatting>
  <conditionalFormatting sqref="C259">
    <cfRule type="cellIs" dxfId="1941" priority="4249" stopIfTrue="1" operator="notEqual">
      <formula>INDIRECT("Dummy_for_Comparison4!"&amp;ADDRESS(ROW(),COLUMN()))</formula>
    </cfRule>
  </conditionalFormatting>
  <conditionalFormatting sqref="G259">
    <cfRule type="cellIs" dxfId="1940" priority="3596" stopIfTrue="1" operator="notEqual">
      <formula>INDIRECT("Dummy_for_Comparison4!"&amp;ADDRESS(ROW(),COLUMN()))</formula>
    </cfRule>
  </conditionalFormatting>
  <conditionalFormatting sqref="K259">
    <cfRule type="cellIs" dxfId="1939" priority="1532" stopIfTrue="1" operator="notEqual">
      <formula>INDIRECT("Dummy_for_Comparison4!"&amp;ADDRESS(ROW(),COLUMN()))</formula>
    </cfRule>
  </conditionalFormatting>
  <conditionalFormatting sqref="C264">
    <cfRule type="cellIs" dxfId="1938" priority="640" stopIfTrue="1" operator="notEqual">
      <formula>INDIRECT("Dummy_for_Comparison4!"&amp;ADDRESS(ROW(),COLUMN()))</formula>
    </cfRule>
  </conditionalFormatting>
  <conditionalFormatting sqref="E264">
    <cfRule type="cellIs" dxfId="1937" priority="639" stopIfTrue="1" operator="notEqual">
      <formula>INDIRECT("Dummy_for_Comparison4!"&amp;ADDRESS(ROW(),COLUMN()))</formula>
    </cfRule>
  </conditionalFormatting>
  <conditionalFormatting sqref="G264">
    <cfRule type="cellIs" dxfId="1936" priority="637" stopIfTrue="1" operator="notEqual">
      <formula>INDIRECT("Dummy_for_Comparison4!"&amp;ADDRESS(ROW(),COLUMN()))</formula>
    </cfRule>
  </conditionalFormatting>
  <conditionalFormatting sqref="K264">
    <cfRule type="cellIs" dxfId="1935" priority="634" stopIfTrue="1" operator="notEqual">
      <formula>INDIRECT("Dummy_for_Comparison4!"&amp;ADDRESS(ROW(),COLUMN()))</formula>
    </cfRule>
  </conditionalFormatting>
  <conditionalFormatting sqref="O264">
    <cfRule type="cellIs" dxfId="1934" priority="638" stopIfTrue="1" operator="notEqual">
      <formula>INDIRECT("Dummy_for_Comparison4!"&amp;ADDRESS(ROW(),COLUMN()))</formula>
    </cfRule>
  </conditionalFormatting>
  <conditionalFormatting sqref="AJ265">
    <cfRule type="cellIs" dxfId="1933" priority="4262" stopIfTrue="1" operator="notEqual">
      <formula>INDIRECT("Dummy_for_Comparison4!"&amp;ADDRESS(ROW(),COLUMN()))</formula>
    </cfRule>
  </conditionalFormatting>
  <conditionalFormatting sqref="G266">
    <cfRule type="cellIs" dxfId="1932" priority="3593" stopIfTrue="1" operator="notEqual">
      <formula>INDIRECT("Dummy_for_Comparison4!"&amp;ADDRESS(ROW(),COLUMN()))</formula>
    </cfRule>
  </conditionalFormatting>
  <conditionalFormatting sqref="K266">
    <cfRule type="cellIs" dxfId="1931" priority="1529" stopIfTrue="1" operator="notEqual">
      <formula>INDIRECT("Dummy_for_Comparison4!"&amp;ADDRESS(ROW(),COLUMN()))</formula>
    </cfRule>
  </conditionalFormatting>
  <conditionalFormatting sqref="AJ266">
    <cfRule type="cellIs" dxfId="1930" priority="4240" stopIfTrue="1" operator="notEqual">
      <formula>INDIRECT("Dummy_for_Comparison4!"&amp;ADDRESS(ROW(),COLUMN()))</formula>
    </cfRule>
  </conditionalFormatting>
  <conditionalFormatting sqref="G268">
    <cfRule type="cellIs" dxfId="1929" priority="655" stopIfTrue="1" operator="notEqual">
      <formula>INDIRECT("Dummy_for_Comparison4!"&amp;ADDRESS(ROW(),COLUMN()))</formula>
    </cfRule>
  </conditionalFormatting>
  <conditionalFormatting sqref="K268">
    <cfRule type="cellIs" dxfId="1928" priority="654" stopIfTrue="1" operator="notEqual">
      <formula>INDIRECT("Dummy_for_Comparison4!"&amp;ADDRESS(ROW(),COLUMN()))</formula>
    </cfRule>
  </conditionalFormatting>
  <conditionalFormatting sqref="O269">
    <cfRule type="cellIs" dxfId="1927" priority="4191" stopIfTrue="1" operator="notEqual">
      <formula>INDIRECT("Dummy_for_Comparison4!"&amp;ADDRESS(ROW(),COLUMN()))</formula>
    </cfRule>
  </conditionalFormatting>
  <conditionalFormatting sqref="G270">
    <cfRule type="cellIs" dxfId="1926" priority="3594" stopIfTrue="1" operator="notEqual">
      <formula>INDIRECT("Dummy_for_Comparison4!"&amp;ADDRESS(ROW(),COLUMN()))</formula>
    </cfRule>
  </conditionalFormatting>
  <conditionalFormatting sqref="K270">
    <cfRule type="cellIs" dxfId="1925" priority="1530" stopIfTrue="1" operator="notEqual">
      <formula>INDIRECT("Dummy_for_Comparison4!"&amp;ADDRESS(ROW(),COLUMN()))</formula>
    </cfRule>
  </conditionalFormatting>
  <conditionalFormatting sqref="C274">
    <cfRule type="cellIs" dxfId="1924" priority="4259" stopIfTrue="1" operator="notEqual">
      <formula>INDIRECT("Dummy_for_Comparison4!"&amp;ADDRESS(ROW(),COLUMN()))</formula>
    </cfRule>
  </conditionalFormatting>
  <conditionalFormatting sqref="D274">
    <cfRule type="cellIs" dxfId="1923" priority="4258" stopIfTrue="1" operator="notEqual">
      <formula>INDIRECT("Dummy_for_Comparison4!"&amp;ADDRESS(ROW(),COLUMN()))</formula>
    </cfRule>
  </conditionalFormatting>
  <conditionalFormatting sqref="D275">
    <cfRule type="cellIs" dxfId="1922" priority="4245" stopIfTrue="1" operator="notEqual">
      <formula>INDIRECT("Dummy_for_Comparison4!"&amp;ADDRESS(ROW(),COLUMN()))</formula>
    </cfRule>
  </conditionalFormatting>
  <conditionalFormatting sqref="E280">
    <cfRule type="cellIs" dxfId="1921" priority="630" stopIfTrue="1" operator="notEqual">
      <formula>INDIRECT("Dummy_for_Comparison4!"&amp;ADDRESS(ROW(),COLUMN()))</formula>
    </cfRule>
  </conditionalFormatting>
  <conditionalFormatting sqref="O280">
    <cfRule type="cellIs" dxfId="1920" priority="628" stopIfTrue="1" operator="notEqual">
      <formula>INDIRECT("Dummy_for_Comparison4!"&amp;ADDRESS(ROW(),COLUMN()))</formula>
    </cfRule>
  </conditionalFormatting>
  <conditionalFormatting sqref="C282">
    <cfRule type="cellIs" dxfId="1919" priority="3447" stopIfTrue="1" operator="notEqual">
      <formula>INDIRECT("Dummy_for_Comparison4!"&amp;ADDRESS(ROW(),COLUMN()))</formula>
    </cfRule>
  </conditionalFormatting>
  <conditionalFormatting sqref="E282">
    <cfRule type="cellIs" dxfId="1918" priority="3446" stopIfTrue="1" operator="notEqual">
      <formula>INDIRECT("Dummy_for_Comparison4!"&amp;ADDRESS(ROW(),COLUMN()))</formula>
    </cfRule>
  </conditionalFormatting>
  <conditionalFormatting sqref="G282">
    <cfRule type="cellIs" dxfId="1917" priority="3444" stopIfTrue="1" operator="notEqual">
      <formula>INDIRECT("Dummy_for_Comparison4!"&amp;ADDRESS(ROW(),COLUMN()))</formula>
    </cfRule>
  </conditionalFormatting>
  <conditionalFormatting sqref="K282">
    <cfRule type="cellIs" dxfId="1916" priority="1441" stopIfTrue="1" operator="notEqual">
      <formula>INDIRECT("Dummy_for_Comparison4!"&amp;ADDRESS(ROW(),COLUMN()))</formula>
    </cfRule>
  </conditionalFormatting>
  <conditionalFormatting sqref="O282">
    <cfRule type="cellIs" dxfId="1915" priority="3445" stopIfTrue="1" operator="notEqual">
      <formula>INDIRECT("Dummy_for_Comparison4!"&amp;ADDRESS(ROW(),COLUMN()))</formula>
    </cfRule>
  </conditionalFormatting>
  <conditionalFormatting sqref="E283">
    <cfRule type="cellIs" dxfId="1914" priority="3442" stopIfTrue="1" operator="notEqual">
      <formula>INDIRECT("Dummy_for_Comparison4!"&amp;ADDRESS(ROW(),COLUMN()))</formula>
    </cfRule>
  </conditionalFormatting>
  <conditionalFormatting sqref="C284">
    <cfRule type="cellIs" dxfId="1913" priority="4236" stopIfTrue="1" operator="notEqual">
      <formula>INDIRECT("Dummy_for_Comparison4!"&amp;ADDRESS(ROW(),COLUMN()))</formula>
    </cfRule>
  </conditionalFormatting>
  <conditionalFormatting sqref="D284">
    <cfRule type="cellIs" dxfId="1912" priority="4232" stopIfTrue="1" operator="notEqual">
      <formula>INDIRECT("Dummy_for_Comparison4!"&amp;ADDRESS(ROW(),COLUMN()))</formula>
    </cfRule>
  </conditionalFormatting>
  <conditionalFormatting sqref="C285">
    <cfRule type="cellIs" dxfId="1911" priority="4229" stopIfTrue="1" operator="notEqual">
      <formula>INDIRECT("Dummy_for_Comparison4!"&amp;ADDRESS(ROW(),COLUMN()))</formula>
    </cfRule>
  </conditionalFormatting>
  <conditionalFormatting sqref="D285">
    <cfRule type="cellIs" dxfId="1910" priority="4228" stopIfTrue="1" operator="notEqual">
      <formula>INDIRECT("Dummy_for_Comparison4!"&amp;ADDRESS(ROW(),COLUMN()))</formula>
    </cfRule>
  </conditionalFormatting>
  <conditionalFormatting sqref="G285">
    <cfRule type="cellIs" dxfId="1909" priority="3590" stopIfTrue="1" operator="notEqual">
      <formula>INDIRECT("Dummy_for_Comparison4!"&amp;ADDRESS(ROW(),COLUMN()))</formula>
    </cfRule>
  </conditionalFormatting>
  <conditionalFormatting sqref="K285">
    <cfRule type="cellIs" dxfId="1908" priority="1526" stopIfTrue="1" operator="notEqual">
      <formula>INDIRECT("Dummy_for_Comparison4!"&amp;ADDRESS(ROW(),COLUMN()))</formula>
    </cfRule>
  </conditionalFormatting>
  <conditionalFormatting sqref="G289">
    <cfRule type="cellIs" dxfId="1907" priority="3589" stopIfTrue="1" operator="notEqual">
      <formula>INDIRECT("Dummy_for_Comparison4!"&amp;ADDRESS(ROW(),COLUMN()))</formula>
    </cfRule>
  </conditionalFormatting>
  <conditionalFormatting sqref="K289">
    <cfRule type="cellIs" dxfId="1906" priority="1525" stopIfTrue="1" operator="notEqual">
      <formula>INDIRECT("Dummy_for_Comparison4!"&amp;ADDRESS(ROW(),COLUMN()))</formula>
    </cfRule>
  </conditionalFormatting>
  <conditionalFormatting sqref="G290">
    <cfRule type="cellIs" dxfId="1905" priority="3588" stopIfTrue="1" operator="notEqual">
      <formula>INDIRECT("Dummy_for_Comparison4!"&amp;ADDRESS(ROW(),COLUMN()))</formula>
    </cfRule>
  </conditionalFormatting>
  <conditionalFormatting sqref="K290">
    <cfRule type="cellIs" dxfId="1904" priority="665" stopIfTrue="1" operator="notEqual">
      <formula>INDIRECT("Dummy_for_Comparison4!"&amp;ADDRESS(ROW(),COLUMN()))</formula>
    </cfRule>
  </conditionalFormatting>
  <conditionalFormatting sqref="G291">
    <cfRule type="cellIs" dxfId="1903" priority="3587" stopIfTrue="1" operator="notEqual">
      <formula>INDIRECT("Dummy_for_Comparison4!"&amp;ADDRESS(ROW(),COLUMN()))</formula>
    </cfRule>
  </conditionalFormatting>
  <conditionalFormatting sqref="K291">
    <cfRule type="cellIs" dxfId="1902" priority="1523" stopIfTrue="1" operator="notEqual">
      <formula>INDIRECT("Dummy_for_Comparison4!"&amp;ADDRESS(ROW(),COLUMN()))</formula>
    </cfRule>
  </conditionalFormatting>
  <conditionalFormatting sqref="K297">
    <cfRule type="cellIs" dxfId="1901" priority="1524" stopIfTrue="1" operator="notEqual">
      <formula>INDIRECT("Dummy_for_Comparison4!"&amp;ADDRESS(ROW(),COLUMN()))</formula>
    </cfRule>
  </conditionalFormatting>
  <conditionalFormatting sqref="O297">
    <cfRule type="cellIs" dxfId="1900" priority="3714" stopIfTrue="1" operator="notEqual">
      <formula>INDIRECT("Dummy_for_Comparison4!"&amp;ADDRESS(ROW(),COLUMN()))</formula>
    </cfRule>
  </conditionalFormatting>
  <conditionalFormatting sqref="G298">
    <cfRule type="cellIs" dxfId="1899" priority="3509" stopIfTrue="1" operator="notEqual">
      <formula>INDIRECT("Dummy_for_Comparison4!"&amp;ADDRESS(ROW(),COLUMN()))</formula>
    </cfRule>
  </conditionalFormatting>
  <conditionalFormatting sqref="K298">
    <cfRule type="cellIs" dxfId="1898" priority="1449" stopIfTrue="1" operator="notEqual">
      <formula>INDIRECT("Dummy_for_Comparison4!"&amp;ADDRESS(ROW(),COLUMN()))</formula>
    </cfRule>
  </conditionalFormatting>
  <conditionalFormatting sqref="C299">
    <cfRule type="cellIs" dxfId="1897" priority="3672" stopIfTrue="1" operator="notEqual">
      <formula>INDIRECT("Dummy_for_Comparison4!"&amp;ADDRESS(ROW(),COLUMN()))</formula>
    </cfRule>
  </conditionalFormatting>
  <conditionalFormatting sqref="E299">
    <cfRule type="cellIs" dxfId="1896" priority="3711" stopIfTrue="1" operator="notEqual">
      <formula>INDIRECT("Dummy_for_Comparison4!"&amp;ADDRESS(ROW(),COLUMN()))</formula>
    </cfRule>
  </conditionalFormatting>
  <conditionalFormatting sqref="O299">
    <cfRule type="cellIs" dxfId="1895" priority="3710" stopIfTrue="1" operator="notEqual">
      <formula>INDIRECT("Dummy_for_Comparison4!"&amp;ADDRESS(ROW(),COLUMN()))</formula>
    </cfRule>
  </conditionalFormatting>
  <conditionalFormatting sqref="C300">
    <cfRule type="cellIs" dxfId="1894" priority="3709" stopIfTrue="1" operator="notEqual">
      <formula>INDIRECT("Dummy_for_Comparison4!"&amp;ADDRESS(ROW(),COLUMN()))</formula>
    </cfRule>
  </conditionalFormatting>
  <conditionalFormatting sqref="E300">
    <cfRule type="cellIs" dxfId="1893" priority="3708" stopIfTrue="1" operator="notEqual">
      <formula>INDIRECT("Dummy_for_Comparison4!"&amp;ADDRESS(ROW(),COLUMN()))</formula>
    </cfRule>
  </conditionalFormatting>
  <conditionalFormatting sqref="O300">
    <cfRule type="cellIs" dxfId="1892" priority="3707" stopIfTrue="1" operator="notEqual">
      <formula>INDIRECT("Dummy_for_Comparison4!"&amp;ADDRESS(ROW(),COLUMN()))</formula>
    </cfRule>
  </conditionalFormatting>
  <conditionalFormatting sqref="AJ300">
    <cfRule type="cellIs" dxfId="1891" priority="632" stopIfTrue="1" operator="notEqual">
      <formula>INDIRECT("Dummy_for_Comparison4!"&amp;ADDRESS(ROW(),COLUMN()))</formula>
    </cfRule>
  </conditionalFormatting>
  <conditionalFormatting sqref="G301">
    <cfRule type="cellIs" dxfId="1890" priority="3508" stopIfTrue="1" operator="notEqual">
      <formula>INDIRECT("Dummy_for_Comparison4!"&amp;ADDRESS(ROW(),COLUMN()))</formula>
    </cfRule>
  </conditionalFormatting>
  <conditionalFormatting sqref="K301">
    <cfRule type="cellIs" dxfId="1889" priority="1448" stopIfTrue="1" operator="notEqual">
      <formula>INDIRECT("Dummy_for_Comparison4!"&amp;ADDRESS(ROW(),COLUMN()))</formula>
    </cfRule>
  </conditionalFormatting>
  <conditionalFormatting sqref="O303">
    <cfRule type="cellIs" dxfId="1888" priority="3704" stopIfTrue="1" operator="notEqual">
      <formula>INDIRECT("Dummy_for_Comparison4!"&amp;ADDRESS(ROW(),COLUMN()))</formula>
    </cfRule>
  </conditionalFormatting>
  <conditionalFormatting sqref="C304">
    <cfRule type="cellIs" dxfId="1887" priority="2301" stopIfTrue="1" operator="notEqual">
      <formula>INDIRECT("Dummy_for_Comparison4!"&amp;ADDRESS(ROW(),COLUMN()))</formula>
    </cfRule>
  </conditionalFormatting>
  <conditionalFormatting sqref="G304">
    <cfRule type="cellIs" dxfId="1886" priority="2306" stopIfTrue="1" operator="notEqual">
      <formula>INDIRECT("Dummy_for_Comparison4!"&amp;ADDRESS(ROW(),COLUMN()))</formula>
    </cfRule>
  </conditionalFormatting>
  <conditionalFormatting sqref="K304">
    <cfRule type="cellIs" dxfId="1885" priority="1389" stopIfTrue="1" operator="notEqual">
      <formula>INDIRECT("Dummy_for_Comparison4!"&amp;ADDRESS(ROW(),COLUMN()))</formula>
    </cfRule>
  </conditionalFormatting>
  <conditionalFormatting sqref="O304">
    <cfRule type="cellIs" dxfId="1884" priority="2307" stopIfTrue="1" operator="notEqual">
      <formula>INDIRECT("Dummy_for_Comparison4!"&amp;ADDRESS(ROW(),COLUMN()))</formula>
    </cfRule>
  </conditionalFormatting>
  <conditionalFormatting sqref="C307">
    <cfRule type="cellIs" dxfId="1883" priority="3702" stopIfTrue="1" operator="notEqual">
      <formula>INDIRECT("Dummy_for_Comparison4!"&amp;ADDRESS(ROW(),COLUMN()))</formula>
    </cfRule>
  </conditionalFormatting>
  <conditionalFormatting sqref="E307">
    <cfRule type="cellIs" dxfId="1882" priority="3701" stopIfTrue="1" operator="notEqual">
      <formula>INDIRECT("Dummy_for_Comparison4!"&amp;ADDRESS(ROW(),COLUMN()))</formula>
    </cfRule>
  </conditionalFormatting>
  <conditionalFormatting sqref="G310">
    <cfRule type="cellIs" dxfId="1881" priority="3506" stopIfTrue="1" operator="notEqual">
      <formula>INDIRECT("Dummy_for_Comparison4!"&amp;ADDRESS(ROW(),COLUMN()))</formula>
    </cfRule>
  </conditionalFormatting>
  <conditionalFormatting sqref="K310">
    <cfRule type="cellIs" dxfId="1880" priority="1446" stopIfTrue="1" operator="notEqual">
      <formula>INDIRECT("Dummy_for_Comparison4!"&amp;ADDRESS(ROW(),COLUMN()))</formula>
    </cfRule>
  </conditionalFormatting>
  <conditionalFormatting sqref="C312">
    <cfRule type="cellIs" dxfId="1879" priority="3696" stopIfTrue="1" operator="notEqual">
      <formula>INDIRECT("Dummy_for_Comparison4!"&amp;ADDRESS(ROW(),COLUMN()))</formula>
    </cfRule>
  </conditionalFormatting>
  <conditionalFormatting sqref="E312">
    <cfRule type="cellIs" dxfId="1878" priority="3695" stopIfTrue="1" operator="notEqual">
      <formula>INDIRECT("Dummy_for_Comparison4!"&amp;ADDRESS(ROW(),COLUMN()))</formula>
    </cfRule>
  </conditionalFormatting>
  <conditionalFormatting sqref="O312">
    <cfRule type="cellIs" dxfId="1877" priority="3694" stopIfTrue="1" operator="notEqual">
      <formula>INDIRECT("Dummy_for_Comparison4!"&amp;ADDRESS(ROW(),COLUMN()))</formula>
    </cfRule>
  </conditionalFormatting>
  <conditionalFormatting sqref="C315">
    <cfRule type="cellIs" dxfId="1876" priority="3435" stopIfTrue="1" operator="notEqual">
      <formula>INDIRECT("Dummy_for_Comparison4!"&amp;ADDRESS(ROW(),COLUMN()))</formula>
    </cfRule>
  </conditionalFormatting>
  <conditionalFormatting sqref="O315">
    <cfRule type="cellIs" dxfId="1875" priority="3676" stopIfTrue="1" operator="notEqual">
      <formula>INDIRECT("Dummy_for_Comparison4!"&amp;ADDRESS(ROW(),COLUMN()))</formula>
    </cfRule>
  </conditionalFormatting>
  <conditionalFormatting sqref="C316">
    <cfRule type="cellIs" dxfId="1874" priority="3677" stopIfTrue="1" operator="notEqual">
      <formula>INDIRECT("Dummy_for_Comparison4!"&amp;ADDRESS(ROW(),COLUMN()))</formula>
    </cfRule>
  </conditionalFormatting>
  <conditionalFormatting sqref="E316:F316">
    <cfRule type="cellIs" dxfId="1873" priority="3432" stopIfTrue="1" operator="notEqual">
      <formula>INDIRECT("Dummy_for_Comparison4!"&amp;ADDRESS(ROW(),COLUMN()))</formula>
    </cfRule>
  </conditionalFormatting>
  <conditionalFormatting sqref="G316">
    <cfRule type="cellIs" dxfId="1872" priority="3422" stopIfTrue="1" operator="notEqual">
      <formula>INDIRECT("Dummy_for_Comparison4!"&amp;ADDRESS(ROW(),COLUMN()))</formula>
    </cfRule>
  </conditionalFormatting>
  <conditionalFormatting sqref="O316">
    <cfRule type="cellIs" dxfId="1871" priority="3427" stopIfTrue="1" operator="notEqual">
      <formula>INDIRECT("Dummy_for_Comparison4!"&amp;ADDRESS(ROW(),COLUMN()))</formula>
    </cfRule>
  </conditionalFormatting>
  <conditionalFormatting sqref="G317">
    <cfRule type="cellIs" dxfId="1870" priority="3505" stopIfTrue="1" operator="notEqual">
      <formula>INDIRECT("Dummy_for_Comparison4!"&amp;ADDRESS(ROW(),COLUMN()))</formula>
    </cfRule>
  </conditionalFormatting>
  <conditionalFormatting sqref="K317">
    <cfRule type="cellIs" dxfId="1869" priority="1445" stopIfTrue="1" operator="notEqual">
      <formula>INDIRECT("Dummy_for_Comparison4!"&amp;ADDRESS(ROW(),COLUMN()))</formula>
    </cfRule>
  </conditionalFormatting>
  <conditionalFormatting sqref="C321">
    <cfRule type="cellIs" dxfId="1868" priority="3663" stopIfTrue="1" operator="notEqual">
      <formula>INDIRECT("Dummy_for_Comparison4!"&amp;ADDRESS(ROW(),COLUMN()))</formula>
    </cfRule>
  </conditionalFormatting>
  <conditionalFormatting sqref="E321">
    <cfRule type="cellIs" dxfId="1867" priority="3661" stopIfTrue="1" operator="notEqual">
      <formula>INDIRECT("Dummy_for_Comparison4!"&amp;ADDRESS(ROW(),COLUMN()))</formula>
    </cfRule>
  </conditionalFormatting>
  <conditionalFormatting sqref="O321">
    <cfRule type="cellIs" dxfId="1866" priority="3659" stopIfTrue="1" operator="notEqual">
      <formula>INDIRECT("Dummy_for_Comparison4!"&amp;ADDRESS(ROW(),COLUMN()))</formula>
    </cfRule>
  </conditionalFormatting>
  <conditionalFormatting sqref="C322">
    <cfRule type="cellIs" dxfId="1865" priority="3687" stopIfTrue="1" operator="notEqual">
      <formula>INDIRECT("Dummy_for_Comparison4!"&amp;ADDRESS(ROW(),COLUMN()))</formula>
    </cfRule>
  </conditionalFormatting>
  <conditionalFormatting sqref="C323">
    <cfRule type="cellIs" dxfId="1864" priority="3666" stopIfTrue="1" operator="notEqual">
      <formula>INDIRECT("Dummy_for_Comparison4!"&amp;ADDRESS(ROW(),COLUMN()))</formula>
    </cfRule>
  </conditionalFormatting>
  <conditionalFormatting sqref="O324">
    <cfRule type="cellIs" dxfId="1863" priority="3686" stopIfTrue="1" operator="notEqual">
      <formula>INDIRECT("Dummy_for_Comparison4!"&amp;ADDRESS(ROW(),COLUMN()))</formula>
    </cfRule>
  </conditionalFormatting>
  <conditionalFormatting sqref="C325">
    <cfRule type="cellIs" dxfId="1862" priority="3684" stopIfTrue="1" operator="notEqual">
      <formula>INDIRECT("Dummy_for_Comparison4!"&amp;ADDRESS(ROW(),COLUMN()))</formula>
    </cfRule>
  </conditionalFormatting>
  <conditionalFormatting sqref="D325">
    <cfRule type="cellIs" dxfId="1861" priority="3681" stopIfTrue="1" operator="notEqual">
      <formula>INDIRECT("Dummy_for_Comparison4!"&amp;ADDRESS(ROW(),COLUMN()))</formula>
    </cfRule>
  </conditionalFormatting>
  <conditionalFormatting sqref="C326">
    <cfRule type="cellIs" dxfId="1860" priority="3679" stopIfTrue="1" operator="notEqual">
      <formula>INDIRECT("Dummy_for_Comparison4!"&amp;ADDRESS(ROW(),COLUMN()))</formula>
    </cfRule>
  </conditionalFormatting>
  <conditionalFormatting sqref="D326">
    <cfRule type="cellIs" dxfId="1859" priority="3678" stopIfTrue="1" operator="notEqual">
      <formula>INDIRECT("Dummy_for_Comparison4!"&amp;ADDRESS(ROW(),COLUMN()))</formula>
    </cfRule>
  </conditionalFormatting>
  <conditionalFormatting sqref="G326">
    <cfRule type="cellIs" dxfId="1858" priority="3502" stopIfTrue="1" operator="notEqual">
      <formula>INDIRECT("Dummy_for_Comparison4!"&amp;ADDRESS(ROW(),COLUMN()))</formula>
    </cfRule>
  </conditionalFormatting>
  <conditionalFormatting sqref="K326">
    <cfRule type="cellIs" dxfId="1857" priority="1442" stopIfTrue="1" operator="notEqual">
      <formula>INDIRECT("Dummy_for_Comparison4!"&amp;ADDRESS(ROW(),COLUMN()))</formula>
    </cfRule>
  </conditionalFormatting>
  <conditionalFormatting sqref="C331">
    <cfRule type="cellIs" dxfId="1856" priority="673" stopIfTrue="1" operator="notEqual">
      <formula>INDIRECT("Dummy_for_Comparison4!"&amp;ADDRESS(ROW(),COLUMN()))</formula>
    </cfRule>
  </conditionalFormatting>
  <conditionalFormatting sqref="E331">
    <cfRule type="cellIs" dxfId="1855" priority="671" stopIfTrue="1" operator="notEqual">
      <formula>INDIRECT("Dummy_for_Comparison4!"&amp;ADDRESS(ROW(),COLUMN()))</formula>
    </cfRule>
  </conditionalFormatting>
  <conditionalFormatting sqref="O331:Q331">
    <cfRule type="cellIs" dxfId="1854" priority="672" stopIfTrue="1" operator="notEqual">
      <formula>INDIRECT("Dummy_for_Comparison4!"&amp;ADDRESS(ROW(),COLUMN()))</formula>
    </cfRule>
  </conditionalFormatting>
  <conditionalFormatting sqref="C335">
    <cfRule type="cellIs" dxfId="1853" priority="3878" stopIfTrue="1" operator="notEqual">
      <formula>INDIRECT("Dummy_for_Comparison4!"&amp;ADDRESS(ROW(),COLUMN()))</formula>
    </cfRule>
  </conditionalFormatting>
  <conditionalFormatting sqref="G335">
    <cfRule type="cellIs" dxfId="1852" priority="3549" stopIfTrue="1" operator="notEqual">
      <formula>INDIRECT("Dummy_for_Comparison4!"&amp;ADDRESS(ROW(),COLUMN()))</formula>
    </cfRule>
  </conditionalFormatting>
  <conditionalFormatting sqref="K335">
    <cfRule type="cellIs" dxfId="1851" priority="1488" stopIfTrue="1" operator="notEqual">
      <formula>INDIRECT("Dummy_for_Comparison4!"&amp;ADDRESS(ROW(),COLUMN()))</formula>
    </cfRule>
  </conditionalFormatting>
  <conditionalFormatting sqref="AJ335">
    <cfRule type="cellIs" dxfId="1850" priority="3877" stopIfTrue="1" operator="notEqual">
      <formula>INDIRECT("Dummy_for_Comparison4!"&amp;ADDRESS(ROW(),COLUMN()))</formula>
    </cfRule>
  </conditionalFormatting>
  <conditionalFormatting sqref="G336">
    <cfRule type="cellIs" dxfId="1849" priority="3565" stopIfTrue="1" operator="notEqual">
      <formula>INDIRECT("Dummy_for_Comparison4!"&amp;ADDRESS(ROW(),COLUMN()))</formula>
    </cfRule>
  </conditionalFormatting>
  <conditionalFormatting sqref="K336">
    <cfRule type="cellIs" dxfId="1848" priority="1503" stopIfTrue="1" operator="notEqual">
      <formula>INDIRECT("Dummy_for_Comparison4!"&amp;ADDRESS(ROW(),COLUMN()))</formula>
    </cfRule>
  </conditionalFormatting>
  <conditionalFormatting sqref="AJ337">
    <cfRule type="cellIs" dxfId="1847" priority="3961" stopIfTrue="1" operator="notEqual">
      <formula>INDIRECT("Dummy_for_Comparison4!"&amp;ADDRESS(ROW(),COLUMN()))</formula>
    </cfRule>
  </conditionalFormatting>
  <conditionalFormatting sqref="C338:E338">
    <cfRule type="cellIs" dxfId="1846" priority="3963" stopIfTrue="1" operator="notEqual">
      <formula>INDIRECT("Dummy_for_Comparison4!"&amp;ADDRESS(ROW(),COLUMN()))</formula>
    </cfRule>
  </conditionalFormatting>
  <conditionalFormatting sqref="AJ338">
    <cfRule type="cellIs" dxfId="1845" priority="3960" stopIfTrue="1" operator="notEqual">
      <formula>INDIRECT("Dummy_for_Comparison4!"&amp;ADDRESS(ROW(),COLUMN()))</formula>
    </cfRule>
  </conditionalFormatting>
  <conditionalFormatting sqref="C339:E339">
    <cfRule type="cellIs" dxfId="1844" priority="3962" stopIfTrue="1" operator="notEqual">
      <formula>INDIRECT("Dummy_for_Comparison4!"&amp;ADDRESS(ROW(),COLUMN()))</formula>
    </cfRule>
  </conditionalFormatting>
  <conditionalFormatting sqref="AJ339">
    <cfRule type="cellIs" dxfId="1843" priority="3959" stopIfTrue="1" operator="notEqual">
      <formula>INDIRECT("Dummy_for_Comparison4!"&amp;ADDRESS(ROW(),COLUMN()))</formula>
    </cfRule>
  </conditionalFormatting>
  <conditionalFormatting sqref="C340:E340">
    <cfRule type="cellIs" dxfId="1842" priority="3908" stopIfTrue="1" operator="notEqual">
      <formula>INDIRECT("Dummy_for_Comparison4!"&amp;ADDRESS(ROW(),COLUMN()))</formula>
    </cfRule>
  </conditionalFormatting>
  <conditionalFormatting sqref="F340">
    <cfRule type="cellIs" dxfId="1841" priority="3909" stopIfTrue="1" operator="notEqual">
      <formula>INDIRECT("Dummy_for_Comparison4!"&amp;ADDRESS(ROW(),COLUMN()))</formula>
    </cfRule>
  </conditionalFormatting>
  <conditionalFormatting sqref="G340">
    <cfRule type="cellIs" dxfId="1840" priority="3562" stopIfTrue="1" operator="notEqual">
      <formula>INDIRECT("Dummy_for_Comparison4!"&amp;ADDRESS(ROW(),COLUMN()))</formula>
    </cfRule>
  </conditionalFormatting>
  <conditionalFormatting sqref="K340">
    <cfRule type="cellIs" dxfId="1839" priority="1500" stopIfTrue="1" operator="notEqual">
      <formula>INDIRECT("Dummy_for_Comparison4!"&amp;ADDRESS(ROW(),COLUMN()))</formula>
    </cfRule>
  </conditionalFormatting>
  <conditionalFormatting sqref="M340">
    <cfRule type="cellIs" dxfId="1838" priority="3811" stopIfTrue="1" operator="notEqual">
      <formula>INDIRECT("Dummy_for_Comparison4!"&amp;ADDRESS(ROW(),COLUMN()))</formula>
    </cfRule>
  </conditionalFormatting>
  <conditionalFormatting sqref="AJ340">
    <cfRule type="cellIs" dxfId="1837" priority="3907" stopIfTrue="1" operator="notEqual">
      <formula>INDIRECT("Dummy_for_Comparison4!"&amp;ADDRESS(ROW(),COLUMN()))</formula>
    </cfRule>
  </conditionalFormatting>
  <conditionalFormatting sqref="G344">
    <cfRule type="cellIs" dxfId="1836" priority="3561" stopIfTrue="1" operator="notEqual">
      <formula>INDIRECT("Dummy_for_Comparison4!"&amp;ADDRESS(ROW(),COLUMN()))</formula>
    </cfRule>
  </conditionalFormatting>
  <conditionalFormatting sqref="K344">
    <cfRule type="cellIs" dxfId="1835" priority="1499" stopIfTrue="1" operator="notEqual">
      <formula>INDIRECT("Dummy_for_Comparison4!"&amp;ADDRESS(ROW(),COLUMN()))</formula>
    </cfRule>
  </conditionalFormatting>
  <conditionalFormatting sqref="M344">
    <cfRule type="cellIs" dxfId="1834" priority="3809" stopIfTrue="1" operator="notEqual">
      <formula>INDIRECT("Dummy_for_Comparison4!"&amp;ADDRESS(ROW(),COLUMN()))</formula>
    </cfRule>
  </conditionalFormatting>
  <conditionalFormatting sqref="G346">
    <cfRule type="cellIs" dxfId="1833" priority="3560" stopIfTrue="1" operator="notEqual">
      <formula>INDIRECT("Dummy_for_Comparison4!"&amp;ADDRESS(ROW(),COLUMN()))</formula>
    </cfRule>
  </conditionalFormatting>
  <conditionalFormatting sqref="K346">
    <cfRule type="cellIs" dxfId="1832" priority="1498" stopIfTrue="1" operator="notEqual">
      <formula>INDIRECT("Dummy_for_Comparison4!"&amp;ADDRESS(ROW(),COLUMN()))</formula>
    </cfRule>
  </conditionalFormatting>
  <conditionalFormatting sqref="G352">
    <cfRule type="cellIs" dxfId="1831" priority="3559" stopIfTrue="1" operator="notEqual">
      <formula>INDIRECT("Dummy_for_Comparison4!"&amp;ADDRESS(ROW(),COLUMN()))</formula>
    </cfRule>
  </conditionalFormatting>
  <conditionalFormatting sqref="K352">
    <cfRule type="cellIs" dxfId="1830" priority="1497" stopIfTrue="1" operator="notEqual">
      <formula>INDIRECT("Dummy_for_Comparison4!"&amp;ADDRESS(ROW(),COLUMN()))</formula>
    </cfRule>
  </conditionalFormatting>
  <conditionalFormatting sqref="Q352">
    <cfRule type="cellIs" dxfId="1829" priority="3489" stopIfTrue="1" operator="notEqual">
      <formula>INDIRECT("Dummy_for_Comparison4!"&amp;ADDRESS(ROW(),COLUMN()))</formula>
    </cfRule>
  </conditionalFormatting>
  <conditionalFormatting sqref="C353">
    <cfRule type="cellIs" dxfId="1828" priority="3919" stopIfTrue="1" operator="notEqual">
      <formula>INDIRECT("Dummy_for_Comparison4!"&amp;ADDRESS(ROW(),COLUMN()))</formula>
    </cfRule>
  </conditionalFormatting>
  <conditionalFormatting sqref="C354">
    <cfRule type="cellIs" dxfId="1827" priority="3918" stopIfTrue="1" operator="notEqual">
      <formula>INDIRECT("Dummy_for_Comparison4!"&amp;ADDRESS(ROW(),COLUMN()))</formula>
    </cfRule>
  </conditionalFormatting>
  <conditionalFormatting sqref="C355">
    <cfRule type="cellIs" dxfId="1826" priority="3917" stopIfTrue="1" operator="notEqual">
      <formula>INDIRECT("Dummy_for_Comparison4!"&amp;ADDRESS(ROW(),COLUMN()))</formula>
    </cfRule>
  </conditionalFormatting>
  <conditionalFormatting sqref="C356">
    <cfRule type="cellIs" dxfId="1825" priority="3902" stopIfTrue="1" operator="notEqual">
      <formula>INDIRECT("Dummy_for_Comparison4!"&amp;ADDRESS(ROW(),COLUMN()))</formula>
    </cfRule>
  </conditionalFormatting>
  <conditionalFormatting sqref="G356">
    <cfRule type="cellIs" dxfId="1824" priority="3558" stopIfTrue="1" operator="notEqual">
      <formula>INDIRECT("Dummy_for_Comparison4!"&amp;ADDRESS(ROW(),COLUMN()))</formula>
    </cfRule>
  </conditionalFormatting>
  <conditionalFormatting sqref="M356">
    <cfRule type="cellIs" dxfId="1823" priority="3807" stopIfTrue="1" operator="notEqual">
      <formula>INDIRECT("Dummy_for_Comparison4!"&amp;ADDRESS(ROW(),COLUMN()))</formula>
    </cfRule>
  </conditionalFormatting>
  <conditionalFormatting sqref="R356">
    <cfRule type="cellIs" dxfId="1822" priority="3753" stopIfTrue="1" operator="notEqual">
      <formula>INDIRECT("Dummy_for_Comparison4!"&amp;ADDRESS(ROW(),COLUMN()))</formula>
    </cfRule>
  </conditionalFormatting>
  <conditionalFormatting sqref="G360">
    <cfRule type="cellIs" dxfId="1821" priority="3557" stopIfTrue="1" operator="notEqual">
      <formula>INDIRECT("Dummy_for_Comparison4!"&amp;ADDRESS(ROW(),COLUMN()))</formula>
    </cfRule>
  </conditionalFormatting>
  <conditionalFormatting sqref="K360">
    <cfRule type="cellIs" dxfId="1820" priority="1495" stopIfTrue="1" operator="notEqual">
      <formula>INDIRECT("Dummy_for_Comparison4!"&amp;ADDRESS(ROW(),COLUMN()))</formula>
    </cfRule>
  </conditionalFormatting>
  <conditionalFormatting sqref="Q360">
    <cfRule type="cellIs" dxfId="1819" priority="3488" stopIfTrue="1" operator="notEqual">
      <formula>INDIRECT("Dummy_for_Comparison4!"&amp;ADDRESS(ROW(),COLUMN()))</formula>
    </cfRule>
  </conditionalFormatting>
  <conditionalFormatting sqref="G361">
    <cfRule type="cellIs" dxfId="1818" priority="3580" stopIfTrue="1" operator="notEqual">
      <formula>INDIRECT("Dummy_for_Comparison4!"&amp;ADDRESS(ROW(),COLUMN()))</formula>
    </cfRule>
  </conditionalFormatting>
  <conditionalFormatting sqref="K361">
    <cfRule type="cellIs" dxfId="1817" priority="1517" stopIfTrue="1" operator="notEqual">
      <formula>INDIRECT("Dummy_for_Comparison4!"&amp;ADDRESS(ROW(),COLUMN()))</formula>
    </cfRule>
  </conditionalFormatting>
  <conditionalFormatting sqref="Q361">
    <cfRule type="cellIs" dxfId="1816" priority="3500" stopIfTrue="1" operator="notEqual">
      <formula>INDIRECT("Dummy_for_Comparison4!"&amp;ADDRESS(ROW(),COLUMN()))</formula>
    </cfRule>
  </conditionalFormatting>
  <conditionalFormatting sqref="G362">
    <cfRule type="cellIs" dxfId="1815" priority="3556" stopIfTrue="1" operator="notEqual">
      <formula>INDIRECT("Dummy_for_Comparison4!"&amp;ADDRESS(ROW(),COLUMN()))</formula>
    </cfRule>
  </conditionalFormatting>
  <conditionalFormatting sqref="K362">
    <cfRule type="cellIs" dxfId="1814" priority="1494" stopIfTrue="1" operator="notEqual">
      <formula>INDIRECT("Dummy_for_Comparison4!"&amp;ADDRESS(ROW(),COLUMN()))</formula>
    </cfRule>
  </conditionalFormatting>
  <conditionalFormatting sqref="Q362">
    <cfRule type="cellIs" dxfId="1813" priority="3487" stopIfTrue="1" operator="notEqual">
      <formula>INDIRECT("Dummy_for_Comparison4!"&amp;ADDRESS(ROW(),COLUMN()))</formula>
    </cfRule>
  </conditionalFormatting>
  <conditionalFormatting sqref="AE362">
    <cfRule type="cellIs" dxfId="1812" priority="3898" stopIfTrue="1" operator="notEqual">
      <formula>INDIRECT("Dummy_for_Comparison4!"&amp;ADDRESS(ROW(),COLUMN()))</formula>
    </cfRule>
  </conditionalFormatting>
  <conditionalFormatting sqref="G363">
    <cfRule type="cellIs" dxfId="1811" priority="3579" stopIfTrue="1" operator="notEqual">
      <formula>INDIRECT("Dummy_for_Comparison4!"&amp;ADDRESS(ROW(),COLUMN()))</formula>
    </cfRule>
  </conditionalFormatting>
  <conditionalFormatting sqref="K363">
    <cfRule type="cellIs" dxfId="1810" priority="1516" stopIfTrue="1" operator="notEqual">
      <formula>INDIRECT("Dummy_for_Comparison4!"&amp;ADDRESS(ROW(),COLUMN()))</formula>
    </cfRule>
  </conditionalFormatting>
  <conditionalFormatting sqref="Q363">
    <cfRule type="cellIs" dxfId="1809" priority="3499" stopIfTrue="1" operator="notEqual">
      <formula>INDIRECT("Dummy_for_Comparison4!"&amp;ADDRESS(ROW(),COLUMN()))</formula>
    </cfRule>
  </conditionalFormatting>
  <conditionalFormatting sqref="S363">
    <cfRule type="cellIs" dxfId="1808" priority="3749" stopIfTrue="1" operator="notEqual">
      <formula>INDIRECT("Dummy_for_Comparison4!"&amp;ADDRESS(ROW(),COLUMN()))</formula>
    </cfRule>
  </conditionalFormatting>
  <conditionalFormatting sqref="G364">
    <cfRule type="cellIs" dxfId="1807" priority="3555" stopIfTrue="1" operator="notEqual">
      <formula>INDIRECT("Dummy_for_Comparison4!"&amp;ADDRESS(ROW(),COLUMN()))</formula>
    </cfRule>
  </conditionalFormatting>
  <conditionalFormatting sqref="K364">
    <cfRule type="cellIs" dxfId="1806" priority="1493" stopIfTrue="1" operator="notEqual">
      <formula>INDIRECT("Dummy_for_Comparison4!"&amp;ADDRESS(ROW(),COLUMN()))</formula>
    </cfRule>
  </conditionalFormatting>
  <conditionalFormatting sqref="Q364">
    <cfRule type="cellIs" dxfId="1805" priority="3486" stopIfTrue="1" operator="notEqual">
      <formula>INDIRECT("Dummy_for_Comparison4!"&amp;ADDRESS(ROW(),COLUMN()))</formula>
    </cfRule>
  </conditionalFormatting>
  <conditionalFormatting sqref="R364">
    <cfRule type="cellIs" dxfId="1804" priority="3750" stopIfTrue="1" operator="notEqual">
      <formula>INDIRECT("Dummy_for_Comparison4!"&amp;ADDRESS(ROW(),COLUMN()))</formula>
    </cfRule>
  </conditionalFormatting>
  <conditionalFormatting sqref="S364">
    <cfRule type="cellIs" dxfId="1803" priority="3406" stopIfTrue="1" operator="notEqual">
      <formula>INDIRECT("Dummy_for_Comparison4!"&amp;ADDRESS(ROW(),COLUMN()))</formula>
    </cfRule>
  </conditionalFormatting>
  <conditionalFormatting sqref="M366:N366">
    <cfRule type="cellIs" dxfId="1802" priority="3805" stopIfTrue="1" operator="notEqual">
      <formula>INDIRECT("Dummy_for_Comparison4!"&amp;ADDRESS(ROW(),COLUMN()))</formula>
    </cfRule>
  </conditionalFormatting>
  <conditionalFormatting sqref="G368">
    <cfRule type="cellIs" dxfId="1801" priority="3578" stopIfTrue="1" operator="notEqual">
      <formula>INDIRECT("Dummy_for_Comparison4!"&amp;ADDRESS(ROW(),COLUMN()))</formula>
    </cfRule>
  </conditionalFormatting>
  <conditionalFormatting sqref="K368">
    <cfRule type="cellIs" dxfId="1800" priority="1515" stopIfTrue="1" operator="notEqual">
      <formula>INDIRECT("Dummy_for_Comparison4!"&amp;ADDRESS(ROW(),COLUMN()))</formula>
    </cfRule>
  </conditionalFormatting>
  <conditionalFormatting sqref="Q368">
    <cfRule type="cellIs" dxfId="1799" priority="3498" stopIfTrue="1" operator="notEqual">
      <formula>INDIRECT("Dummy_for_Comparison4!"&amp;ADDRESS(ROW(),COLUMN()))</formula>
    </cfRule>
  </conditionalFormatting>
  <conditionalFormatting sqref="C369">
    <cfRule type="cellIs" dxfId="1798" priority="3947" stopIfTrue="1" operator="notEqual">
      <formula>INDIRECT("Dummy_for_Comparison4!"&amp;ADDRESS(ROW(),COLUMN()))</formula>
    </cfRule>
  </conditionalFormatting>
  <conditionalFormatting sqref="E369">
    <cfRule type="cellIs" dxfId="1797" priority="3945" stopIfTrue="1" operator="notEqual">
      <formula>INDIRECT("Dummy_for_Comparison4!"&amp;ADDRESS(ROW(),COLUMN()))</formula>
    </cfRule>
  </conditionalFormatting>
  <conditionalFormatting sqref="O369:P369">
    <cfRule type="cellIs" dxfId="1796" priority="3946" stopIfTrue="1" operator="notEqual">
      <formula>INDIRECT("Dummy_for_Comparison4!"&amp;ADDRESS(ROW(),COLUMN()))</formula>
    </cfRule>
  </conditionalFormatting>
  <conditionalFormatting sqref="C370">
    <cfRule type="cellIs" dxfId="1795" priority="3943" stopIfTrue="1" operator="notEqual">
      <formula>INDIRECT("Dummy_for_Comparison4!"&amp;ADDRESS(ROW(),COLUMN()))</formula>
    </cfRule>
  </conditionalFormatting>
  <conditionalFormatting sqref="E370">
    <cfRule type="cellIs" dxfId="1794" priority="3941" stopIfTrue="1" operator="notEqual">
      <formula>INDIRECT("Dummy_for_Comparison4!"&amp;ADDRESS(ROW(),COLUMN()))</formula>
    </cfRule>
  </conditionalFormatting>
  <conditionalFormatting sqref="O370:P370">
    <cfRule type="cellIs" dxfId="1793" priority="3942" stopIfTrue="1" operator="notEqual">
      <formula>INDIRECT("Dummy_for_Comparison4!"&amp;ADDRESS(ROW(),COLUMN()))</formula>
    </cfRule>
  </conditionalFormatting>
  <conditionalFormatting sqref="Q370">
    <cfRule type="cellIs" dxfId="1792" priority="3494" stopIfTrue="1" operator="notEqual">
      <formula>INDIRECT("Dummy_for_Comparison4!"&amp;ADDRESS(ROW(),COLUMN()))</formula>
    </cfRule>
  </conditionalFormatting>
  <conditionalFormatting sqref="C371">
    <cfRule type="cellIs" dxfId="1791" priority="3940" stopIfTrue="1" operator="notEqual">
      <formula>INDIRECT("Dummy_for_Comparison4!"&amp;ADDRESS(ROW(),COLUMN()))</formula>
    </cfRule>
  </conditionalFormatting>
  <conditionalFormatting sqref="E371">
    <cfRule type="cellIs" dxfId="1790" priority="3938" stopIfTrue="1" operator="notEqual">
      <formula>INDIRECT("Dummy_for_Comparison4!"&amp;ADDRESS(ROW(),COLUMN()))</formula>
    </cfRule>
  </conditionalFormatting>
  <conditionalFormatting sqref="O371:P371">
    <cfRule type="cellIs" dxfId="1789" priority="3939" stopIfTrue="1" operator="notEqual">
      <formula>INDIRECT("Dummy_for_Comparison4!"&amp;ADDRESS(ROW(),COLUMN()))</formula>
    </cfRule>
  </conditionalFormatting>
  <conditionalFormatting sqref="C372">
    <cfRule type="cellIs" dxfId="1788" priority="3897" stopIfTrue="1" operator="notEqual">
      <formula>INDIRECT("Dummy_for_Comparison4!"&amp;ADDRESS(ROW(),COLUMN()))</formula>
    </cfRule>
  </conditionalFormatting>
  <conditionalFormatting sqref="E372">
    <cfRule type="cellIs" dxfId="1787" priority="3895" stopIfTrue="1" operator="notEqual">
      <formula>INDIRECT("Dummy_for_Comparison4!"&amp;ADDRESS(ROW(),COLUMN()))</formula>
    </cfRule>
  </conditionalFormatting>
  <conditionalFormatting sqref="O372:P372">
    <cfRule type="cellIs" dxfId="1786" priority="3896" stopIfTrue="1" operator="notEqual">
      <formula>INDIRECT("Dummy_for_Comparison4!"&amp;ADDRESS(ROW(),COLUMN()))</formula>
    </cfRule>
  </conditionalFormatting>
  <conditionalFormatting sqref="C373">
    <cfRule type="cellIs" dxfId="1785" priority="3925" stopIfTrue="1" operator="notEqual">
      <formula>INDIRECT("Dummy_for_Comparison4!"&amp;ADDRESS(ROW(),COLUMN()))</formula>
    </cfRule>
  </conditionalFormatting>
  <conditionalFormatting sqref="E373:F373">
    <cfRule type="cellIs" dxfId="1784" priority="3949" stopIfTrue="1" operator="notEqual">
      <formula>INDIRECT("Dummy_for_Comparison4!"&amp;ADDRESS(ROW(),COLUMN()))</formula>
    </cfRule>
  </conditionalFormatting>
  <conditionalFormatting sqref="G373">
    <cfRule type="cellIs" dxfId="1783" priority="3573" stopIfTrue="1" operator="notEqual">
      <formula>INDIRECT("Dummy_for_Comparison4!"&amp;ADDRESS(ROW(),COLUMN()))</formula>
    </cfRule>
  </conditionalFormatting>
  <conditionalFormatting sqref="O373">
    <cfRule type="cellIs" dxfId="1782" priority="3948" stopIfTrue="1" operator="notEqual">
      <formula>INDIRECT("Dummy_for_Comparison4!"&amp;ADDRESS(ROW(),COLUMN()))</formula>
    </cfRule>
  </conditionalFormatting>
  <conditionalFormatting sqref="G377">
    <cfRule type="cellIs" dxfId="1781" priority="3553" stopIfTrue="1" operator="notEqual">
      <formula>INDIRECT("Dummy_for_Comparison4!"&amp;ADDRESS(ROW(),COLUMN()))</formula>
    </cfRule>
  </conditionalFormatting>
  <conditionalFormatting sqref="K377">
    <cfRule type="cellIs" dxfId="1780" priority="1491" stopIfTrue="1" operator="notEqual">
      <formula>INDIRECT("Dummy_for_Comparison4!"&amp;ADDRESS(ROW(),COLUMN()))</formula>
    </cfRule>
  </conditionalFormatting>
  <conditionalFormatting sqref="Q377">
    <cfRule type="cellIs" dxfId="1779" priority="3485" stopIfTrue="1" operator="notEqual">
      <formula>INDIRECT("Dummy_for_Comparison4!"&amp;ADDRESS(ROW(),COLUMN()))</formula>
    </cfRule>
  </conditionalFormatting>
  <conditionalFormatting sqref="G378">
    <cfRule type="cellIs" dxfId="1778" priority="3563" stopIfTrue="1" operator="notEqual">
      <formula>INDIRECT("Dummy_for_Comparison4!"&amp;ADDRESS(ROW(),COLUMN()))</formula>
    </cfRule>
  </conditionalFormatting>
  <conditionalFormatting sqref="K378">
    <cfRule type="cellIs" dxfId="1777" priority="1501" stopIfTrue="1" operator="notEqual">
      <formula>INDIRECT("Dummy_for_Comparison4!"&amp;ADDRESS(ROW(),COLUMN()))</formula>
    </cfRule>
  </conditionalFormatting>
  <conditionalFormatting sqref="G379">
    <cfRule type="cellIs" dxfId="1776" priority="3554" stopIfTrue="1" operator="notEqual">
      <formula>INDIRECT("Dummy_for_Comparison4!"&amp;ADDRESS(ROW(),COLUMN()))</formula>
    </cfRule>
  </conditionalFormatting>
  <conditionalFormatting sqref="K379">
    <cfRule type="cellIs" dxfId="1775" priority="1492" stopIfTrue="1" operator="notEqual">
      <formula>INDIRECT("Dummy_for_Comparison4!"&amp;ADDRESS(ROW(),COLUMN()))</formula>
    </cfRule>
  </conditionalFormatting>
  <conditionalFormatting sqref="G381">
    <cfRule type="cellIs" dxfId="1774" priority="3572" stopIfTrue="1" operator="notEqual">
      <formula>INDIRECT("Dummy_for_Comparison4!"&amp;ADDRESS(ROW(),COLUMN()))</formula>
    </cfRule>
  </conditionalFormatting>
  <conditionalFormatting sqref="K381">
    <cfRule type="cellIs" dxfId="1773" priority="1510" stopIfTrue="1" operator="notEqual">
      <formula>INDIRECT("Dummy_for_Comparison4!"&amp;ADDRESS(ROW(),COLUMN()))</formula>
    </cfRule>
  </conditionalFormatting>
  <conditionalFormatting sqref="G382">
    <cfRule type="cellIs" dxfId="1772" priority="3564" stopIfTrue="1" operator="notEqual">
      <formula>INDIRECT("Dummy_for_Comparison4!"&amp;ADDRESS(ROW(),COLUMN()))</formula>
    </cfRule>
  </conditionalFormatting>
  <conditionalFormatting sqref="K382">
    <cfRule type="cellIs" dxfId="1771" priority="1502" stopIfTrue="1" operator="notEqual">
      <formula>INDIRECT("Dummy_for_Comparison4!"&amp;ADDRESS(ROW(),COLUMN()))</formula>
    </cfRule>
  </conditionalFormatting>
  <conditionalFormatting sqref="H383:J383">
    <cfRule type="cellIs" dxfId="1770" priority="3912" stopIfTrue="1" operator="notEqual">
      <formula>INDIRECT("Dummy_for_Comparison4!"&amp;ADDRESS(ROW(),COLUMN()))</formula>
    </cfRule>
  </conditionalFormatting>
  <conditionalFormatting sqref="O383">
    <cfRule type="cellIs" dxfId="1769" priority="3951" stopIfTrue="1" operator="notEqual">
      <formula>INDIRECT("Dummy_for_Comparison4!"&amp;ADDRESS(ROW(),COLUMN()))</formula>
    </cfRule>
  </conditionalFormatting>
  <conditionalFormatting sqref="H384:J384">
    <cfRule type="cellIs" dxfId="1768" priority="3913" stopIfTrue="1" operator="notEqual">
      <formula>INDIRECT("Dummy_for_Comparison4!"&amp;ADDRESS(ROW(),COLUMN()))</formula>
    </cfRule>
  </conditionalFormatting>
  <conditionalFormatting sqref="K384">
    <cfRule type="cellIs" dxfId="1767" priority="1507" stopIfTrue="1" operator="notEqual">
      <formula>INDIRECT("Dummy_for_Comparison4!"&amp;ADDRESS(ROW(),COLUMN()))</formula>
    </cfRule>
  </conditionalFormatting>
  <conditionalFormatting sqref="M384">
    <cfRule type="cellIs" dxfId="1766" priority="3804" stopIfTrue="1" operator="notEqual">
      <formula>INDIRECT("Dummy_for_Comparison4!"&amp;ADDRESS(ROW(),COLUMN()))</formula>
    </cfRule>
  </conditionalFormatting>
  <conditionalFormatting sqref="O384">
    <cfRule type="cellIs" dxfId="1765" priority="3934" stopIfTrue="1" operator="notEqual">
      <formula>INDIRECT("Dummy_for_Comparison4!"&amp;ADDRESS(ROW(),COLUMN()))</formula>
    </cfRule>
  </conditionalFormatting>
  <conditionalFormatting sqref="V384">
    <cfRule type="cellIs" dxfId="1764" priority="3933" stopIfTrue="1" operator="notEqual">
      <formula>INDIRECT("Dummy_for_Comparison4!"&amp;ADDRESS(ROW(),COLUMN()))</formula>
    </cfRule>
  </conditionalFormatting>
  <conditionalFormatting sqref="K385">
    <cfRule type="cellIs" dxfId="1763" priority="1506" stopIfTrue="1" operator="notEqual">
      <formula>INDIRECT("Dummy_for_Comparison4!"&amp;ADDRESS(ROW(),COLUMN()))</formula>
    </cfRule>
  </conditionalFormatting>
  <conditionalFormatting sqref="M385">
    <cfRule type="cellIs" dxfId="1762" priority="3803" stopIfTrue="1" operator="notEqual">
      <formula>INDIRECT("Dummy_for_Comparison4!"&amp;ADDRESS(ROW(),COLUMN()))</formula>
    </cfRule>
  </conditionalFormatting>
  <conditionalFormatting sqref="O385">
    <cfRule type="cellIs" dxfId="1761" priority="3931" stopIfTrue="1" operator="notEqual">
      <formula>INDIRECT("Dummy_for_Comparison4!"&amp;ADDRESS(ROW(),COLUMN()))</formula>
    </cfRule>
  </conditionalFormatting>
  <conditionalFormatting sqref="V385">
    <cfRule type="cellIs" dxfId="1760" priority="3930" stopIfTrue="1" operator="notEqual">
      <formula>INDIRECT("Dummy_for_Comparison4!"&amp;ADDRESS(ROW(),COLUMN()))</formula>
    </cfRule>
  </conditionalFormatting>
  <conditionalFormatting sqref="C386">
    <cfRule type="cellIs" dxfId="1759" priority="3889" stopIfTrue="1" operator="notEqual">
      <formula>INDIRECT("Dummy_for_Comparison4!"&amp;ADDRESS(ROW(),COLUMN()))</formula>
    </cfRule>
  </conditionalFormatting>
  <conditionalFormatting sqref="K386">
    <cfRule type="cellIs" dxfId="1758" priority="1490" stopIfTrue="1" operator="notEqual">
      <formula>INDIRECT("Dummy_for_Comparison4!"&amp;ADDRESS(ROW(),COLUMN()))</formula>
    </cfRule>
  </conditionalFormatting>
  <conditionalFormatting sqref="M386">
    <cfRule type="cellIs" dxfId="1757" priority="3802" stopIfTrue="1" operator="notEqual">
      <formula>INDIRECT("Dummy_for_Comparison4!"&amp;ADDRESS(ROW(),COLUMN()))</formula>
    </cfRule>
  </conditionalFormatting>
  <conditionalFormatting sqref="O386">
    <cfRule type="cellIs" dxfId="1756" priority="3891" stopIfTrue="1" operator="notEqual">
      <formula>INDIRECT("Dummy_for_Comparison4!"&amp;ADDRESS(ROW(),COLUMN()))</formula>
    </cfRule>
  </conditionalFormatting>
  <conditionalFormatting sqref="V386">
    <cfRule type="cellIs" dxfId="1755" priority="3890" stopIfTrue="1" operator="notEqual">
      <formula>INDIRECT("Dummy_for_Comparison4!"&amp;ADDRESS(ROW(),COLUMN()))</formula>
    </cfRule>
  </conditionalFormatting>
  <conditionalFormatting sqref="G387">
    <cfRule type="cellIs" dxfId="1754" priority="3575" stopIfTrue="1" operator="notEqual">
      <formula>INDIRECT("Dummy_for_Comparison4!"&amp;ADDRESS(ROW(),COLUMN()))</formula>
    </cfRule>
  </conditionalFormatting>
  <conditionalFormatting sqref="K387">
    <cfRule type="cellIs" dxfId="1753" priority="1512" stopIfTrue="1" operator="notEqual">
      <formula>INDIRECT("Dummy_for_Comparison4!"&amp;ADDRESS(ROW(),COLUMN()))</formula>
    </cfRule>
  </conditionalFormatting>
  <conditionalFormatting sqref="M387">
    <cfRule type="cellIs" dxfId="1752" priority="3801" stopIfTrue="1" operator="notEqual">
      <formula>INDIRECT("Dummy_for_Comparison4!"&amp;ADDRESS(ROW(),COLUMN()))</formula>
    </cfRule>
  </conditionalFormatting>
  <conditionalFormatting sqref="G388">
    <cfRule type="cellIs" dxfId="1751" priority="3569" stopIfTrue="1" operator="notEqual">
      <formula>INDIRECT("Dummy_for_Comparison4!"&amp;ADDRESS(ROW(),COLUMN()))</formula>
    </cfRule>
  </conditionalFormatting>
  <conditionalFormatting sqref="K388">
    <cfRule type="cellIs" dxfId="1750" priority="1505" stopIfTrue="1" operator="notEqual">
      <formula>INDIRECT("Dummy_for_Comparison4!"&amp;ADDRESS(ROW(),COLUMN()))</formula>
    </cfRule>
  </conditionalFormatting>
  <conditionalFormatting sqref="M388">
    <cfRule type="cellIs" dxfId="1749" priority="3800" stopIfTrue="1" operator="notEqual">
      <formula>INDIRECT("Dummy_for_Comparison4!"&amp;ADDRESS(ROW(),COLUMN()))</formula>
    </cfRule>
  </conditionalFormatting>
  <conditionalFormatting sqref="V388">
    <cfRule type="cellIs" dxfId="1748" priority="3928" stopIfTrue="1" operator="notEqual">
      <formula>INDIRECT("Dummy_for_Comparison4!"&amp;ADDRESS(ROW(),COLUMN()))</formula>
    </cfRule>
  </conditionalFormatting>
  <conditionalFormatting sqref="G389">
    <cfRule type="cellIs" dxfId="1747" priority="3568" stopIfTrue="1" operator="notEqual">
      <formula>INDIRECT("Dummy_for_Comparison4!"&amp;ADDRESS(ROW(),COLUMN()))</formula>
    </cfRule>
  </conditionalFormatting>
  <conditionalFormatting sqref="K389">
    <cfRule type="cellIs" dxfId="1746" priority="1504" stopIfTrue="1" operator="notEqual">
      <formula>INDIRECT("Dummy_for_Comparison4!"&amp;ADDRESS(ROW(),COLUMN()))</formula>
    </cfRule>
  </conditionalFormatting>
  <conditionalFormatting sqref="M389">
    <cfRule type="cellIs" dxfId="1745" priority="3799" stopIfTrue="1" operator="notEqual">
      <formula>INDIRECT("Dummy_for_Comparison4!"&amp;ADDRESS(ROW(),COLUMN()))</formula>
    </cfRule>
  </conditionalFormatting>
  <conditionalFormatting sqref="V389">
    <cfRule type="cellIs" dxfId="1744" priority="3926" stopIfTrue="1" operator="notEqual">
      <formula>INDIRECT("Dummy_for_Comparison4!"&amp;ADDRESS(ROW(),COLUMN()))</formula>
    </cfRule>
  </conditionalFormatting>
  <conditionalFormatting sqref="G390">
    <cfRule type="cellIs" dxfId="1743" priority="3552" stopIfTrue="1" operator="notEqual">
      <formula>INDIRECT("Dummy_for_Comparison4!"&amp;ADDRESS(ROW(),COLUMN()))</formula>
    </cfRule>
  </conditionalFormatting>
  <conditionalFormatting sqref="K390">
    <cfRule type="cellIs" dxfId="1742" priority="1489" stopIfTrue="1" operator="notEqual">
      <formula>INDIRECT("Dummy_for_Comparison4!"&amp;ADDRESS(ROW(),COLUMN()))</formula>
    </cfRule>
  </conditionalFormatting>
  <conditionalFormatting sqref="M390">
    <cfRule type="cellIs" dxfId="1741" priority="3798" stopIfTrue="1" operator="notEqual">
      <formula>INDIRECT("Dummy_for_Comparison4!"&amp;ADDRESS(ROW(),COLUMN()))</formula>
    </cfRule>
  </conditionalFormatting>
  <conditionalFormatting sqref="V390">
    <cfRule type="cellIs" dxfId="1740" priority="3887" stopIfTrue="1" operator="notEqual">
      <formula>INDIRECT("Dummy_for_Comparison4!"&amp;ADDRESS(ROW(),COLUMN()))</formula>
    </cfRule>
  </conditionalFormatting>
  <conditionalFormatting sqref="G391">
    <cfRule type="cellIs" dxfId="1739" priority="3574" stopIfTrue="1" operator="notEqual">
      <formula>INDIRECT("Dummy_for_Comparison4!"&amp;ADDRESS(ROW(),COLUMN()))</formula>
    </cfRule>
  </conditionalFormatting>
  <conditionalFormatting sqref="K391">
    <cfRule type="cellIs" dxfId="1738" priority="1511" stopIfTrue="1" operator="notEqual">
      <formula>INDIRECT("Dummy_for_Comparison4!"&amp;ADDRESS(ROW(),COLUMN()))</formula>
    </cfRule>
  </conditionalFormatting>
  <conditionalFormatting sqref="Q391">
    <cfRule type="cellIs" dxfId="1737" priority="3496" stopIfTrue="1" operator="notEqual">
      <formula>INDIRECT("Dummy_for_Comparison4!"&amp;ADDRESS(ROW(),COLUMN()))</formula>
    </cfRule>
  </conditionalFormatting>
  <conditionalFormatting sqref="G392">
    <cfRule type="cellIs" dxfId="1736" priority="3571" stopIfTrue="1" operator="notEqual">
      <formula>INDIRECT("Dummy_for_Comparison4!"&amp;ADDRESS(ROW(),COLUMN()))</formula>
    </cfRule>
  </conditionalFormatting>
  <conditionalFormatting sqref="K392">
    <cfRule type="cellIs" dxfId="1735" priority="1509" stopIfTrue="1" operator="notEqual">
      <formula>INDIRECT("Dummy_for_Comparison4!"&amp;ADDRESS(ROW(),COLUMN()))</formula>
    </cfRule>
  </conditionalFormatting>
  <conditionalFormatting sqref="Q392">
    <cfRule type="cellIs" dxfId="1734" priority="3493" stopIfTrue="1" operator="notEqual">
      <formula>INDIRECT("Dummy_for_Comparison4!"&amp;ADDRESS(ROW(),COLUMN()))</formula>
    </cfRule>
  </conditionalFormatting>
  <conditionalFormatting sqref="G393">
    <cfRule type="cellIs" dxfId="1733" priority="3570" stopIfTrue="1" operator="notEqual">
      <formula>INDIRECT("Dummy_for_Comparison4!"&amp;ADDRESS(ROW(),COLUMN()))</formula>
    </cfRule>
  </conditionalFormatting>
  <conditionalFormatting sqref="K393">
    <cfRule type="cellIs" dxfId="1732" priority="1508" stopIfTrue="1" operator="notEqual">
      <formula>INDIRECT("Dummy_for_Comparison4!"&amp;ADDRESS(ROW(),COLUMN()))</formula>
    </cfRule>
  </conditionalFormatting>
  <conditionalFormatting sqref="Q393">
    <cfRule type="cellIs" dxfId="1731" priority="3492" stopIfTrue="1" operator="notEqual">
      <formula>INDIRECT("Dummy_for_Comparison4!"&amp;ADDRESS(ROW(),COLUMN()))</formula>
    </cfRule>
  </conditionalFormatting>
  <conditionalFormatting sqref="C394">
    <cfRule type="cellIs" dxfId="1730" priority="2046" stopIfTrue="1" operator="notEqual">
      <formula>INDIRECT("Dummy_for_Comparison4!"&amp;ADDRESS(ROW(),COLUMN()))</formula>
    </cfRule>
  </conditionalFormatting>
  <conditionalFormatting sqref="G394">
    <cfRule type="cellIs" dxfId="1729" priority="2033" stopIfTrue="1" operator="notEqual">
      <formula>INDIRECT("Dummy_for_Comparison4!"&amp;ADDRESS(ROW(),COLUMN()))</formula>
    </cfRule>
  </conditionalFormatting>
  <conditionalFormatting sqref="K394">
    <cfRule type="cellIs" dxfId="1728" priority="1355" stopIfTrue="1" operator="notEqual">
      <formula>INDIRECT("Dummy_for_Comparison4!"&amp;ADDRESS(ROW(),COLUMN()))</formula>
    </cfRule>
  </conditionalFormatting>
  <conditionalFormatting sqref="O396">
    <cfRule type="cellIs" dxfId="1727" priority="1770" stopIfTrue="1" operator="notEqual">
      <formula>INDIRECT("Dummy_for_Comparison4!"&amp;ADDRESS(ROW(),COLUMN()))</formula>
    </cfRule>
  </conditionalFormatting>
  <conditionalFormatting sqref="AC396:AD396">
    <cfRule type="cellIs" dxfId="1726" priority="1766" stopIfTrue="1" operator="notEqual">
      <formula>INDIRECT("Dummy_for_Comparison4!"&amp;ADDRESS(ROW(),COLUMN()))</formula>
    </cfRule>
    <cfRule type="cellIs" dxfId="1725" priority="1767" stopIfTrue="1" operator="notEqual">
      <formula>INDIRECT("Dummy_for_Comparison4!"&amp;ADDRESS(ROW(),COLUMN()))</formula>
    </cfRule>
  </conditionalFormatting>
  <conditionalFormatting sqref="C397">
    <cfRule type="cellIs" dxfId="1724" priority="2041" stopIfTrue="1" operator="notEqual">
      <formula>INDIRECT("Dummy_for_Comparison4!"&amp;ADDRESS(ROW(),COLUMN()))</formula>
    </cfRule>
  </conditionalFormatting>
  <conditionalFormatting sqref="G397">
    <cfRule type="cellIs" dxfId="1723" priority="2031" stopIfTrue="1" operator="notEqual">
      <formula>INDIRECT("Dummy_for_Comparison4!"&amp;ADDRESS(ROW(),COLUMN()))</formula>
    </cfRule>
  </conditionalFormatting>
  <conditionalFormatting sqref="K397">
    <cfRule type="cellIs" dxfId="1722" priority="1353" stopIfTrue="1" operator="notEqual">
      <formula>INDIRECT("Dummy_for_Comparison4!"&amp;ADDRESS(ROW(),COLUMN()))</formula>
    </cfRule>
  </conditionalFormatting>
  <conditionalFormatting sqref="Q397:R397">
    <cfRule type="cellIs" dxfId="1721" priority="2027" stopIfTrue="1" operator="notEqual">
      <formula>INDIRECT("Dummy_for_Comparison4!"&amp;ADDRESS(ROW(),COLUMN()))</formula>
    </cfRule>
  </conditionalFormatting>
  <conditionalFormatting sqref="AC397:AD397">
    <cfRule type="cellIs" dxfId="1720" priority="2024" stopIfTrue="1" operator="notEqual">
      <formula>INDIRECT("Dummy_for_Comparison4!"&amp;ADDRESS(ROW(),COLUMN()))</formula>
    </cfRule>
  </conditionalFormatting>
  <conditionalFormatting sqref="AX397:AY397">
    <cfRule type="cellIs" dxfId="1719" priority="2038" stopIfTrue="1" operator="notEqual">
      <formula>INDIRECT("Dummy_for_Comparison4!"&amp;ADDRESS(ROW(),COLUMN()))</formula>
    </cfRule>
  </conditionalFormatting>
  <conditionalFormatting sqref="C398">
    <cfRule type="cellIs" dxfId="1718" priority="2039" stopIfTrue="1" operator="notEqual">
      <formula>INDIRECT("Dummy_for_Comparison4!"&amp;ADDRESS(ROW(),COLUMN()))</formula>
    </cfRule>
  </conditionalFormatting>
  <conditionalFormatting sqref="E398">
    <cfRule type="cellIs" dxfId="1717" priority="2022" stopIfTrue="1" operator="notEqual">
      <formula>INDIRECT("Dummy_for_Comparison4!"&amp;ADDRESS(ROW(),COLUMN()))</formula>
    </cfRule>
  </conditionalFormatting>
  <conditionalFormatting sqref="F398">
    <cfRule type="cellIs" dxfId="1716" priority="2021" stopIfTrue="1" operator="notEqual">
      <formula>INDIRECT("Dummy_for_Comparison4!"&amp;ADDRESS(ROW(),COLUMN()))</formula>
    </cfRule>
  </conditionalFormatting>
  <conditionalFormatting sqref="G398">
    <cfRule type="cellIs" dxfId="1715" priority="2030" stopIfTrue="1" operator="notEqual">
      <formula>INDIRECT("Dummy_for_Comparison4!"&amp;ADDRESS(ROW(),COLUMN()))</formula>
    </cfRule>
  </conditionalFormatting>
  <conditionalFormatting sqref="K398">
    <cfRule type="cellIs" dxfId="1714" priority="1352" stopIfTrue="1" operator="notEqual">
      <formula>INDIRECT("Dummy_for_Comparison4!"&amp;ADDRESS(ROW(),COLUMN()))</formula>
    </cfRule>
  </conditionalFormatting>
  <conditionalFormatting sqref="M398">
    <cfRule type="cellIs" dxfId="1713" priority="2034" stopIfTrue="1" operator="notEqual">
      <formula>INDIRECT("Dummy_for_Comparison4!"&amp;ADDRESS(ROW(),COLUMN()))</formula>
    </cfRule>
  </conditionalFormatting>
  <conditionalFormatting sqref="Q398">
    <cfRule type="cellIs" dxfId="1712" priority="2026" stopIfTrue="1" operator="notEqual">
      <formula>INDIRECT("Dummy_for_Comparison4!"&amp;ADDRESS(ROW(),COLUMN()))</formula>
    </cfRule>
  </conditionalFormatting>
  <conditionalFormatting sqref="AX398:AY398">
    <cfRule type="cellIs" dxfId="1711" priority="2037" stopIfTrue="1" operator="notEqual">
      <formula>INDIRECT("Dummy_for_Comparison4!"&amp;ADDRESS(ROW(),COLUMN()))</formula>
    </cfRule>
  </conditionalFormatting>
  <conditionalFormatting sqref="BE398">
    <cfRule type="cellIs" dxfId="1710" priority="2036" stopIfTrue="1" operator="notEqual">
      <formula>INDIRECT("Dummy_for_Comparison4!"&amp;ADDRESS(ROW(),COLUMN()))</formula>
    </cfRule>
  </conditionalFormatting>
  <conditionalFormatting sqref="G399">
    <cfRule type="cellIs" dxfId="1709" priority="3543" stopIfTrue="1" operator="notEqual">
      <formula>INDIRECT("Dummy_for_Comparison4!"&amp;ADDRESS(ROW(),COLUMN()))</formula>
    </cfRule>
  </conditionalFormatting>
  <conditionalFormatting sqref="K399">
    <cfRule type="cellIs" dxfId="1708" priority="1482" stopIfTrue="1" operator="notEqual">
      <formula>INDIRECT("Dummy_for_Comparison4!"&amp;ADDRESS(ROW(),COLUMN()))</formula>
    </cfRule>
  </conditionalFormatting>
  <conditionalFormatting sqref="G400">
    <cfRule type="cellIs" dxfId="1707" priority="3542" stopIfTrue="1" operator="notEqual">
      <formula>INDIRECT("Dummy_for_Comparison4!"&amp;ADDRESS(ROW(),COLUMN()))</formula>
    </cfRule>
  </conditionalFormatting>
  <conditionalFormatting sqref="K400">
    <cfRule type="cellIs" dxfId="1706" priority="1481" stopIfTrue="1" operator="notEqual">
      <formula>INDIRECT("Dummy_for_Comparison4!"&amp;ADDRESS(ROW(),COLUMN()))</formula>
    </cfRule>
  </conditionalFormatting>
  <conditionalFormatting sqref="G401">
    <cfRule type="cellIs" dxfId="1705" priority="3541" stopIfTrue="1" operator="notEqual">
      <formula>INDIRECT("Dummy_for_Comparison4!"&amp;ADDRESS(ROW(),COLUMN()))</formula>
    </cfRule>
  </conditionalFormatting>
  <conditionalFormatting sqref="K401">
    <cfRule type="cellIs" dxfId="1704" priority="1480" stopIfTrue="1" operator="notEqual">
      <formula>INDIRECT("Dummy_for_Comparison4!"&amp;ADDRESS(ROW(),COLUMN()))</formula>
    </cfRule>
  </conditionalFormatting>
  <conditionalFormatting sqref="G402">
    <cfRule type="cellIs" dxfId="1703" priority="3540" stopIfTrue="1" operator="notEqual">
      <formula>INDIRECT("Dummy_for_Comparison4!"&amp;ADDRESS(ROW(),COLUMN()))</formula>
    </cfRule>
  </conditionalFormatting>
  <conditionalFormatting sqref="K402">
    <cfRule type="cellIs" dxfId="1702" priority="1479" stopIfTrue="1" operator="notEqual">
      <formula>INDIRECT("Dummy_for_Comparison4!"&amp;ADDRESS(ROW(),COLUMN()))</formula>
    </cfRule>
  </conditionalFormatting>
  <conditionalFormatting sqref="Q402">
    <cfRule type="cellIs" dxfId="1701" priority="3482" stopIfTrue="1" operator="notEqual">
      <formula>INDIRECT("Dummy_for_Comparison4!"&amp;ADDRESS(ROW(),COLUMN()))</formula>
    </cfRule>
  </conditionalFormatting>
  <conditionalFormatting sqref="G403">
    <cfRule type="cellIs" dxfId="1700" priority="3539" stopIfTrue="1" operator="notEqual">
      <formula>INDIRECT("Dummy_for_Comparison4!"&amp;ADDRESS(ROW(),COLUMN()))</formula>
    </cfRule>
  </conditionalFormatting>
  <conditionalFormatting sqref="K403">
    <cfRule type="cellIs" dxfId="1699" priority="1478" stopIfTrue="1" operator="notEqual">
      <formula>INDIRECT("Dummy_for_Comparison4!"&amp;ADDRESS(ROW(),COLUMN()))</formula>
    </cfRule>
  </conditionalFormatting>
  <conditionalFormatting sqref="Q403">
    <cfRule type="cellIs" dxfId="1698" priority="3481" stopIfTrue="1" operator="notEqual">
      <formula>INDIRECT("Dummy_for_Comparison4!"&amp;ADDRESS(ROW(),COLUMN()))</formula>
    </cfRule>
  </conditionalFormatting>
  <conditionalFormatting sqref="G404">
    <cfRule type="cellIs" dxfId="1697" priority="3538" stopIfTrue="1" operator="notEqual">
      <formula>INDIRECT("Dummy_for_Comparison4!"&amp;ADDRESS(ROW(),COLUMN()))</formula>
    </cfRule>
  </conditionalFormatting>
  <conditionalFormatting sqref="K404">
    <cfRule type="cellIs" dxfId="1696" priority="1477" stopIfTrue="1" operator="notEqual">
      <formula>INDIRECT("Dummy_for_Comparison4!"&amp;ADDRESS(ROW(),COLUMN()))</formula>
    </cfRule>
  </conditionalFormatting>
  <conditionalFormatting sqref="Q404">
    <cfRule type="cellIs" dxfId="1695" priority="3480" stopIfTrue="1" operator="notEqual">
      <formula>INDIRECT("Dummy_for_Comparison4!"&amp;ADDRESS(ROW(),COLUMN()))</formula>
    </cfRule>
  </conditionalFormatting>
  <conditionalFormatting sqref="G406">
    <cfRule type="cellIs" dxfId="1694" priority="3536" stopIfTrue="1" operator="notEqual">
      <formula>INDIRECT("Dummy_for_Comparison4!"&amp;ADDRESS(ROW(),COLUMN()))</formula>
    </cfRule>
  </conditionalFormatting>
  <conditionalFormatting sqref="K406">
    <cfRule type="cellIs" dxfId="1693" priority="1475" stopIfTrue="1" operator="notEqual">
      <formula>INDIRECT("Dummy_for_Comparison4!"&amp;ADDRESS(ROW(),COLUMN()))</formula>
    </cfRule>
  </conditionalFormatting>
  <conditionalFormatting sqref="M406">
    <cfRule type="cellIs" dxfId="1692" priority="3795" stopIfTrue="1" operator="notEqual">
      <formula>INDIRECT("Dummy_for_Comparison4!"&amp;ADDRESS(ROW(),COLUMN()))</formula>
    </cfRule>
  </conditionalFormatting>
  <conditionalFormatting sqref="G407">
    <cfRule type="cellIs" dxfId="1691" priority="3535" stopIfTrue="1" operator="notEqual">
      <formula>INDIRECT("Dummy_for_Comparison4!"&amp;ADDRESS(ROW(),COLUMN()))</formula>
    </cfRule>
  </conditionalFormatting>
  <conditionalFormatting sqref="K407">
    <cfRule type="cellIs" dxfId="1690" priority="1474" stopIfTrue="1" operator="notEqual">
      <formula>INDIRECT("Dummy_for_Comparison4!"&amp;ADDRESS(ROW(),COLUMN()))</formula>
    </cfRule>
  </conditionalFormatting>
  <conditionalFormatting sqref="M407">
    <cfRule type="cellIs" dxfId="1689" priority="3794" stopIfTrue="1" operator="notEqual">
      <formula>INDIRECT("Dummy_for_Comparison4!"&amp;ADDRESS(ROW(),COLUMN()))</formula>
    </cfRule>
  </conditionalFormatting>
  <conditionalFormatting sqref="G408">
    <cfRule type="cellIs" dxfId="1688" priority="3534" stopIfTrue="1" operator="notEqual">
      <formula>INDIRECT("Dummy_for_Comparison4!"&amp;ADDRESS(ROW(),COLUMN()))</formula>
    </cfRule>
  </conditionalFormatting>
  <conditionalFormatting sqref="K408">
    <cfRule type="cellIs" dxfId="1687" priority="1473" stopIfTrue="1" operator="notEqual">
      <formula>INDIRECT("Dummy_for_Comparison4!"&amp;ADDRESS(ROW(),COLUMN()))</formula>
    </cfRule>
  </conditionalFormatting>
  <conditionalFormatting sqref="M408">
    <cfRule type="cellIs" dxfId="1686" priority="3793" stopIfTrue="1" operator="notEqual">
      <formula>INDIRECT("Dummy_for_Comparison4!"&amp;ADDRESS(ROW(),COLUMN()))</formula>
    </cfRule>
  </conditionalFormatting>
  <conditionalFormatting sqref="M409:N409">
    <cfRule type="cellIs" dxfId="1685" priority="3792" stopIfTrue="1" operator="notEqual">
      <formula>INDIRECT("Dummy_for_Comparison4!"&amp;ADDRESS(ROW(),COLUMN()))</formula>
    </cfRule>
  </conditionalFormatting>
  <conditionalFormatting sqref="G410">
    <cfRule type="cellIs" dxfId="1684" priority="3533" stopIfTrue="1" operator="notEqual">
      <formula>INDIRECT("Dummy_for_Comparison4!"&amp;ADDRESS(ROW(),COLUMN()))</formula>
    </cfRule>
  </conditionalFormatting>
  <conditionalFormatting sqref="K410">
    <cfRule type="cellIs" dxfId="1683" priority="1472" stopIfTrue="1" operator="notEqual">
      <formula>INDIRECT("Dummy_for_Comparison4!"&amp;ADDRESS(ROW(),COLUMN()))</formula>
    </cfRule>
  </conditionalFormatting>
  <conditionalFormatting sqref="M410:N410">
    <cfRule type="cellIs" dxfId="1682" priority="3791" stopIfTrue="1" operator="notEqual">
      <formula>INDIRECT("Dummy_for_Comparison4!"&amp;ADDRESS(ROW(),COLUMN()))</formula>
    </cfRule>
  </conditionalFormatting>
  <conditionalFormatting sqref="G411">
    <cfRule type="cellIs" dxfId="1681" priority="3532" stopIfTrue="1" operator="notEqual">
      <formula>INDIRECT("Dummy_for_Comparison4!"&amp;ADDRESS(ROW(),COLUMN()))</formula>
    </cfRule>
  </conditionalFormatting>
  <conditionalFormatting sqref="K411">
    <cfRule type="cellIs" dxfId="1680" priority="1471" stopIfTrue="1" operator="notEqual">
      <formula>INDIRECT("Dummy_for_Comparison4!"&amp;ADDRESS(ROW(),COLUMN()))</formula>
    </cfRule>
  </conditionalFormatting>
  <conditionalFormatting sqref="M411:N411">
    <cfRule type="cellIs" dxfId="1679" priority="3790" stopIfTrue="1" operator="notEqual">
      <formula>INDIRECT("Dummy_for_Comparison4!"&amp;ADDRESS(ROW(),COLUMN()))</formula>
    </cfRule>
  </conditionalFormatting>
  <conditionalFormatting sqref="G412">
    <cfRule type="cellIs" dxfId="1678" priority="3531" stopIfTrue="1" operator="notEqual">
      <formula>INDIRECT("Dummy_for_Comparison4!"&amp;ADDRESS(ROW(),COLUMN()))</formula>
    </cfRule>
  </conditionalFormatting>
  <conditionalFormatting sqref="K412">
    <cfRule type="cellIs" dxfId="1677" priority="1470" stopIfTrue="1" operator="notEqual">
      <formula>INDIRECT("Dummy_for_Comparison4!"&amp;ADDRESS(ROW(),COLUMN()))</formula>
    </cfRule>
  </conditionalFormatting>
  <conditionalFormatting sqref="M412:N412">
    <cfRule type="cellIs" dxfId="1676" priority="3789" stopIfTrue="1" operator="notEqual">
      <formula>INDIRECT("Dummy_for_Comparison4!"&amp;ADDRESS(ROW(),COLUMN()))</formula>
    </cfRule>
  </conditionalFormatting>
  <conditionalFormatting sqref="K413">
    <cfRule type="cellIs" dxfId="1675" priority="1469" stopIfTrue="1" operator="notEqual">
      <formula>INDIRECT("Dummy_for_Comparison4!"&amp;ADDRESS(ROW(),COLUMN()))</formula>
    </cfRule>
  </conditionalFormatting>
  <conditionalFormatting sqref="G419">
    <cfRule type="cellIs" dxfId="1674" priority="3528" stopIfTrue="1" operator="notEqual">
      <formula>INDIRECT("Dummy_for_Comparison4!"&amp;ADDRESS(ROW(),COLUMN()))</formula>
    </cfRule>
  </conditionalFormatting>
  <conditionalFormatting sqref="K419">
    <cfRule type="cellIs" dxfId="1673" priority="1467" stopIfTrue="1" operator="notEqual">
      <formula>INDIRECT("Dummy_for_Comparison4!"&amp;ADDRESS(ROW(),COLUMN()))</formula>
    </cfRule>
  </conditionalFormatting>
  <conditionalFormatting sqref="AJ419:AK419">
    <cfRule type="cellIs" dxfId="1672" priority="3818" stopIfTrue="1" operator="notEqual">
      <formula>INDIRECT("Dummy_for_Comparison4!"&amp;ADDRESS(ROW(),COLUMN()))</formula>
    </cfRule>
  </conditionalFormatting>
  <conditionalFormatting sqref="AJ420:AK420">
    <cfRule type="cellIs" dxfId="1671" priority="3817" stopIfTrue="1" operator="notEqual">
      <formula>INDIRECT("Dummy_for_Comparison4!"&amp;ADDRESS(ROW(),COLUMN()))</formula>
    </cfRule>
  </conditionalFormatting>
  <conditionalFormatting sqref="M425:N425">
    <cfRule type="cellIs" dxfId="1670" priority="3788" stopIfTrue="1" operator="notEqual">
      <formula>INDIRECT("Dummy_for_Comparison4!"&amp;ADDRESS(ROW(),COLUMN()))</formula>
    </cfRule>
  </conditionalFormatting>
  <conditionalFormatting sqref="AJ425">
    <cfRule type="cellIs" dxfId="1669" priority="3837" stopIfTrue="1" operator="notEqual">
      <formula>INDIRECT("Dummy_for_Comparison4!"&amp;ADDRESS(ROW(),COLUMN()))</formula>
    </cfRule>
  </conditionalFormatting>
  <conditionalFormatting sqref="M426">
    <cfRule type="cellIs" dxfId="1668" priority="3787" stopIfTrue="1" operator="notEqual">
      <formula>INDIRECT("Dummy_for_Comparison4!"&amp;ADDRESS(ROW(),COLUMN()))</formula>
    </cfRule>
  </conditionalFormatting>
  <conditionalFormatting sqref="AJ426">
    <cfRule type="cellIs" dxfId="1667" priority="3836" stopIfTrue="1" operator="notEqual">
      <formula>INDIRECT("Dummy_for_Comparison4!"&amp;ADDRESS(ROW(),COLUMN()))</formula>
    </cfRule>
  </conditionalFormatting>
  <conditionalFormatting sqref="M427:N427">
    <cfRule type="cellIs" dxfId="1666" priority="3786" stopIfTrue="1" operator="notEqual">
      <formula>INDIRECT("Dummy_for_Comparison4!"&amp;ADDRESS(ROW(),COLUMN()))</formula>
    </cfRule>
  </conditionalFormatting>
  <conditionalFormatting sqref="M428:N428">
    <cfRule type="cellIs" dxfId="1665" priority="3785" stopIfTrue="1" operator="notEqual">
      <formula>INDIRECT("Dummy_for_Comparison4!"&amp;ADDRESS(ROW(),COLUMN()))</formula>
    </cfRule>
  </conditionalFormatting>
  <conditionalFormatting sqref="G429">
    <cfRule type="cellIs" dxfId="1664" priority="3548" stopIfTrue="1" operator="notEqual">
      <formula>INDIRECT("Dummy_for_Comparison4!"&amp;ADDRESS(ROW(),COLUMN()))</formula>
    </cfRule>
  </conditionalFormatting>
  <conditionalFormatting sqref="K429">
    <cfRule type="cellIs" dxfId="1663" priority="1487" stopIfTrue="1" operator="notEqual">
      <formula>INDIRECT("Dummy_for_Comparison4!"&amp;ADDRESS(ROW(),COLUMN()))</formula>
    </cfRule>
  </conditionalFormatting>
  <conditionalFormatting sqref="G430">
    <cfRule type="cellIs" dxfId="1662" priority="3547" stopIfTrue="1" operator="notEqual">
      <formula>INDIRECT("Dummy_for_Comparison4!"&amp;ADDRESS(ROW(),COLUMN()))</formula>
    </cfRule>
  </conditionalFormatting>
  <conditionalFormatting sqref="K430">
    <cfRule type="cellIs" dxfId="1661" priority="1486" stopIfTrue="1" operator="notEqual">
      <formula>INDIRECT("Dummy_for_Comparison4!"&amp;ADDRESS(ROW(),COLUMN()))</formula>
    </cfRule>
  </conditionalFormatting>
  <conditionalFormatting sqref="G431">
    <cfRule type="cellIs" dxfId="1660" priority="3546" stopIfTrue="1" operator="notEqual">
      <formula>INDIRECT("Dummy_for_Comparison4!"&amp;ADDRESS(ROW(),COLUMN()))</formula>
    </cfRule>
  </conditionalFormatting>
  <conditionalFormatting sqref="K431">
    <cfRule type="cellIs" dxfId="1659" priority="1485" stopIfTrue="1" operator="notEqual">
      <formula>INDIRECT("Dummy_for_Comparison4!"&amp;ADDRESS(ROW(),COLUMN()))</formula>
    </cfRule>
  </conditionalFormatting>
  <conditionalFormatting sqref="G455">
    <cfRule type="cellIs" dxfId="1658" priority="3544" stopIfTrue="1" operator="notEqual">
      <formula>INDIRECT("Dummy_for_Comparison4!"&amp;ADDRESS(ROW(),COLUMN()))</formula>
    </cfRule>
  </conditionalFormatting>
  <conditionalFormatting sqref="K455">
    <cfRule type="cellIs" dxfId="1657" priority="1483" stopIfTrue="1" operator="notEqual">
      <formula>INDIRECT("Dummy_for_Comparison4!"&amp;ADDRESS(ROW(),COLUMN()))</formula>
    </cfRule>
  </conditionalFormatting>
  <conditionalFormatting sqref="O455">
    <cfRule type="cellIs" dxfId="1656" priority="3871" stopIfTrue="1" operator="notEqual">
      <formula>INDIRECT("Dummy_for_Comparison4!"&amp;ADDRESS(ROW(),COLUMN()))</formula>
    </cfRule>
  </conditionalFormatting>
  <conditionalFormatting sqref="AJ455">
    <cfRule type="cellIs" dxfId="1655" priority="576" stopIfTrue="1" operator="notEqual">
      <formula>INDIRECT("Dummy_for_Comparison4!"&amp;ADDRESS(ROW(),COLUMN()))</formula>
    </cfRule>
  </conditionalFormatting>
  <conditionalFormatting sqref="G459">
    <cfRule type="cellIs" dxfId="1654" priority="3524" stopIfTrue="1" operator="notEqual">
      <formula>INDIRECT("Dummy_for_Comparison4!"&amp;ADDRESS(ROW(),COLUMN()))</formula>
    </cfRule>
  </conditionalFormatting>
  <conditionalFormatting sqref="K459">
    <cfRule type="cellIs" dxfId="1653" priority="1463" stopIfTrue="1" operator="notEqual">
      <formula>INDIRECT("Dummy_for_Comparison4!"&amp;ADDRESS(ROW(),COLUMN()))</formula>
    </cfRule>
  </conditionalFormatting>
  <conditionalFormatting sqref="G460">
    <cfRule type="cellIs" dxfId="1652" priority="3523" stopIfTrue="1" operator="notEqual">
      <formula>INDIRECT("Dummy_for_Comparison4!"&amp;ADDRESS(ROW(),COLUMN()))</formula>
    </cfRule>
  </conditionalFormatting>
  <conditionalFormatting sqref="K460">
    <cfRule type="cellIs" dxfId="1651" priority="1462" stopIfTrue="1" operator="notEqual">
      <formula>INDIRECT("Dummy_for_Comparison4!"&amp;ADDRESS(ROW(),COLUMN()))</formula>
    </cfRule>
  </conditionalFormatting>
  <conditionalFormatting sqref="G461">
    <cfRule type="cellIs" dxfId="1650" priority="3522" stopIfTrue="1" operator="notEqual">
      <formula>INDIRECT("Dummy_for_Comparison4!"&amp;ADDRESS(ROW(),COLUMN()))</formula>
    </cfRule>
  </conditionalFormatting>
  <conditionalFormatting sqref="K461">
    <cfRule type="cellIs" dxfId="1649" priority="1461" stopIfTrue="1" operator="notEqual">
      <formula>INDIRECT("Dummy_for_Comparison4!"&amp;ADDRESS(ROW(),COLUMN()))</formula>
    </cfRule>
  </conditionalFormatting>
  <conditionalFormatting sqref="C485">
    <cfRule type="cellIs" dxfId="1648" priority="3824" stopIfTrue="1" operator="notEqual">
      <formula>INDIRECT("Dummy_for_Comparison4!"&amp;ADDRESS(ROW(),COLUMN()))</formula>
    </cfRule>
  </conditionalFormatting>
  <conditionalFormatting sqref="G485">
    <cfRule type="cellIs" dxfId="1647" priority="3519" stopIfTrue="1" operator="notEqual">
      <formula>INDIRECT("Dummy_for_Comparison4!"&amp;ADDRESS(ROW(),COLUMN()))</formula>
    </cfRule>
  </conditionalFormatting>
  <conditionalFormatting sqref="K485">
    <cfRule type="cellIs" dxfId="1646" priority="1458" stopIfTrue="1" operator="notEqual">
      <formula>INDIRECT("Dummy_for_Comparison4!"&amp;ADDRESS(ROW(),COLUMN()))</formula>
    </cfRule>
  </conditionalFormatting>
  <conditionalFormatting sqref="C488">
    <cfRule type="cellIs" dxfId="1645" priority="3820" stopIfTrue="1" operator="notEqual">
      <formula>INDIRECT("Dummy_for_Comparison4!"&amp;ADDRESS(ROW(),COLUMN()))</formula>
    </cfRule>
  </conditionalFormatting>
  <conditionalFormatting sqref="G488">
    <cfRule type="cellIs" dxfId="1644" priority="3517" stopIfTrue="1" operator="notEqual">
      <formula>INDIRECT("Dummy_for_Comparison4!"&amp;ADDRESS(ROW(),COLUMN()))</formula>
    </cfRule>
  </conditionalFormatting>
  <conditionalFormatting sqref="K488">
    <cfRule type="cellIs" dxfId="1643" priority="1456" stopIfTrue="1" operator="notEqual">
      <formula>INDIRECT("Dummy_for_Comparison4!"&amp;ADDRESS(ROW(),COLUMN()))</formula>
    </cfRule>
  </conditionalFormatting>
  <conditionalFormatting sqref="M491">
    <cfRule type="cellIs" dxfId="1642" priority="3781" stopIfTrue="1" operator="notEqual">
      <formula>INDIRECT("Dummy_for_Comparison4!"&amp;ADDRESS(ROW(),COLUMN()))</formula>
    </cfRule>
  </conditionalFormatting>
  <conditionalFormatting sqref="M492">
    <cfRule type="cellIs" dxfId="1641" priority="3780" stopIfTrue="1" operator="notEqual">
      <formula>INDIRECT("Dummy_for_Comparison4!"&amp;ADDRESS(ROW(),COLUMN()))</formula>
    </cfRule>
  </conditionalFormatting>
  <conditionalFormatting sqref="G511">
    <cfRule type="cellIs" dxfId="1640" priority="3515" stopIfTrue="1" operator="notEqual">
      <formula>INDIRECT("Dummy_for_Comparison4!"&amp;ADDRESS(ROW(),COLUMN()))</formula>
    </cfRule>
  </conditionalFormatting>
  <conditionalFormatting sqref="K511">
    <cfRule type="cellIs" dxfId="1639" priority="1455" stopIfTrue="1" operator="notEqual">
      <formula>INDIRECT("Dummy_for_Comparison4!"&amp;ADDRESS(ROW(),COLUMN()))</formula>
    </cfRule>
  </conditionalFormatting>
  <conditionalFormatting sqref="G512">
    <cfRule type="cellIs" dxfId="1638" priority="3514" stopIfTrue="1" operator="notEqual">
      <formula>INDIRECT("Dummy_for_Comparison4!"&amp;ADDRESS(ROW(),COLUMN()))</formula>
    </cfRule>
  </conditionalFormatting>
  <conditionalFormatting sqref="K512">
    <cfRule type="cellIs" dxfId="1637" priority="1454" stopIfTrue="1" operator="notEqual">
      <formula>INDIRECT("Dummy_for_Comparison4!"&amp;ADDRESS(ROW(),COLUMN()))</formula>
    </cfRule>
  </conditionalFormatting>
  <conditionalFormatting sqref="G513">
    <cfRule type="cellIs" dxfId="1636" priority="3513" stopIfTrue="1" operator="notEqual">
      <formula>INDIRECT("Dummy_for_Comparison4!"&amp;ADDRESS(ROW(),COLUMN()))</formula>
    </cfRule>
  </conditionalFormatting>
  <conditionalFormatting sqref="K513">
    <cfRule type="cellIs" dxfId="1635" priority="1453" stopIfTrue="1" operator="notEqual">
      <formula>INDIRECT("Dummy_for_Comparison4!"&amp;ADDRESS(ROW(),COLUMN()))</formula>
    </cfRule>
  </conditionalFormatting>
  <conditionalFormatting sqref="M547">
    <cfRule type="cellIs" dxfId="1634" priority="3763" stopIfTrue="1" operator="notEqual">
      <formula>INDIRECT("Dummy_for_Comparison4!"&amp;ADDRESS(ROW(),COLUMN()))</formula>
    </cfRule>
  </conditionalFormatting>
  <conditionalFormatting sqref="M561:N561">
    <cfRule type="cellIs" dxfId="1633" priority="3756" stopIfTrue="1" operator="notEqual">
      <formula>INDIRECT("Dummy_for_Comparison4!"&amp;ADDRESS(ROW(),COLUMN()))</formula>
    </cfRule>
  </conditionalFormatting>
  <conditionalFormatting sqref="M563:N563">
    <cfRule type="cellIs" dxfId="1632" priority="3755" stopIfTrue="1" operator="notEqual">
      <formula>INDIRECT("Dummy_for_Comparison4!"&amp;ADDRESS(ROW(),COLUMN()))</formula>
    </cfRule>
  </conditionalFormatting>
  <conditionalFormatting sqref="T648">
    <cfRule type="cellIs" dxfId="1631" priority="3404" stopIfTrue="1" operator="notEqual">
      <formula>INDIRECT("Dummy_for_Comparison4!"&amp;ADDRESS(ROW(),COLUMN()))</formula>
    </cfRule>
  </conditionalFormatting>
  <conditionalFormatting sqref="T649">
    <cfRule type="cellIs" dxfId="1630" priority="3403" stopIfTrue="1" operator="notEqual">
      <formula>INDIRECT("Dummy_for_Comparison4!"&amp;ADDRESS(ROW(),COLUMN()))</formula>
    </cfRule>
  </conditionalFormatting>
  <conditionalFormatting sqref="T650">
    <cfRule type="cellIs" dxfId="1629" priority="3402" stopIfTrue="1" operator="notEqual">
      <formula>INDIRECT("Dummy_for_Comparison4!"&amp;ADDRESS(ROW(),COLUMN()))</formula>
    </cfRule>
  </conditionalFormatting>
  <conditionalFormatting sqref="T652">
    <cfRule type="cellIs" dxfId="1628" priority="3385" stopIfTrue="1" operator="notEqual">
      <formula>INDIRECT("Dummy_for_Comparison4!"&amp;ADDRESS(ROW(),COLUMN()))</formula>
    </cfRule>
  </conditionalFormatting>
  <conditionalFormatting sqref="U652">
    <cfRule type="cellIs" dxfId="1627" priority="3401" stopIfTrue="1" operator="notEqual">
      <formula>INDIRECT("Dummy_for_Comparison4!"&amp;ADDRESS(ROW(),COLUMN()))</formula>
    </cfRule>
  </conditionalFormatting>
  <conditionalFormatting sqref="T653:U653">
    <cfRule type="cellIs" dxfId="1626" priority="3400" stopIfTrue="1" operator="notEqual">
      <formula>INDIRECT("Dummy_for_Comparison4!"&amp;ADDRESS(ROW(),COLUMN()))</formula>
    </cfRule>
  </conditionalFormatting>
  <conditionalFormatting sqref="T654:U654">
    <cfRule type="cellIs" dxfId="1625" priority="3399" stopIfTrue="1" operator="notEqual">
      <formula>INDIRECT("Dummy_for_Comparison4!"&amp;ADDRESS(ROW(),COLUMN()))</formula>
    </cfRule>
  </conditionalFormatting>
  <conditionalFormatting sqref="G707">
    <cfRule type="cellIs" dxfId="1624" priority="3419" stopIfTrue="1" operator="notEqual">
      <formula>INDIRECT("Dummy_for_Comparison4!"&amp;ADDRESS(ROW(),COLUMN()))</formula>
    </cfRule>
  </conditionalFormatting>
  <conditionalFormatting sqref="K707">
    <cfRule type="cellIs" dxfId="1623" priority="1439" stopIfTrue="1" operator="notEqual">
      <formula>INDIRECT("Dummy_for_Comparison4!"&amp;ADDRESS(ROW(),COLUMN()))</formula>
    </cfRule>
  </conditionalFormatting>
  <conditionalFormatting sqref="M707:N707">
    <cfRule type="cellIs" dxfId="1622" priority="3420" stopIfTrue="1" operator="notEqual">
      <formula>INDIRECT("Dummy_for_Comparison4!"&amp;ADDRESS(ROW(),COLUMN()))</formula>
    </cfRule>
  </conditionalFormatting>
  <conditionalFormatting sqref="G708">
    <cfRule type="cellIs" dxfId="1621" priority="3416" stopIfTrue="1" operator="notEqual">
      <formula>INDIRECT("Dummy_for_Comparison4!"&amp;ADDRESS(ROW(),COLUMN()))</formula>
    </cfRule>
  </conditionalFormatting>
  <conditionalFormatting sqref="K708">
    <cfRule type="cellIs" dxfId="1620" priority="1438" stopIfTrue="1" operator="notEqual">
      <formula>INDIRECT("Dummy_for_Comparison4!"&amp;ADDRESS(ROW(),COLUMN()))</formula>
    </cfRule>
  </conditionalFormatting>
  <conditionalFormatting sqref="M708:N708">
    <cfRule type="cellIs" dxfId="1619" priority="3417" stopIfTrue="1" operator="notEqual">
      <formula>INDIRECT("Dummy_for_Comparison4!"&amp;ADDRESS(ROW(),COLUMN()))</formula>
    </cfRule>
  </conditionalFormatting>
  <conditionalFormatting sqref="G709">
    <cfRule type="cellIs" dxfId="1618" priority="3413" stopIfTrue="1" operator="notEqual">
      <formula>INDIRECT("Dummy_for_Comparison4!"&amp;ADDRESS(ROW(),COLUMN()))</formula>
    </cfRule>
  </conditionalFormatting>
  <conditionalFormatting sqref="K709">
    <cfRule type="cellIs" dxfId="1617" priority="1437" stopIfTrue="1" operator="notEqual">
      <formula>INDIRECT("Dummy_for_Comparison4!"&amp;ADDRESS(ROW(),COLUMN()))</formula>
    </cfRule>
  </conditionalFormatting>
  <conditionalFormatting sqref="M709:N709">
    <cfRule type="cellIs" dxfId="1616" priority="3414" stopIfTrue="1" operator="notEqual">
      <formula>INDIRECT("Dummy_for_Comparison4!"&amp;ADDRESS(ROW(),COLUMN()))</formula>
    </cfRule>
  </conditionalFormatting>
  <conditionalFormatting sqref="G710">
    <cfRule type="cellIs" dxfId="1615" priority="3407" stopIfTrue="1" operator="notEqual">
      <formula>INDIRECT("Dummy_for_Comparison4!"&amp;ADDRESS(ROW(),COLUMN()))</formula>
    </cfRule>
  </conditionalFormatting>
  <conditionalFormatting sqref="K710">
    <cfRule type="cellIs" dxfId="1614" priority="1436" stopIfTrue="1" operator="notEqual">
      <formula>INDIRECT("Dummy_for_Comparison4!"&amp;ADDRESS(ROW(),COLUMN()))</formula>
    </cfRule>
  </conditionalFormatting>
  <conditionalFormatting sqref="M710:N710">
    <cfRule type="cellIs" dxfId="1613" priority="3408" stopIfTrue="1" operator="notEqual">
      <formula>INDIRECT("Dummy_for_Comparison4!"&amp;ADDRESS(ROW(),COLUMN()))</formula>
    </cfRule>
  </conditionalFormatting>
  <conditionalFormatting sqref="T736">
    <cfRule type="cellIs" dxfId="1612" priority="2064" stopIfTrue="1" operator="notEqual">
      <formula>INDIRECT("Dummy_for_Comparison4!"&amp;ADDRESS(ROW(),COLUMN()))</formula>
    </cfRule>
  </conditionalFormatting>
  <conditionalFormatting sqref="T737">
    <cfRule type="cellIs" dxfId="1611" priority="2063" stopIfTrue="1" operator="notEqual">
      <formula>INDIRECT("Dummy_for_Comparison4!"&amp;ADDRESS(ROW(),COLUMN()))</formula>
    </cfRule>
  </conditionalFormatting>
  <conditionalFormatting sqref="T738">
    <cfRule type="cellIs" dxfId="1610" priority="2062" stopIfTrue="1" operator="notEqual">
      <formula>INDIRECT("Dummy_for_Comparison4!"&amp;ADDRESS(ROW(),COLUMN()))</formula>
    </cfRule>
  </conditionalFormatting>
  <conditionalFormatting sqref="T740">
    <cfRule type="cellIs" dxfId="1609" priority="2057" stopIfTrue="1" operator="notEqual">
      <formula>INDIRECT("Dummy_for_Comparison4!"&amp;ADDRESS(ROW(),COLUMN()))</formula>
    </cfRule>
  </conditionalFormatting>
  <conditionalFormatting sqref="T741">
    <cfRule type="cellIs" dxfId="1608" priority="2056" stopIfTrue="1" operator="notEqual">
      <formula>INDIRECT("Dummy_for_Comparison4!"&amp;ADDRESS(ROW(),COLUMN()))</formula>
    </cfRule>
  </conditionalFormatting>
  <conditionalFormatting sqref="T742">
    <cfRule type="cellIs" dxfId="1607" priority="2055" stopIfTrue="1" operator="notEqual">
      <formula>INDIRECT("Dummy_for_Comparison4!"&amp;ADDRESS(ROW(),COLUMN()))</formula>
    </cfRule>
  </conditionalFormatting>
  <conditionalFormatting sqref="G806">
    <cfRule type="cellIs" dxfId="1606" priority="1692" stopIfTrue="1" operator="notEqual">
      <formula>INDIRECT("Dummy_for_Comparison4!"&amp;ADDRESS(ROW(),COLUMN()))</formula>
    </cfRule>
  </conditionalFormatting>
  <conditionalFormatting sqref="K806">
    <cfRule type="cellIs" dxfId="1605" priority="1349" stopIfTrue="1" operator="notEqual">
      <formula>INDIRECT("Dummy_for_Comparison4!"&amp;ADDRESS(ROW(),COLUMN()))</formula>
    </cfRule>
  </conditionalFormatting>
  <conditionalFormatting sqref="G807">
    <cfRule type="cellIs" dxfId="1604" priority="1691" stopIfTrue="1" operator="notEqual">
      <formula>INDIRECT("Dummy_for_Comparison4!"&amp;ADDRESS(ROW(),COLUMN()))</formula>
    </cfRule>
  </conditionalFormatting>
  <conditionalFormatting sqref="K807">
    <cfRule type="cellIs" dxfId="1603" priority="1348" stopIfTrue="1" operator="notEqual">
      <formula>INDIRECT("Dummy_for_Comparison4!"&amp;ADDRESS(ROW(),COLUMN()))</formula>
    </cfRule>
  </conditionalFormatting>
  <conditionalFormatting sqref="G808">
    <cfRule type="cellIs" dxfId="1602" priority="1690" stopIfTrue="1" operator="notEqual">
      <formula>INDIRECT("Dummy_for_Comparison4!"&amp;ADDRESS(ROW(),COLUMN()))</formula>
    </cfRule>
  </conditionalFormatting>
  <conditionalFormatting sqref="K808">
    <cfRule type="cellIs" dxfId="1601" priority="1347" stopIfTrue="1" operator="notEqual">
      <formula>INDIRECT("Dummy_for_Comparison4!"&amp;ADDRESS(ROW(),COLUMN()))</formula>
    </cfRule>
  </conditionalFormatting>
  <conditionalFormatting sqref="G809">
    <cfRule type="cellIs" dxfId="1600" priority="1689" stopIfTrue="1" operator="notEqual">
      <formula>INDIRECT("Dummy_for_Comparison4!"&amp;ADDRESS(ROW(),COLUMN()))</formula>
    </cfRule>
  </conditionalFormatting>
  <conditionalFormatting sqref="K809">
    <cfRule type="cellIs" dxfId="1599" priority="1346" stopIfTrue="1" operator="notEqual">
      <formula>INDIRECT("Dummy_for_Comparison4!"&amp;ADDRESS(ROW(),COLUMN()))</formula>
    </cfRule>
  </conditionalFormatting>
  <conditionalFormatting sqref="G810">
    <cfRule type="cellIs" dxfId="1598" priority="1688" stopIfTrue="1" operator="notEqual">
      <formula>INDIRECT("Dummy_for_Comparison4!"&amp;ADDRESS(ROW(),COLUMN()))</formula>
    </cfRule>
  </conditionalFormatting>
  <conditionalFormatting sqref="K810">
    <cfRule type="cellIs" dxfId="1597" priority="1345" stopIfTrue="1" operator="notEqual">
      <formula>INDIRECT("Dummy_for_Comparison4!"&amp;ADDRESS(ROW(),COLUMN()))</formula>
    </cfRule>
  </conditionalFormatting>
  <conditionalFormatting sqref="G811">
    <cfRule type="cellIs" dxfId="1596" priority="1685" stopIfTrue="1" operator="notEqual">
      <formula>INDIRECT("Dummy_for_Comparison4!"&amp;ADDRESS(ROW(),COLUMN()))</formula>
    </cfRule>
  </conditionalFormatting>
  <conditionalFormatting sqref="K811">
    <cfRule type="cellIs" dxfId="1595" priority="1342" stopIfTrue="1" operator="notEqual">
      <formula>INDIRECT("Dummy_for_Comparison4!"&amp;ADDRESS(ROW(),COLUMN()))</formula>
    </cfRule>
  </conditionalFormatting>
  <conditionalFormatting sqref="G812">
    <cfRule type="cellIs" dxfId="1594" priority="1658" stopIfTrue="1" operator="notEqual">
      <formula>INDIRECT("Dummy_for_Comparison4!"&amp;ADDRESS(ROW(),COLUMN()))</formula>
    </cfRule>
  </conditionalFormatting>
  <conditionalFormatting sqref="K812">
    <cfRule type="cellIs" dxfId="1593" priority="1322" stopIfTrue="1" operator="notEqual">
      <formula>INDIRECT("Dummy_for_Comparison4!"&amp;ADDRESS(ROW(),COLUMN()))</formula>
    </cfRule>
  </conditionalFormatting>
  <conditionalFormatting sqref="G813">
    <cfRule type="cellIs" dxfId="1592" priority="1657" stopIfTrue="1" operator="notEqual">
      <formula>INDIRECT("Dummy_for_Comparison4!"&amp;ADDRESS(ROW(),COLUMN()))</formula>
    </cfRule>
  </conditionalFormatting>
  <conditionalFormatting sqref="K813">
    <cfRule type="cellIs" dxfId="1591" priority="1321" stopIfTrue="1" operator="notEqual">
      <formula>INDIRECT("Dummy_for_Comparison4!"&amp;ADDRESS(ROW(),COLUMN()))</formula>
    </cfRule>
  </conditionalFormatting>
  <conditionalFormatting sqref="G814">
    <cfRule type="cellIs" dxfId="1590" priority="1656" stopIfTrue="1" operator="notEqual">
      <formula>INDIRECT("Dummy_for_Comparison4!"&amp;ADDRESS(ROW(),COLUMN()))</formula>
    </cfRule>
  </conditionalFormatting>
  <conditionalFormatting sqref="K814">
    <cfRule type="cellIs" dxfId="1589" priority="1320" stopIfTrue="1" operator="notEqual">
      <formula>INDIRECT("Dummy_for_Comparison4!"&amp;ADDRESS(ROW(),COLUMN()))</formula>
    </cfRule>
  </conditionalFormatting>
  <conditionalFormatting sqref="G815">
    <cfRule type="cellIs" dxfId="1588" priority="1655" stopIfTrue="1" operator="notEqual">
      <formula>INDIRECT("Dummy_for_Comparison4!"&amp;ADDRESS(ROW(),COLUMN()))</formula>
    </cfRule>
  </conditionalFormatting>
  <conditionalFormatting sqref="K815">
    <cfRule type="cellIs" dxfId="1587" priority="1319" stopIfTrue="1" operator="notEqual">
      <formula>INDIRECT("Dummy_for_Comparison4!"&amp;ADDRESS(ROW(),COLUMN()))</formula>
    </cfRule>
  </conditionalFormatting>
  <conditionalFormatting sqref="G816">
    <cfRule type="cellIs" dxfId="1586" priority="1681" stopIfTrue="1" operator="notEqual">
      <formula>INDIRECT("Dummy_for_Comparison4!"&amp;ADDRESS(ROW(),COLUMN()))</formula>
    </cfRule>
  </conditionalFormatting>
  <conditionalFormatting sqref="K816">
    <cfRule type="cellIs" dxfId="1585" priority="1338" stopIfTrue="1" operator="notEqual">
      <formula>INDIRECT("Dummy_for_Comparison4!"&amp;ADDRESS(ROW(),COLUMN()))</formula>
    </cfRule>
  </conditionalFormatting>
  <conditionalFormatting sqref="G817">
    <cfRule type="cellIs" dxfId="1584" priority="1680" stopIfTrue="1" operator="notEqual">
      <formula>INDIRECT("Dummy_for_Comparison4!"&amp;ADDRESS(ROW(),COLUMN()))</formula>
    </cfRule>
  </conditionalFormatting>
  <conditionalFormatting sqref="K817">
    <cfRule type="cellIs" dxfId="1583" priority="1337" stopIfTrue="1" operator="notEqual">
      <formula>INDIRECT("Dummy_for_Comparison4!"&amp;ADDRESS(ROW(),COLUMN()))</formula>
    </cfRule>
  </conditionalFormatting>
  <conditionalFormatting sqref="G818">
    <cfRule type="cellIs" dxfId="1582" priority="1679" stopIfTrue="1" operator="notEqual">
      <formula>INDIRECT("Dummy_for_Comparison4!"&amp;ADDRESS(ROW(),COLUMN()))</formula>
    </cfRule>
  </conditionalFormatting>
  <conditionalFormatting sqref="K818">
    <cfRule type="cellIs" dxfId="1581" priority="1336" stopIfTrue="1" operator="notEqual">
      <formula>INDIRECT("Dummy_for_Comparison4!"&amp;ADDRESS(ROW(),COLUMN()))</formula>
    </cfRule>
  </conditionalFormatting>
  <conditionalFormatting sqref="G819">
    <cfRule type="cellIs" dxfId="1580" priority="1678" stopIfTrue="1" operator="notEqual">
      <formula>INDIRECT("Dummy_for_Comparison4!"&amp;ADDRESS(ROW(),COLUMN()))</formula>
    </cfRule>
  </conditionalFormatting>
  <conditionalFormatting sqref="K819">
    <cfRule type="cellIs" dxfId="1579" priority="1335" stopIfTrue="1" operator="notEqual">
      <formula>INDIRECT("Dummy_for_Comparison4!"&amp;ADDRESS(ROW(),COLUMN()))</formula>
    </cfRule>
  </conditionalFormatting>
  <conditionalFormatting sqref="G820">
    <cfRule type="cellIs" dxfId="1578" priority="1677" stopIfTrue="1" operator="notEqual">
      <formula>INDIRECT("Dummy_for_Comparison4!"&amp;ADDRESS(ROW(),COLUMN()))</formula>
    </cfRule>
  </conditionalFormatting>
  <conditionalFormatting sqref="K820">
    <cfRule type="cellIs" dxfId="1577" priority="1334" stopIfTrue="1" operator="notEqual">
      <formula>INDIRECT("Dummy_for_Comparison4!"&amp;ADDRESS(ROW(),COLUMN()))</formula>
    </cfRule>
  </conditionalFormatting>
  <conditionalFormatting sqref="G821">
    <cfRule type="cellIs" dxfId="1576" priority="1676" stopIfTrue="1" operator="notEqual">
      <formula>INDIRECT("Dummy_for_Comparison4!"&amp;ADDRESS(ROW(),COLUMN()))</formula>
    </cfRule>
  </conditionalFormatting>
  <conditionalFormatting sqref="K821">
    <cfRule type="cellIs" dxfId="1575" priority="1333" stopIfTrue="1" operator="notEqual">
      <formula>INDIRECT("Dummy_for_Comparison4!"&amp;ADDRESS(ROW(),COLUMN()))</formula>
    </cfRule>
  </conditionalFormatting>
  <conditionalFormatting sqref="G822">
    <cfRule type="cellIs" dxfId="1574" priority="1675" stopIfTrue="1" operator="notEqual">
      <formula>INDIRECT("Dummy_for_Comparison4!"&amp;ADDRESS(ROW(),COLUMN()))</formula>
    </cfRule>
  </conditionalFormatting>
  <conditionalFormatting sqref="K822">
    <cfRule type="cellIs" dxfId="1573" priority="1332" stopIfTrue="1" operator="notEqual">
      <formula>INDIRECT("Dummy_for_Comparison4!"&amp;ADDRESS(ROW(),COLUMN()))</formula>
    </cfRule>
  </conditionalFormatting>
  <conditionalFormatting sqref="G823">
    <cfRule type="cellIs" dxfId="1572" priority="1674" stopIfTrue="1" operator="notEqual">
      <formula>INDIRECT("Dummy_for_Comparison4!"&amp;ADDRESS(ROW(),COLUMN()))</formula>
    </cfRule>
  </conditionalFormatting>
  <conditionalFormatting sqref="K823">
    <cfRule type="cellIs" dxfId="1571" priority="1331" stopIfTrue="1" operator="notEqual">
      <formula>INDIRECT("Dummy_for_Comparison4!"&amp;ADDRESS(ROW(),COLUMN()))</formula>
    </cfRule>
  </conditionalFormatting>
  <conditionalFormatting sqref="G824">
    <cfRule type="cellIs" dxfId="1570" priority="1673" stopIfTrue="1" operator="notEqual">
      <formula>INDIRECT("Dummy_for_Comparison4!"&amp;ADDRESS(ROW(),COLUMN()))</formula>
    </cfRule>
  </conditionalFormatting>
  <conditionalFormatting sqref="K824">
    <cfRule type="cellIs" dxfId="1569" priority="1330" stopIfTrue="1" operator="notEqual">
      <formula>INDIRECT("Dummy_for_Comparison4!"&amp;ADDRESS(ROW(),COLUMN()))</formula>
    </cfRule>
  </conditionalFormatting>
  <conditionalFormatting sqref="G825">
    <cfRule type="cellIs" dxfId="1568" priority="1672" stopIfTrue="1" operator="notEqual">
      <formula>INDIRECT("Dummy_for_Comparison4!"&amp;ADDRESS(ROW(),COLUMN()))</formula>
    </cfRule>
  </conditionalFormatting>
  <conditionalFormatting sqref="K825">
    <cfRule type="cellIs" dxfId="1567" priority="1329" stopIfTrue="1" operator="notEqual">
      <formula>INDIRECT("Dummy_for_Comparison4!"&amp;ADDRESS(ROW(),COLUMN()))</formula>
    </cfRule>
  </conditionalFormatting>
  <conditionalFormatting sqref="M827">
    <cfRule type="cellIs" dxfId="1566" priority="1666" stopIfTrue="1" operator="notEqual">
      <formula>INDIRECT("Dummy_for_Comparison4!"&amp;ADDRESS(ROW(),COLUMN()))</formula>
    </cfRule>
  </conditionalFormatting>
  <conditionalFormatting sqref="E830">
    <cfRule type="cellIs" dxfId="1565" priority="1665" stopIfTrue="1" operator="notEqual">
      <formula>INDIRECT("Dummy_for_Comparison4!"&amp;ADDRESS(ROW(),COLUMN()))</formula>
    </cfRule>
  </conditionalFormatting>
  <conditionalFormatting sqref="G830">
    <cfRule type="cellIs" dxfId="1564" priority="1669" stopIfTrue="1" operator="notEqual">
      <formula>INDIRECT("Dummy_for_Comparison4!"&amp;ADDRESS(ROW(),COLUMN()))</formula>
    </cfRule>
  </conditionalFormatting>
  <conditionalFormatting sqref="K830">
    <cfRule type="cellIs" dxfId="1563" priority="1326" stopIfTrue="1" operator="notEqual">
      <formula>INDIRECT("Dummy_for_Comparison4!"&amp;ADDRESS(ROW(),COLUMN()))</formula>
    </cfRule>
  </conditionalFormatting>
  <conditionalFormatting sqref="G831">
    <cfRule type="cellIs" dxfId="1562" priority="1668" stopIfTrue="1" operator="notEqual">
      <formula>INDIRECT("Dummy_for_Comparison4!"&amp;ADDRESS(ROW(),COLUMN()))</formula>
    </cfRule>
  </conditionalFormatting>
  <conditionalFormatting sqref="K831">
    <cfRule type="cellIs" dxfId="1561" priority="1325" stopIfTrue="1" operator="notEqual">
      <formula>INDIRECT("Dummy_for_Comparison4!"&amp;ADDRESS(ROW(),COLUMN()))</formula>
    </cfRule>
  </conditionalFormatting>
  <conditionalFormatting sqref="G832">
    <cfRule type="cellIs" dxfId="1560" priority="1667" stopIfTrue="1" operator="notEqual">
      <formula>INDIRECT("Dummy_for_Comparison4!"&amp;ADDRESS(ROW(),COLUMN()))</formula>
    </cfRule>
  </conditionalFormatting>
  <conditionalFormatting sqref="K832">
    <cfRule type="cellIs" dxfId="1559" priority="1324" stopIfTrue="1" operator="notEqual">
      <formula>INDIRECT("Dummy_for_Comparison4!"&amp;ADDRESS(ROW(),COLUMN()))</formula>
    </cfRule>
  </conditionalFormatting>
  <conditionalFormatting sqref="G833">
    <cfRule type="cellIs" dxfId="1558" priority="1653" stopIfTrue="1" operator="notEqual">
      <formula>INDIRECT("Dummy_for_Comparison4!"&amp;ADDRESS(ROW(),COLUMN()))</formula>
    </cfRule>
  </conditionalFormatting>
  <conditionalFormatting sqref="K833">
    <cfRule type="cellIs" dxfId="1557" priority="1318" stopIfTrue="1" operator="notEqual">
      <formula>INDIRECT("Dummy_for_Comparison4!"&amp;ADDRESS(ROW(),COLUMN()))</formula>
    </cfRule>
  </conditionalFormatting>
  <conditionalFormatting sqref="G834">
    <cfRule type="cellIs" dxfId="1556" priority="1184" stopIfTrue="1" operator="notEqual">
      <formula>INDIRECT("Dummy_for_Comparison4!"&amp;ADDRESS(ROW(),COLUMN()))</formula>
    </cfRule>
  </conditionalFormatting>
  <conditionalFormatting sqref="K834">
    <cfRule type="cellIs" dxfId="1555" priority="1183" stopIfTrue="1" operator="notEqual">
      <formula>INDIRECT("Dummy_for_Comparison4!"&amp;ADDRESS(ROW(),COLUMN()))</formula>
    </cfRule>
  </conditionalFormatting>
  <conditionalFormatting sqref="G835">
    <cfRule type="cellIs" dxfId="1554" priority="1181" stopIfTrue="1" operator="notEqual">
      <formula>INDIRECT("Dummy_for_Comparison4!"&amp;ADDRESS(ROW(),COLUMN()))</formula>
    </cfRule>
  </conditionalFormatting>
  <conditionalFormatting sqref="K835">
    <cfRule type="cellIs" dxfId="1553" priority="1180" stopIfTrue="1" operator="notEqual">
      <formula>INDIRECT("Dummy_for_Comparison4!"&amp;ADDRESS(ROW(),COLUMN()))</formula>
    </cfRule>
  </conditionalFormatting>
  <conditionalFormatting sqref="G836">
    <cfRule type="cellIs" dxfId="1552" priority="1178" stopIfTrue="1" operator="notEqual">
      <formula>INDIRECT("Dummy_for_Comparison4!"&amp;ADDRESS(ROW(),COLUMN()))</formula>
    </cfRule>
  </conditionalFormatting>
  <conditionalFormatting sqref="K836">
    <cfRule type="cellIs" dxfId="1551" priority="1177" stopIfTrue="1" operator="notEqual">
      <formula>INDIRECT("Dummy_for_Comparison4!"&amp;ADDRESS(ROW(),COLUMN()))</formula>
    </cfRule>
  </conditionalFormatting>
  <conditionalFormatting sqref="C838">
    <cfRule type="cellIs" dxfId="1550" priority="3262" stopIfTrue="1" operator="notEqual">
      <formula>INDIRECT("Dummy_for_Comparison4!"&amp;ADDRESS(ROW(),COLUMN()))</formula>
    </cfRule>
  </conditionalFormatting>
  <conditionalFormatting sqref="C839">
    <cfRule type="cellIs" dxfId="1549" priority="3261" stopIfTrue="1" operator="notEqual">
      <formula>INDIRECT("Dummy_for_Comparison4!"&amp;ADDRESS(ROW(),COLUMN()))</formula>
    </cfRule>
  </conditionalFormatting>
  <conditionalFormatting sqref="C840">
    <cfRule type="cellIs" dxfId="1548" priority="3260" stopIfTrue="1" operator="notEqual">
      <formula>INDIRECT("Dummy_for_Comparison4!"&amp;ADDRESS(ROW(),COLUMN()))</formula>
    </cfRule>
  </conditionalFormatting>
  <conditionalFormatting sqref="C841">
    <cfRule type="cellIs" dxfId="1547" priority="3274" stopIfTrue="1" operator="notEqual">
      <formula>INDIRECT("Dummy_for_Comparison4!"&amp;ADDRESS(ROW(),COLUMN()))</formula>
    </cfRule>
  </conditionalFormatting>
  <conditionalFormatting sqref="C842">
    <cfRule type="cellIs" dxfId="1546" priority="3273" stopIfTrue="1" operator="notEqual">
      <formula>INDIRECT("Dummy_for_Comparison4!"&amp;ADDRESS(ROW(),COLUMN()))</formula>
    </cfRule>
  </conditionalFormatting>
  <conditionalFormatting sqref="C843">
    <cfRule type="cellIs" dxfId="1545" priority="3271" stopIfTrue="1" operator="notEqual">
      <formula>INDIRECT("Dummy_for_Comparison4!"&amp;ADDRESS(ROW(),COLUMN()))</formula>
    </cfRule>
  </conditionalFormatting>
  <conditionalFormatting sqref="G844">
    <cfRule type="cellIs" dxfId="1544" priority="3356" stopIfTrue="1" operator="notEqual">
      <formula>INDIRECT("Dummy_for_Comparison4!"&amp;ADDRESS(ROW(),COLUMN()))</formula>
    </cfRule>
  </conditionalFormatting>
  <conditionalFormatting sqref="K844">
    <cfRule type="cellIs" dxfId="1543" priority="1435" stopIfTrue="1" operator="notEqual">
      <formula>INDIRECT("Dummy_for_Comparison4!"&amp;ADDRESS(ROW(),COLUMN()))</formula>
    </cfRule>
  </conditionalFormatting>
  <conditionalFormatting sqref="M844:N844">
    <cfRule type="cellIs" dxfId="1542" priority="3359" stopIfTrue="1" operator="notEqual">
      <formula>INDIRECT("Dummy_for_Comparison4!"&amp;ADDRESS(ROW(),COLUMN()))</formula>
    </cfRule>
  </conditionalFormatting>
  <conditionalFormatting sqref="G845">
    <cfRule type="cellIs" dxfId="1541" priority="3353" stopIfTrue="1" operator="notEqual">
      <formula>INDIRECT("Dummy_for_Comparison4!"&amp;ADDRESS(ROW(),COLUMN()))</formula>
    </cfRule>
  </conditionalFormatting>
  <conditionalFormatting sqref="K845">
    <cfRule type="cellIs" dxfId="1540" priority="1434" stopIfTrue="1" operator="notEqual">
      <formula>INDIRECT("Dummy_for_Comparison4!"&amp;ADDRESS(ROW(),COLUMN()))</formula>
    </cfRule>
  </conditionalFormatting>
  <conditionalFormatting sqref="M845">
    <cfRule type="cellIs" dxfId="1539" priority="3354" stopIfTrue="1" operator="notEqual">
      <formula>INDIRECT("Dummy_for_Comparison4!"&amp;ADDRESS(ROW(),COLUMN()))</formula>
    </cfRule>
  </conditionalFormatting>
  <conditionalFormatting sqref="G846">
    <cfRule type="cellIs" dxfId="1538" priority="3350" stopIfTrue="1" operator="notEqual">
      <formula>INDIRECT("Dummy_for_Comparison4!"&amp;ADDRESS(ROW(),COLUMN()))</formula>
    </cfRule>
  </conditionalFormatting>
  <conditionalFormatting sqref="K846">
    <cfRule type="cellIs" dxfId="1537" priority="1433" stopIfTrue="1" operator="notEqual">
      <formula>INDIRECT("Dummy_for_Comparison4!"&amp;ADDRESS(ROW(),COLUMN()))</formula>
    </cfRule>
  </conditionalFormatting>
  <conditionalFormatting sqref="M846">
    <cfRule type="cellIs" dxfId="1536" priority="3351" stopIfTrue="1" operator="notEqual">
      <formula>INDIRECT("Dummy_for_Comparison4!"&amp;ADDRESS(ROW(),COLUMN()))</formula>
    </cfRule>
  </conditionalFormatting>
  <conditionalFormatting sqref="G847">
    <cfRule type="cellIs" dxfId="1535" priority="3347" stopIfTrue="1" operator="notEqual">
      <formula>INDIRECT("Dummy_for_Comparison4!"&amp;ADDRESS(ROW(),COLUMN()))</formula>
    </cfRule>
  </conditionalFormatting>
  <conditionalFormatting sqref="K847">
    <cfRule type="cellIs" dxfId="1534" priority="1432" stopIfTrue="1" operator="notEqual">
      <formula>INDIRECT("Dummy_for_Comparison4!"&amp;ADDRESS(ROW(),COLUMN()))</formula>
    </cfRule>
  </conditionalFormatting>
  <conditionalFormatting sqref="M847">
    <cfRule type="cellIs" dxfId="1533" priority="3348" stopIfTrue="1" operator="notEqual">
      <formula>INDIRECT("Dummy_for_Comparison4!"&amp;ADDRESS(ROW(),COLUMN()))</formula>
    </cfRule>
  </conditionalFormatting>
  <conditionalFormatting sqref="G848">
    <cfRule type="cellIs" dxfId="1532" priority="3344" stopIfTrue="1" operator="notEqual">
      <formula>INDIRECT("Dummy_for_Comparison4!"&amp;ADDRESS(ROW(),COLUMN()))</formula>
    </cfRule>
  </conditionalFormatting>
  <conditionalFormatting sqref="K848">
    <cfRule type="cellIs" dxfId="1531" priority="1431" stopIfTrue="1" operator="notEqual">
      <formula>INDIRECT("Dummy_for_Comparison4!"&amp;ADDRESS(ROW(),COLUMN()))</formula>
    </cfRule>
  </conditionalFormatting>
  <conditionalFormatting sqref="M848:N848">
    <cfRule type="cellIs" dxfId="1530" priority="3345" stopIfTrue="1" operator="notEqual">
      <formula>INDIRECT("Dummy_for_Comparison4!"&amp;ADDRESS(ROW(),COLUMN()))</formula>
    </cfRule>
  </conditionalFormatting>
  <conditionalFormatting sqref="G849">
    <cfRule type="cellIs" dxfId="1529" priority="3341" stopIfTrue="1" operator="notEqual">
      <formula>INDIRECT("Dummy_for_Comparison4!"&amp;ADDRESS(ROW(),COLUMN()))</formula>
    </cfRule>
  </conditionalFormatting>
  <conditionalFormatting sqref="K849">
    <cfRule type="cellIs" dxfId="1528" priority="1430" stopIfTrue="1" operator="notEqual">
      <formula>INDIRECT("Dummy_for_Comparison4!"&amp;ADDRESS(ROW(),COLUMN()))</formula>
    </cfRule>
  </conditionalFormatting>
  <conditionalFormatting sqref="M849:N849">
    <cfRule type="cellIs" dxfId="1527" priority="3342" stopIfTrue="1" operator="notEqual">
      <formula>INDIRECT("Dummy_for_Comparison4!"&amp;ADDRESS(ROW(),COLUMN()))</formula>
    </cfRule>
  </conditionalFormatting>
  <conditionalFormatting sqref="G850">
    <cfRule type="cellIs" dxfId="1526" priority="3338" stopIfTrue="1" operator="notEqual">
      <formula>INDIRECT("Dummy_for_Comparison4!"&amp;ADDRESS(ROW(),COLUMN()))</formula>
    </cfRule>
  </conditionalFormatting>
  <conditionalFormatting sqref="K850">
    <cfRule type="cellIs" dxfId="1525" priority="1429" stopIfTrue="1" operator="notEqual">
      <formula>INDIRECT("Dummy_for_Comparison4!"&amp;ADDRESS(ROW(),COLUMN()))</formula>
    </cfRule>
  </conditionalFormatting>
  <conditionalFormatting sqref="M850:N850">
    <cfRule type="cellIs" dxfId="1524" priority="3339" stopIfTrue="1" operator="notEqual">
      <formula>INDIRECT("Dummy_for_Comparison4!"&amp;ADDRESS(ROW(),COLUMN()))</formula>
    </cfRule>
  </conditionalFormatting>
  <conditionalFormatting sqref="G851">
    <cfRule type="cellIs" dxfId="1523" priority="3335" stopIfTrue="1" operator="notEqual">
      <formula>INDIRECT("Dummy_for_Comparison4!"&amp;ADDRESS(ROW(),COLUMN()))</formula>
    </cfRule>
  </conditionalFormatting>
  <conditionalFormatting sqref="K851">
    <cfRule type="cellIs" dxfId="1522" priority="1428" stopIfTrue="1" operator="notEqual">
      <formula>INDIRECT("Dummy_for_Comparison4!"&amp;ADDRESS(ROW(),COLUMN()))</formula>
    </cfRule>
  </conditionalFormatting>
  <conditionalFormatting sqref="M851:N851">
    <cfRule type="cellIs" dxfId="1521" priority="3336" stopIfTrue="1" operator="notEqual">
      <formula>INDIRECT("Dummy_for_Comparison4!"&amp;ADDRESS(ROW(),COLUMN()))</formula>
    </cfRule>
  </conditionalFormatting>
  <conditionalFormatting sqref="G852">
    <cfRule type="cellIs" dxfId="1520" priority="3326" stopIfTrue="1" operator="notEqual">
      <formula>INDIRECT("Dummy_for_Comparison4!"&amp;ADDRESS(ROW(),COLUMN()))</formula>
    </cfRule>
  </conditionalFormatting>
  <conditionalFormatting sqref="K852">
    <cfRule type="cellIs" dxfId="1519" priority="1427" stopIfTrue="1" operator="notEqual">
      <formula>INDIRECT("Dummy_for_Comparison4!"&amp;ADDRESS(ROW(),COLUMN()))</formula>
    </cfRule>
  </conditionalFormatting>
  <conditionalFormatting sqref="M852">
    <cfRule type="cellIs" dxfId="1518" priority="3327" stopIfTrue="1" operator="notEqual">
      <formula>INDIRECT("Dummy_for_Comparison4!"&amp;ADDRESS(ROW(),COLUMN()))</formula>
    </cfRule>
  </conditionalFormatting>
  <conditionalFormatting sqref="F853">
    <cfRule type="cellIs" dxfId="1517" priority="3281" stopIfTrue="1" operator="notEqual">
      <formula>INDIRECT("Dummy_for_Comparison4!"&amp;ADDRESS(ROW(),COLUMN()))</formula>
    </cfRule>
  </conditionalFormatting>
  <conditionalFormatting sqref="G853">
    <cfRule type="cellIs" dxfId="1516" priority="3323" stopIfTrue="1" operator="notEqual">
      <formula>INDIRECT("Dummy_for_Comparison4!"&amp;ADDRESS(ROW(),COLUMN()))</formula>
    </cfRule>
  </conditionalFormatting>
  <conditionalFormatting sqref="K853">
    <cfRule type="cellIs" dxfId="1515" priority="1426" stopIfTrue="1" operator="notEqual">
      <formula>INDIRECT("Dummy_for_Comparison4!"&amp;ADDRESS(ROW(),COLUMN()))</formula>
    </cfRule>
  </conditionalFormatting>
  <conditionalFormatting sqref="M853">
    <cfRule type="cellIs" dxfId="1514" priority="3324" stopIfTrue="1" operator="notEqual">
      <formula>INDIRECT("Dummy_for_Comparison4!"&amp;ADDRESS(ROW(),COLUMN()))</formula>
    </cfRule>
  </conditionalFormatting>
  <conditionalFormatting sqref="F854">
    <cfRule type="cellIs" dxfId="1513" priority="3280" stopIfTrue="1" operator="notEqual">
      <formula>INDIRECT("Dummy_for_Comparison4!"&amp;ADDRESS(ROW(),COLUMN()))</formula>
    </cfRule>
  </conditionalFormatting>
  <conditionalFormatting sqref="G854">
    <cfRule type="cellIs" dxfId="1512" priority="3320" stopIfTrue="1" operator="notEqual">
      <formula>INDIRECT("Dummy_for_Comparison4!"&amp;ADDRESS(ROW(),COLUMN()))</formula>
    </cfRule>
  </conditionalFormatting>
  <conditionalFormatting sqref="K854">
    <cfRule type="cellIs" dxfId="1511" priority="1425" stopIfTrue="1" operator="notEqual">
      <formula>INDIRECT("Dummy_for_Comparison4!"&amp;ADDRESS(ROW(),COLUMN()))</formula>
    </cfRule>
  </conditionalFormatting>
  <conditionalFormatting sqref="M854">
    <cfRule type="cellIs" dxfId="1510" priority="3321" stopIfTrue="1" operator="notEqual">
      <formula>INDIRECT("Dummy_for_Comparison4!"&amp;ADDRESS(ROW(),COLUMN()))</formula>
    </cfRule>
  </conditionalFormatting>
  <conditionalFormatting sqref="F855">
    <cfRule type="cellIs" dxfId="1509" priority="3278" stopIfTrue="1" operator="notEqual">
      <formula>INDIRECT("Dummy_for_Comparison4!"&amp;ADDRESS(ROW(),COLUMN()))</formula>
    </cfRule>
  </conditionalFormatting>
  <conditionalFormatting sqref="G855">
    <cfRule type="cellIs" dxfId="1508" priority="3314" stopIfTrue="1" operator="notEqual">
      <formula>INDIRECT("Dummy_for_Comparison4!"&amp;ADDRESS(ROW(),COLUMN()))</formula>
    </cfRule>
  </conditionalFormatting>
  <conditionalFormatting sqref="K855">
    <cfRule type="cellIs" dxfId="1507" priority="1424" stopIfTrue="1" operator="notEqual">
      <formula>INDIRECT("Dummy_for_Comparison4!"&amp;ADDRESS(ROW(),COLUMN()))</formula>
    </cfRule>
  </conditionalFormatting>
  <conditionalFormatting sqref="M855">
    <cfRule type="cellIs" dxfId="1506" priority="3315" stopIfTrue="1" operator="notEqual">
      <formula>INDIRECT("Dummy_for_Comparison4!"&amp;ADDRESS(ROW(),COLUMN()))</formula>
    </cfRule>
  </conditionalFormatting>
  <conditionalFormatting sqref="G856">
    <cfRule type="cellIs" dxfId="1505" priority="3311" stopIfTrue="1" operator="notEqual">
      <formula>INDIRECT("Dummy_for_Comparison4!"&amp;ADDRESS(ROW(),COLUMN()))</formula>
    </cfRule>
  </conditionalFormatting>
  <conditionalFormatting sqref="K856">
    <cfRule type="cellIs" dxfId="1504" priority="1423" stopIfTrue="1" operator="notEqual">
      <formula>INDIRECT("Dummy_for_Comparison4!"&amp;ADDRESS(ROW(),COLUMN()))</formula>
    </cfRule>
  </conditionalFormatting>
  <conditionalFormatting sqref="M856">
    <cfRule type="cellIs" dxfId="1503" priority="3312" stopIfTrue="1" operator="notEqual">
      <formula>INDIRECT("Dummy_for_Comparison4!"&amp;ADDRESS(ROW(),COLUMN()))</formula>
    </cfRule>
  </conditionalFormatting>
  <conditionalFormatting sqref="F857">
    <cfRule type="cellIs" dxfId="1502" priority="3285" stopIfTrue="1" operator="notEqual">
      <formula>INDIRECT("Dummy_for_Comparison4!"&amp;ADDRESS(ROW(),COLUMN()))</formula>
    </cfRule>
  </conditionalFormatting>
  <conditionalFormatting sqref="G857">
    <cfRule type="cellIs" dxfId="1501" priority="3308" stopIfTrue="1" operator="notEqual">
      <formula>INDIRECT("Dummy_for_Comparison4!"&amp;ADDRESS(ROW(),COLUMN()))</formula>
    </cfRule>
  </conditionalFormatting>
  <conditionalFormatting sqref="K857">
    <cfRule type="cellIs" dxfId="1500" priority="1422" stopIfTrue="1" operator="notEqual">
      <formula>INDIRECT("Dummy_for_Comparison4!"&amp;ADDRESS(ROW(),COLUMN()))</formula>
    </cfRule>
  </conditionalFormatting>
  <conditionalFormatting sqref="M857">
    <cfRule type="cellIs" dxfId="1499" priority="3309" stopIfTrue="1" operator="notEqual">
      <formula>INDIRECT("Dummy_for_Comparison4!"&amp;ADDRESS(ROW(),COLUMN()))</formula>
    </cfRule>
  </conditionalFormatting>
  <conditionalFormatting sqref="F858">
    <cfRule type="cellIs" dxfId="1498" priority="3284" stopIfTrue="1" operator="notEqual">
      <formula>INDIRECT("Dummy_for_Comparison4!"&amp;ADDRESS(ROW(),COLUMN()))</formula>
    </cfRule>
  </conditionalFormatting>
  <conditionalFormatting sqref="G858">
    <cfRule type="cellIs" dxfId="1497" priority="3305" stopIfTrue="1" operator="notEqual">
      <formula>INDIRECT("Dummy_for_Comparison4!"&amp;ADDRESS(ROW(),COLUMN()))</formula>
    </cfRule>
  </conditionalFormatting>
  <conditionalFormatting sqref="K858">
    <cfRule type="cellIs" dxfId="1496" priority="1421" stopIfTrue="1" operator="notEqual">
      <formula>INDIRECT("Dummy_for_Comparison4!"&amp;ADDRESS(ROW(),COLUMN()))</formula>
    </cfRule>
  </conditionalFormatting>
  <conditionalFormatting sqref="M858">
    <cfRule type="cellIs" dxfId="1495" priority="3306" stopIfTrue="1" operator="notEqual">
      <formula>INDIRECT("Dummy_for_Comparison4!"&amp;ADDRESS(ROW(),COLUMN()))</formula>
    </cfRule>
  </conditionalFormatting>
  <conditionalFormatting sqref="F859">
    <cfRule type="cellIs" dxfId="1494" priority="3282" stopIfTrue="1" operator="notEqual">
      <formula>INDIRECT("Dummy_for_Comparison4!"&amp;ADDRESS(ROW(),COLUMN()))</formula>
    </cfRule>
  </conditionalFormatting>
  <conditionalFormatting sqref="G859">
    <cfRule type="cellIs" dxfId="1493" priority="3302" stopIfTrue="1" operator="notEqual">
      <formula>INDIRECT("Dummy_for_Comparison4!"&amp;ADDRESS(ROW(),COLUMN()))</formula>
    </cfRule>
  </conditionalFormatting>
  <conditionalFormatting sqref="K859">
    <cfRule type="cellIs" dxfId="1492" priority="1420" stopIfTrue="1" operator="notEqual">
      <formula>INDIRECT("Dummy_for_Comparison4!"&amp;ADDRESS(ROW(),COLUMN()))</formula>
    </cfRule>
  </conditionalFormatting>
  <conditionalFormatting sqref="M859">
    <cfRule type="cellIs" dxfId="1491" priority="3303" stopIfTrue="1" operator="notEqual">
      <formula>INDIRECT("Dummy_for_Comparison4!"&amp;ADDRESS(ROW(),COLUMN()))</formula>
    </cfRule>
  </conditionalFormatting>
  <conditionalFormatting sqref="G860">
    <cfRule type="cellIs" dxfId="1490" priority="3299" stopIfTrue="1" operator="notEqual">
      <formula>INDIRECT("Dummy_for_Comparison4!"&amp;ADDRESS(ROW(),COLUMN()))</formula>
    </cfRule>
  </conditionalFormatting>
  <conditionalFormatting sqref="K860">
    <cfRule type="cellIs" dxfId="1489" priority="1419" stopIfTrue="1" operator="notEqual">
      <formula>INDIRECT("Dummy_for_Comparison4!"&amp;ADDRESS(ROW(),COLUMN()))</formula>
    </cfRule>
  </conditionalFormatting>
  <conditionalFormatting sqref="M860:N860">
    <cfRule type="cellIs" dxfId="1488" priority="3300" stopIfTrue="1" operator="notEqual">
      <formula>INDIRECT("Dummy_for_Comparison4!"&amp;ADDRESS(ROW(),COLUMN()))</formula>
    </cfRule>
  </conditionalFormatting>
  <conditionalFormatting sqref="AJ860">
    <cfRule type="cellIs" dxfId="1487" priority="3269" stopIfTrue="1" operator="notEqual">
      <formula>INDIRECT("Dummy_for_Comparison4!"&amp;ADDRESS(ROW(),COLUMN()))</formula>
    </cfRule>
  </conditionalFormatting>
  <conditionalFormatting sqref="G861">
    <cfRule type="cellIs" dxfId="1486" priority="3266" stopIfTrue="1" operator="notEqual">
      <formula>INDIRECT("Dummy_for_Comparison4!"&amp;ADDRESS(ROW(),COLUMN()))</formula>
    </cfRule>
  </conditionalFormatting>
  <conditionalFormatting sqref="K861">
    <cfRule type="cellIs" dxfId="1485" priority="1418" stopIfTrue="1" operator="notEqual">
      <formula>INDIRECT("Dummy_for_Comparison4!"&amp;ADDRESS(ROW(),COLUMN()))</formula>
    </cfRule>
  </conditionalFormatting>
  <conditionalFormatting sqref="M861:N861">
    <cfRule type="cellIs" dxfId="1484" priority="3267" stopIfTrue="1" operator="notEqual">
      <formula>INDIRECT("Dummy_for_Comparison4!"&amp;ADDRESS(ROW(),COLUMN()))</formula>
    </cfRule>
  </conditionalFormatting>
  <conditionalFormatting sqref="AJ861">
    <cfRule type="cellIs" dxfId="1483" priority="3265" stopIfTrue="1" operator="notEqual">
      <formula>INDIRECT("Dummy_for_Comparison4!"&amp;ADDRESS(ROW(),COLUMN()))</formula>
    </cfRule>
  </conditionalFormatting>
  <conditionalFormatting sqref="G862">
    <cfRule type="cellIs" dxfId="1482" priority="2853" stopIfTrue="1" operator="notEqual">
      <formula>INDIRECT("Dummy_for_Comparison4!"&amp;ADDRESS(ROW(),COLUMN()))</formula>
    </cfRule>
  </conditionalFormatting>
  <conditionalFormatting sqref="K862">
    <cfRule type="cellIs" dxfId="1481" priority="1416" stopIfTrue="1" operator="notEqual">
      <formula>INDIRECT("Dummy_for_Comparison4!"&amp;ADDRESS(ROW(),COLUMN()))</formula>
    </cfRule>
  </conditionalFormatting>
  <conditionalFormatting sqref="G863">
    <cfRule type="cellIs" dxfId="1480" priority="2852" stopIfTrue="1" operator="notEqual">
      <formula>INDIRECT("Dummy_for_Comparison4!"&amp;ADDRESS(ROW(),COLUMN()))</formula>
    </cfRule>
  </conditionalFormatting>
  <conditionalFormatting sqref="K863">
    <cfRule type="cellIs" dxfId="1479" priority="1415" stopIfTrue="1" operator="notEqual">
      <formula>INDIRECT("Dummy_for_Comparison4!"&amp;ADDRESS(ROW(),COLUMN()))</formula>
    </cfRule>
  </conditionalFormatting>
  <conditionalFormatting sqref="G864">
    <cfRule type="cellIs" dxfId="1478" priority="2851" stopIfTrue="1" operator="notEqual">
      <formula>INDIRECT("Dummy_for_Comparison4!"&amp;ADDRESS(ROW(),COLUMN()))</formula>
    </cfRule>
  </conditionalFormatting>
  <conditionalFormatting sqref="K864">
    <cfRule type="cellIs" dxfId="1477" priority="1414" stopIfTrue="1" operator="notEqual">
      <formula>INDIRECT("Dummy_for_Comparison4!"&amp;ADDRESS(ROW(),COLUMN()))</formula>
    </cfRule>
  </conditionalFormatting>
  <conditionalFormatting sqref="G865">
    <cfRule type="cellIs" dxfId="1476" priority="2850" stopIfTrue="1" operator="notEqual">
      <formula>INDIRECT("Dummy_for_Comparison4!"&amp;ADDRESS(ROW(),COLUMN()))</formula>
    </cfRule>
  </conditionalFormatting>
  <conditionalFormatting sqref="K865">
    <cfRule type="cellIs" dxfId="1475" priority="1413" stopIfTrue="1" operator="notEqual">
      <formula>INDIRECT("Dummy_for_Comparison4!"&amp;ADDRESS(ROW(),COLUMN()))</formula>
    </cfRule>
  </conditionalFormatting>
  <conditionalFormatting sqref="G866">
    <cfRule type="cellIs" dxfId="1474" priority="2849" stopIfTrue="1" operator="notEqual">
      <formula>INDIRECT("Dummy_for_Comparison4!"&amp;ADDRESS(ROW(),COLUMN()))</formula>
    </cfRule>
  </conditionalFormatting>
  <conditionalFormatting sqref="K866">
    <cfRule type="cellIs" dxfId="1473" priority="1412" stopIfTrue="1" operator="notEqual">
      <formula>INDIRECT("Dummy_for_Comparison4!"&amp;ADDRESS(ROW(),COLUMN()))</formula>
    </cfRule>
  </conditionalFormatting>
  <conditionalFormatting sqref="G867">
    <cfRule type="cellIs" dxfId="1472" priority="2848" stopIfTrue="1" operator="notEqual">
      <formula>INDIRECT("Dummy_for_Comparison4!"&amp;ADDRESS(ROW(),COLUMN()))</formula>
    </cfRule>
  </conditionalFormatting>
  <conditionalFormatting sqref="K867">
    <cfRule type="cellIs" dxfId="1471" priority="1411" stopIfTrue="1" operator="notEqual">
      <formula>INDIRECT("Dummy_for_Comparison4!"&amp;ADDRESS(ROW(),COLUMN()))</formula>
    </cfRule>
  </conditionalFormatting>
  <conditionalFormatting sqref="G868">
    <cfRule type="cellIs" dxfId="1470" priority="2847" stopIfTrue="1" operator="notEqual">
      <formula>INDIRECT("Dummy_for_Comparison4!"&amp;ADDRESS(ROW(),COLUMN()))</formula>
    </cfRule>
  </conditionalFormatting>
  <conditionalFormatting sqref="K868">
    <cfRule type="cellIs" dxfId="1469" priority="1410" stopIfTrue="1" operator="notEqual">
      <formula>INDIRECT("Dummy_for_Comparison4!"&amp;ADDRESS(ROW(),COLUMN()))</formula>
    </cfRule>
  </conditionalFormatting>
  <conditionalFormatting sqref="G869">
    <cfRule type="cellIs" dxfId="1468" priority="2846" stopIfTrue="1" operator="notEqual">
      <formula>INDIRECT("Dummy_for_Comparison4!"&amp;ADDRESS(ROW(),COLUMN()))</formula>
    </cfRule>
  </conditionalFormatting>
  <conditionalFormatting sqref="K869">
    <cfRule type="cellIs" dxfId="1467" priority="1409" stopIfTrue="1" operator="notEqual">
      <formula>INDIRECT("Dummy_for_Comparison4!"&amp;ADDRESS(ROW(),COLUMN()))</formula>
    </cfRule>
  </conditionalFormatting>
  <conditionalFormatting sqref="G870">
    <cfRule type="cellIs" dxfId="1466" priority="2845" stopIfTrue="1" operator="notEqual">
      <formula>INDIRECT("Dummy_for_Comparison4!"&amp;ADDRESS(ROW(),COLUMN()))</formula>
    </cfRule>
  </conditionalFormatting>
  <conditionalFormatting sqref="K870">
    <cfRule type="cellIs" dxfId="1465" priority="1408" stopIfTrue="1" operator="notEqual">
      <formula>INDIRECT("Dummy_for_Comparison4!"&amp;ADDRESS(ROW(),COLUMN()))</formula>
    </cfRule>
  </conditionalFormatting>
  <conditionalFormatting sqref="G871">
    <cfRule type="cellIs" dxfId="1464" priority="2844" stopIfTrue="1" operator="notEqual">
      <formula>INDIRECT("Dummy_for_Comparison4!"&amp;ADDRESS(ROW(),COLUMN()))</formula>
    </cfRule>
  </conditionalFormatting>
  <conditionalFormatting sqref="K871">
    <cfRule type="cellIs" dxfId="1463" priority="1407" stopIfTrue="1" operator="notEqual">
      <formula>INDIRECT("Dummy_for_Comparison4!"&amp;ADDRESS(ROW(),COLUMN()))</formula>
    </cfRule>
  </conditionalFormatting>
  <conditionalFormatting sqref="G872">
    <cfRule type="cellIs" dxfId="1462" priority="2843" stopIfTrue="1" operator="notEqual">
      <formula>INDIRECT("Dummy_for_Comparison4!"&amp;ADDRESS(ROW(),COLUMN()))</formula>
    </cfRule>
  </conditionalFormatting>
  <conditionalFormatting sqref="K872">
    <cfRule type="cellIs" dxfId="1461" priority="1406" stopIfTrue="1" operator="notEqual">
      <formula>INDIRECT("Dummy_for_Comparison4!"&amp;ADDRESS(ROW(),COLUMN()))</formula>
    </cfRule>
  </conditionalFormatting>
  <conditionalFormatting sqref="G873">
    <cfRule type="cellIs" dxfId="1460" priority="2842" stopIfTrue="1" operator="notEqual">
      <formula>INDIRECT("Dummy_for_Comparison4!"&amp;ADDRESS(ROW(),COLUMN()))</formula>
    </cfRule>
  </conditionalFormatting>
  <conditionalFormatting sqref="K873">
    <cfRule type="cellIs" dxfId="1459" priority="1405" stopIfTrue="1" operator="notEqual">
      <formula>INDIRECT("Dummy_for_Comparison4!"&amp;ADDRESS(ROW(),COLUMN()))</formula>
    </cfRule>
  </conditionalFormatting>
  <conditionalFormatting sqref="G874">
    <cfRule type="cellIs" dxfId="1458" priority="2841" stopIfTrue="1" operator="notEqual">
      <formula>INDIRECT("Dummy_for_Comparison4!"&amp;ADDRESS(ROW(),COLUMN()))</formula>
    </cfRule>
  </conditionalFormatting>
  <conditionalFormatting sqref="K874">
    <cfRule type="cellIs" dxfId="1457" priority="1404" stopIfTrue="1" operator="notEqual">
      <formula>INDIRECT("Dummy_for_Comparison4!"&amp;ADDRESS(ROW(),COLUMN()))</formula>
    </cfRule>
  </conditionalFormatting>
  <conditionalFormatting sqref="G875">
    <cfRule type="cellIs" dxfId="1456" priority="2840" stopIfTrue="1" operator="notEqual">
      <formula>INDIRECT("Dummy_for_Comparison4!"&amp;ADDRESS(ROW(),COLUMN()))</formula>
    </cfRule>
  </conditionalFormatting>
  <conditionalFormatting sqref="K875">
    <cfRule type="cellIs" dxfId="1455" priority="1403" stopIfTrue="1" operator="notEqual">
      <formula>INDIRECT("Dummy_for_Comparison4!"&amp;ADDRESS(ROW(),COLUMN()))</formula>
    </cfRule>
  </conditionalFormatting>
  <conditionalFormatting sqref="G876">
    <cfRule type="cellIs" dxfId="1454" priority="2839" stopIfTrue="1" operator="notEqual">
      <formula>INDIRECT("Dummy_for_Comparison4!"&amp;ADDRESS(ROW(),COLUMN()))</formula>
    </cfRule>
  </conditionalFormatting>
  <conditionalFormatting sqref="K876">
    <cfRule type="cellIs" dxfId="1453" priority="1402" stopIfTrue="1" operator="notEqual">
      <formula>INDIRECT("Dummy_for_Comparison4!"&amp;ADDRESS(ROW(),COLUMN()))</formula>
    </cfRule>
  </conditionalFormatting>
  <conditionalFormatting sqref="C877">
    <cfRule type="cellIs" dxfId="1452" priority="622" stopIfTrue="1" operator="notEqual">
      <formula>INDIRECT("Dummy_for_Comparison4!"&amp;ADDRESS(ROW(),COLUMN()))</formula>
    </cfRule>
  </conditionalFormatting>
  <conditionalFormatting sqref="E877">
    <cfRule type="cellIs" dxfId="1451" priority="621" stopIfTrue="1" operator="notEqual">
      <formula>INDIRECT("Dummy_for_Comparison4!"&amp;ADDRESS(ROW(),COLUMN()))</formula>
    </cfRule>
  </conditionalFormatting>
  <conditionalFormatting sqref="G877">
    <cfRule type="cellIs" dxfId="1450" priority="624" stopIfTrue="1" operator="notEqual">
      <formula>INDIRECT("Dummy_for_Comparison4!"&amp;ADDRESS(ROW(),COLUMN()))</formula>
    </cfRule>
  </conditionalFormatting>
  <conditionalFormatting sqref="K877">
    <cfRule type="cellIs" dxfId="1449" priority="623" stopIfTrue="1" operator="notEqual">
      <formula>INDIRECT("Dummy_for_Comparison4!"&amp;ADDRESS(ROW(),COLUMN()))</formula>
    </cfRule>
  </conditionalFormatting>
  <conditionalFormatting sqref="O877">
    <cfRule type="cellIs" dxfId="1448" priority="620" stopIfTrue="1" operator="notEqual">
      <formula>INDIRECT("Dummy_for_Comparison4!"&amp;ADDRESS(ROW(),COLUMN()))</formula>
    </cfRule>
  </conditionalFormatting>
  <conditionalFormatting sqref="C878">
    <cfRule type="cellIs" dxfId="1447" priority="616" stopIfTrue="1" operator="notEqual">
      <formula>INDIRECT("Dummy_for_Comparison4!"&amp;ADDRESS(ROW(),COLUMN()))</formula>
    </cfRule>
  </conditionalFormatting>
  <conditionalFormatting sqref="E878">
    <cfRule type="cellIs" dxfId="1446" priority="615" stopIfTrue="1" operator="notEqual">
      <formula>INDIRECT("Dummy_for_Comparison4!"&amp;ADDRESS(ROW(),COLUMN()))</formula>
    </cfRule>
  </conditionalFormatting>
  <conditionalFormatting sqref="G878">
    <cfRule type="cellIs" dxfId="1445" priority="618" stopIfTrue="1" operator="notEqual">
      <formula>INDIRECT("Dummy_for_Comparison4!"&amp;ADDRESS(ROW(),COLUMN()))</formula>
    </cfRule>
  </conditionalFormatting>
  <conditionalFormatting sqref="K878">
    <cfRule type="cellIs" dxfId="1444" priority="617" stopIfTrue="1" operator="notEqual">
      <formula>INDIRECT("Dummy_for_Comparison4!"&amp;ADDRESS(ROW(),COLUMN()))</formula>
    </cfRule>
  </conditionalFormatting>
  <conditionalFormatting sqref="O878">
    <cfRule type="cellIs" dxfId="1443" priority="614" stopIfTrue="1" operator="notEqual">
      <formula>INDIRECT("Dummy_for_Comparison4!"&amp;ADDRESS(ROW(),COLUMN()))</formula>
    </cfRule>
  </conditionalFormatting>
  <conditionalFormatting sqref="C879">
    <cfRule type="cellIs" dxfId="1442" priority="610" stopIfTrue="1" operator="notEqual">
      <formula>INDIRECT("Dummy_for_Comparison4!"&amp;ADDRESS(ROW(),COLUMN()))</formula>
    </cfRule>
  </conditionalFormatting>
  <conditionalFormatting sqref="E879">
    <cfRule type="cellIs" dxfId="1441" priority="609" stopIfTrue="1" operator="notEqual">
      <formula>INDIRECT("Dummy_for_Comparison4!"&amp;ADDRESS(ROW(),COLUMN()))</formula>
    </cfRule>
  </conditionalFormatting>
  <conditionalFormatting sqref="G879">
    <cfRule type="cellIs" dxfId="1440" priority="612" stopIfTrue="1" operator="notEqual">
      <formula>INDIRECT("Dummy_for_Comparison4!"&amp;ADDRESS(ROW(),COLUMN()))</formula>
    </cfRule>
  </conditionalFormatting>
  <conditionalFormatting sqref="K879">
    <cfRule type="cellIs" dxfId="1439" priority="611" stopIfTrue="1" operator="notEqual">
      <formula>INDIRECT("Dummy_for_Comparison4!"&amp;ADDRESS(ROW(),COLUMN()))</formula>
    </cfRule>
  </conditionalFormatting>
  <conditionalFormatting sqref="O879">
    <cfRule type="cellIs" dxfId="1438" priority="608" stopIfTrue="1" operator="notEqual">
      <formula>INDIRECT("Dummy_for_Comparison4!"&amp;ADDRESS(ROW(),COLUMN()))</formula>
    </cfRule>
  </conditionalFormatting>
  <conditionalFormatting sqref="C880">
    <cfRule type="cellIs" dxfId="1437" priority="604" stopIfTrue="1" operator="notEqual">
      <formula>INDIRECT("Dummy_for_Comparison4!"&amp;ADDRESS(ROW(),COLUMN()))</formula>
    </cfRule>
  </conditionalFormatting>
  <conditionalFormatting sqref="E880">
    <cfRule type="cellIs" dxfId="1436" priority="603" stopIfTrue="1" operator="notEqual">
      <formula>INDIRECT("Dummy_for_Comparison4!"&amp;ADDRESS(ROW(),COLUMN()))</formula>
    </cfRule>
  </conditionalFormatting>
  <conditionalFormatting sqref="G880">
    <cfRule type="cellIs" dxfId="1435" priority="606" stopIfTrue="1" operator="notEqual">
      <formula>INDIRECT("Dummy_for_Comparison4!"&amp;ADDRESS(ROW(),COLUMN()))</formula>
    </cfRule>
  </conditionalFormatting>
  <conditionalFormatting sqref="K880">
    <cfRule type="cellIs" dxfId="1434" priority="605" stopIfTrue="1" operator="notEqual">
      <formula>INDIRECT("Dummy_for_Comparison4!"&amp;ADDRESS(ROW(),COLUMN()))</formula>
    </cfRule>
  </conditionalFormatting>
  <conditionalFormatting sqref="O880">
    <cfRule type="cellIs" dxfId="1433" priority="602" stopIfTrue="1" operator="notEqual">
      <formula>INDIRECT("Dummy_for_Comparison4!"&amp;ADDRESS(ROW(),COLUMN()))</formula>
    </cfRule>
  </conditionalFormatting>
  <conditionalFormatting sqref="C881">
    <cfRule type="cellIs" dxfId="1432" priority="598" stopIfTrue="1" operator="notEqual">
      <formula>INDIRECT("Dummy_for_Comparison4!"&amp;ADDRESS(ROW(),COLUMN()))</formula>
    </cfRule>
  </conditionalFormatting>
  <conditionalFormatting sqref="E881">
    <cfRule type="cellIs" dxfId="1431" priority="597" stopIfTrue="1" operator="notEqual">
      <formula>INDIRECT("Dummy_for_Comparison4!"&amp;ADDRESS(ROW(),COLUMN()))</formula>
    </cfRule>
  </conditionalFormatting>
  <conditionalFormatting sqref="G881">
    <cfRule type="cellIs" dxfId="1430" priority="600" stopIfTrue="1" operator="notEqual">
      <formula>INDIRECT("Dummy_for_Comparison4!"&amp;ADDRESS(ROW(),COLUMN()))</formula>
    </cfRule>
  </conditionalFormatting>
  <conditionalFormatting sqref="K881">
    <cfRule type="cellIs" dxfId="1429" priority="599" stopIfTrue="1" operator="notEqual">
      <formula>INDIRECT("Dummy_for_Comparison4!"&amp;ADDRESS(ROW(),COLUMN()))</formula>
    </cfRule>
  </conditionalFormatting>
  <conditionalFormatting sqref="O881">
    <cfRule type="cellIs" dxfId="1428" priority="596" stopIfTrue="1" operator="notEqual">
      <formula>INDIRECT("Dummy_for_Comparison4!"&amp;ADDRESS(ROW(),COLUMN()))</formula>
    </cfRule>
  </conditionalFormatting>
  <conditionalFormatting sqref="C882">
    <cfRule type="cellIs" dxfId="1427" priority="592" stopIfTrue="1" operator="notEqual">
      <formula>INDIRECT("Dummy_for_Comparison4!"&amp;ADDRESS(ROW(),COLUMN()))</formula>
    </cfRule>
  </conditionalFormatting>
  <conditionalFormatting sqref="E882">
    <cfRule type="cellIs" dxfId="1426" priority="591" stopIfTrue="1" operator="notEqual">
      <formula>INDIRECT("Dummy_for_Comparison4!"&amp;ADDRESS(ROW(),COLUMN()))</formula>
    </cfRule>
  </conditionalFormatting>
  <conditionalFormatting sqref="G882">
    <cfRule type="cellIs" dxfId="1425" priority="594" stopIfTrue="1" operator="notEqual">
      <formula>INDIRECT("Dummy_for_Comparison4!"&amp;ADDRESS(ROW(),COLUMN()))</formula>
    </cfRule>
  </conditionalFormatting>
  <conditionalFormatting sqref="K882">
    <cfRule type="cellIs" dxfId="1424" priority="593" stopIfTrue="1" operator="notEqual">
      <formula>INDIRECT("Dummy_for_Comparison4!"&amp;ADDRESS(ROW(),COLUMN()))</formula>
    </cfRule>
  </conditionalFormatting>
  <conditionalFormatting sqref="O882">
    <cfRule type="cellIs" dxfId="1423" priority="590" stopIfTrue="1" operator="notEqual">
      <formula>INDIRECT("Dummy_for_Comparison4!"&amp;ADDRESS(ROW(),COLUMN()))</formula>
    </cfRule>
  </conditionalFormatting>
  <conditionalFormatting sqref="C883">
    <cfRule type="cellIs" dxfId="1422" priority="586" stopIfTrue="1" operator="notEqual">
      <formula>INDIRECT("Dummy_for_Comparison4!"&amp;ADDRESS(ROW(),COLUMN()))</formula>
    </cfRule>
  </conditionalFormatting>
  <conditionalFormatting sqref="E883">
    <cfRule type="cellIs" dxfId="1421" priority="585" stopIfTrue="1" operator="notEqual">
      <formula>INDIRECT("Dummy_for_Comparison4!"&amp;ADDRESS(ROW(),COLUMN()))</formula>
    </cfRule>
  </conditionalFormatting>
  <conditionalFormatting sqref="G883">
    <cfRule type="cellIs" dxfId="1420" priority="588" stopIfTrue="1" operator="notEqual">
      <formula>INDIRECT("Dummy_for_Comparison4!"&amp;ADDRESS(ROW(),COLUMN()))</formula>
    </cfRule>
  </conditionalFormatting>
  <conditionalFormatting sqref="K883">
    <cfRule type="cellIs" dxfId="1419" priority="587" stopIfTrue="1" operator="notEqual">
      <formula>INDIRECT("Dummy_for_Comparison4!"&amp;ADDRESS(ROW(),COLUMN()))</formula>
    </cfRule>
  </conditionalFormatting>
  <conditionalFormatting sqref="O883">
    <cfRule type="cellIs" dxfId="1418" priority="584" stopIfTrue="1" operator="notEqual">
      <formula>INDIRECT("Dummy_for_Comparison4!"&amp;ADDRESS(ROW(),COLUMN()))</formula>
    </cfRule>
  </conditionalFormatting>
  <conditionalFormatting sqref="C884">
    <cfRule type="cellIs" dxfId="1417" priority="580" stopIfTrue="1" operator="notEqual">
      <formula>INDIRECT("Dummy_for_Comparison4!"&amp;ADDRESS(ROW(),COLUMN()))</formula>
    </cfRule>
  </conditionalFormatting>
  <conditionalFormatting sqref="E884">
    <cfRule type="cellIs" dxfId="1416" priority="579" stopIfTrue="1" operator="notEqual">
      <formula>INDIRECT("Dummy_for_Comparison4!"&amp;ADDRESS(ROW(),COLUMN()))</formula>
    </cfRule>
  </conditionalFormatting>
  <conditionalFormatting sqref="G884">
    <cfRule type="cellIs" dxfId="1415" priority="582" stopIfTrue="1" operator="notEqual">
      <formula>INDIRECT("Dummy_for_Comparison4!"&amp;ADDRESS(ROW(),COLUMN()))</formula>
    </cfRule>
  </conditionalFormatting>
  <conditionalFormatting sqref="K884">
    <cfRule type="cellIs" dxfId="1414" priority="581" stopIfTrue="1" operator="notEqual">
      <formula>INDIRECT("Dummy_for_Comparison4!"&amp;ADDRESS(ROW(),COLUMN()))</formula>
    </cfRule>
  </conditionalFormatting>
  <conditionalFormatting sqref="O884">
    <cfRule type="cellIs" dxfId="1413" priority="578" stopIfTrue="1" operator="notEqual">
      <formula>INDIRECT("Dummy_for_Comparison4!"&amp;ADDRESS(ROW(),COLUMN()))</formula>
    </cfRule>
  </conditionalFormatting>
  <conditionalFormatting sqref="G885">
    <cfRule type="cellIs" dxfId="1412" priority="2838" stopIfTrue="1" operator="notEqual">
      <formula>INDIRECT("Dummy_for_Comparison4!"&amp;ADDRESS(ROW(),COLUMN()))</formula>
    </cfRule>
  </conditionalFormatting>
  <conditionalFormatting sqref="K885">
    <cfRule type="cellIs" dxfId="1411" priority="1401" stopIfTrue="1" operator="notEqual">
      <formula>INDIRECT("Dummy_for_Comparison4!"&amp;ADDRESS(ROW(),COLUMN()))</formula>
    </cfRule>
  </conditionalFormatting>
  <conditionalFormatting sqref="G886">
    <cfRule type="cellIs" dxfId="1410" priority="2837" stopIfTrue="1" operator="notEqual">
      <formula>INDIRECT("Dummy_for_Comparison4!"&amp;ADDRESS(ROW(),COLUMN()))</formula>
    </cfRule>
  </conditionalFormatting>
  <conditionalFormatting sqref="K886">
    <cfRule type="cellIs" dxfId="1409" priority="1400" stopIfTrue="1" operator="notEqual">
      <formula>INDIRECT("Dummy_for_Comparison4!"&amp;ADDRESS(ROW(),COLUMN()))</formula>
    </cfRule>
  </conditionalFormatting>
  <conditionalFormatting sqref="G887">
    <cfRule type="cellIs" dxfId="1408" priority="2836" stopIfTrue="1" operator="notEqual">
      <formula>INDIRECT("Dummy_for_Comparison4!"&amp;ADDRESS(ROW(),COLUMN()))</formula>
    </cfRule>
  </conditionalFormatting>
  <conditionalFormatting sqref="K887">
    <cfRule type="cellIs" dxfId="1407" priority="1399" stopIfTrue="1" operator="notEqual">
      <formula>INDIRECT("Dummy_for_Comparison4!"&amp;ADDRESS(ROW(),COLUMN()))</formula>
    </cfRule>
  </conditionalFormatting>
  <conditionalFormatting sqref="G888">
    <cfRule type="cellIs" dxfId="1406" priority="2835" stopIfTrue="1" operator="notEqual">
      <formula>INDIRECT("Dummy_for_Comparison4!"&amp;ADDRESS(ROW(),COLUMN()))</formula>
    </cfRule>
  </conditionalFormatting>
  <conditionalFormatting sqref="K888">
    <cfRule type="cellIs" dxfId="1405" priority="1398" stopIfTrue="1" operator="notEqual">
      <formula>INDIRECT("Dummy_for_Comparison4!"&amp;ADDRESS(ROW(),COLUMN()))</formula>
    </cfRule>
  </conditionalFormatting>
  <conditionalFormatting sqref="G889">
    <cfRule type="cellIs" dxfId="1404" priority="2834" stopIfTrue="1" operator="notEqual">
      <formula>INDIRECT("Dummy_for_Comparison4!"&amp;ADDRESS(ROW(),COLUMN()))</formula>
    </cfRule>
  </conditionalFormatting>
  <conditionalFormatting sqref="K889">
    <cfRule type="cellIs" dxfId="1403" priority="1397" stopIfTrue="1" operator="notEqual">
      <formula>INDIRECT("Dummy_for_Comparison4!"&amp;ADDRESS(ROW(),COLUMN()))</formula>
    </cfRule>
  </conditionalFormatting>
  <conditionalFormatting sqref="G890">
    <cfRule type="cellIs" dxfId="1402" priority="2833" stopIfTrue="1" operator="notEqual">
      <formula>INDIRECT("Dummy_for_Comparison4!"&amp;ADDRESS(ROW(),COLUMN()))</formula>
    </cfRule>
  </conditionalFormatting>
  <conditionalFormatting sqref="K890">
    <cfRule type="cellIs" dxfId="1401" priority="1396" stopIfTrue="1" operator="notEqual">
      <formula>INDIRECT("Dummy_for_Comparison4!"&amp;ADDRESS(ROW(),COLUMN()))</formula>
    </cfRule>
  </conditionalFormatting>
  <conditionalFormatting sqref="G891">
    <cfRule type="cellIs" dxfId="1400" priority="2832" stopIfTrue="1" operator="notEqual">
      <formula>INDIRECT("Dummy_for_Comparison4!"&amp;ADDRESS(ROW(),COLUMN()))</formula>
    </cfRule>
  </conditionalFormatting>
  <conditionalFormatting sqref="K891">
    <cfRule type="cellIs" dxfId="1399" priority="1395" stopIfTrue="1" operator="notEqual">
      <formula>INDIRECT("Dummy_for_Comparison4!"&amp;ADDRESS(ROW(),COLUMN()))</formula>
    </cfRule>
  </conditionalFormatting>
  <conditionalFormatting sqref="G892">
    <cfRule type="cellIs" dxfId="1398" priority="2831" stopIfTrue="1" operator="notEqual">
      <formula>INDIRECT("Dummy_for_Comparison4!"&amp;ADDRESS(ROW(),COLUMN()))</formula>
    </cfRule>
  </conditionalFormatting>
  <conditionalFormatting sqref="K892">
    <cfRule type="cellIs" dxfId="1397" priority="1394" stopIfTrue="1" operator="notEqual">
      <formula>INDIRECT("Dummy_for_Comparison4!"&amp;ADDRESS(ROW(),COLUMN()))</formula>
    </cfRule>
  </conditionalFormatting>
  <conditionalFormatting sqref="G893">
    <cfRule type="cellIs" dxfId="1396" priority="2830" stopIfTrue="1" operator="notEqual">
      <formula>INDIRECT("Dummy_for_Comparison4!"&amp;ADDRESS(ROW(),COLUMN()))</formula>
    </cfRule>
  </conditionalFormatting>
  <conditionalFormatting sqref="K893">
    <cfRule type="cellIs" dxfId="1395" priority="1393" stopIfTrue="1" operator="notEqual">
      <formula>INDIRECT("Dummy_for_Comparison4!"&amp;ADDRESS(ROW(),COLUMN()))</formula>
    </cfRule>
  </conditionalFormatting>
  <conditionalFormatting sqref="G894">
    <cfRule type="cellIs" dxfId="1394" priority="2829" stopIfTrue="1" operator="notEqual">
      <formula>INDIRECT("Dummy_for_Comparison4!"&amp;ADDRESS(ROW(),COLUMN()))</formula>
    </cfRule>
  </conditionalFormatting>
  <conditionalFormatting sqref="K894">
    <cfRule type="cellIs" dxfId="1393" priority="1392" stopIfTrue="1" operator="notEqual">
      <formula>INDIRECT("Dummy_for_Comparison4!"&amp;ADDRESS(ROW(),COLUMN()))</formula>
    </cfRule>
  </conditionalFormatting>
  <conditionalFormatting sqref="G895">
    <cfRule type="cellIs" dxfId="1392" priority="2828" stopIfTrue="1" operator="notEqual">
      <formula>INDIRECT("Dummy_for_Comparison4!"&amp;ADDRESS(ROW(),COLUMN()))</formula>
    </cfRule>
  </conditionalFormatting>
  <conditionalFormatting sqref="K895">
    <cfRule type="cellIs" dxfId="1391" priority="1391" stopIfTrue="1" operator="notEqual">
      <formula>INDIRECT("Dummy_for_Comparison4!"&amp;ADDRESS(ROW(),COLUMN()))</formula>
    </cfRule>
  </conditionalFormatting>
  <conditionalFormatting sqref="G896">
    <cfRule type="cellIs" dxfId="1390" priority="2827" stopIfTrue="1" operator="notEqual">
      <formula>INDIRECT("Dummy_for_Comparison4!"&amp;ADDRESS(ROW(),COLUMN()))</formula>
    </cfRule>
  </conditionalFormatting>
  <conditionalFormatting sqref="K896">
    <cfRule type="cellIs" dxfId="1389" priority="1390" stopIfTrue="1" operator="notEqual">
      <formula>INDIRECT("Dummy_for_Comparison4!"&amp;ADDRESS(ROW(),COLUMN()))</formula>
    </cfRule>
  </conditionalFormatting>
  <conditionalFormatting sqref="G899">
    <cfRule type="cellIs" dxfId="1388" priority="1648" stopIfTrue="1" operator="notEqual">
      <formula>INDIRECT("Dummy_for_Comparison4!"&amp;ADDRESS(ROW(),COLUMN()))</formula>
    </cfRule>
  </conditionalFormatting>
  <conditionalFormatting sqref="K899">
    <cfRule type="cellIs" dxfId="1387" priority="1316" stopIfTrue="1" operator="notEqual">
      <formula>INDIRECT("Dummy_for_Comparison4!"&amp;ADDRESS(ROW(),COLUMN()))</formula>
    </cfRule>
  </conditionalFormatting>
  <conditionalFormatting sqref="G900">
    <cfRule type="cellIs" dxfId="1386" priority="1598" stopIfTrue="1" operator="notEqual">
      <formula>INDIRECT("Dummy_for_Comparison4!"&amp;ADDRESS(ROW(),COLUMN()))</formula>
    </cfRule>
  </conditionalFormatting>
  <conditionalFormatting sqref="K900">
    <cfRule type="cellIs" dxfId="1385" priority="1307" stopIfTrue="1" operator="notEqual">
      <formula>INDIRECT("Dummy_for_Comparison4!"&amp;ADDRESS(ROW(),COLUMN()))</formula>
    </cfRule>
  </conditionalFormatting>
  <conditionalFormatting sqref="D902">
    <cfRule type="cellIs" dxfId="1384" priority="1607" stopIfTrue="1" operator="notEqual">
      <formula>INDIRECT("Dummy_for_Comparison4!"&amp;ADDRESS(ROW(),COLUMN()))</formula>
    </cfRule>
  </conditionalFormatting>
  <conditionalFormatting sqref="D903">
    <cfRule type="cellIs" dxfId="1383" priority="1606" stopIfTrue="1" operator="notEqual">
      <formula>INDIRECT("Dummy_for_Comparison4!"&amp;ADDRESS(ROW(),COLUMN()))</formula>
    </cfRule>
  </conditionalFormatting>
  <conditionalFormatting sqref="O908">
    <cfRule type="cellIs" dxfId="1382" priority="1582" stopIfTrue="1" operator="notEqual">
      <formula>INDIRECT("Dummy_for_Comparison4!"&amp;ADDRESS(ROW(),COLUMN()))</formula>
    </cfRule>
  </conditionalFormatting>
  <conditionalFormatting sqref="C910:E910">
    <cfRule type="cellIs" dxfId="1381" priority="1618" stopIfTrue="1" operator="notEqual">
      <formula>INDIRECT("Dummy_for_Comparison4!"&amp;ADDRESS(ROW(),COLUMN()))</formula>
    </cfRule>
  </conditionalFormatting>
  <conditionalFormatting sqref="C911:E911">
    <cfRule type="cellIs" dxfId="1380" priority="1617" stopIfTrue="1" operator="notEqual">
      <formula>INDIRECT("Dummy_for_Comparison4!"&amp;ADDRESS(ROW(),COLUMN()))</formula>
    </cfRule>
  </conditionalFormatting>
  <conditionalFormatting sqref="C912:E912">
    <cfRule type="cellIs" dxfId="1379" priority="1615" stopIfTrue="1" operator="notEqual">
      <formula>INDIRECT("Dummy_for_Comparison4!"&amp;ADDRESS(ROW(),COLUMN()))</formula>
    </cfRule>
  </conditionalFormatting>
  <conditionalFormatting sqref="G912">
    <cfRule type="cellIs" dxfId="1378" priority="1609" stopIfTrue="1" operator="notEqual">
      <formula>INDIRECT("Dummy_for_Comparison4!"&amp;ADDRESS(ROW(),COLUMN()))</formula>
    </cfRule>
  </conditionalFormatting>
  <conditionalFormatting sqref="H912:J912">
    <cfRule type="cellIs" dxfId="1377" priority="1613" stopIfTrue="1" operator="notEqual">
      <formula>INDIRECT("Dummy_for_Comparison4!"&amp;ADDRESS(ROW(),COLUMN()))</formula>
    </cfRule>
  </conditionalFormatting>
  <conditionalFormatting sqref="O912">
    <cfRule type="cellIs" dxfId="1376" priority="1616" stopIfTrue="1" operator="notEqual">
      <formula>INDIRECT("Dummy_for_Comparison4!"&amp;ADDRESS(ROW(),COLUMN()))</formula>
    </cfRule>
  </conditionalFormatting>
  <conditionalFormatting sqref="G916">
    <cfRule type="cellIs" dxfId="1375" priority="1635" stopIfTrue="1" operator="notEqual">
      <formula>INDIRECT("Dummy_for_Comparison4!"&amp;ADDRESS(ROW(),COLUMN()))</formula>
    </cfRule>
  </conditionalFormatting>
  <conditionalFormatting sqref="C921">
    <cfRule type="cellIs" dxfId="1374" priority="1633" stopIfTrue="1" operator="notEqual">
      <formula>INDIRECT("Dummy_for_Comparison4!"&amp;ADDRESS(ROW(),COLUMN()))</formula>
    </cfRule>
  </conditionalFormatting>
  <conditionalFormatting sqref="F921">
    <cfRule type="cellIs" dxfId="1373" priority="1634" stopIfTrue="1" operator="notEqual">
      <formula>INDIRECT("Dummy_for_Comparison4!"&amp;ADDRESS(ROW(),COLUMN()))</formula>
    </cfRule>
  </conditionalFormatting>
  <conditionalFormatting sqref="E923">
    <cfRule type="cellIs" dxfId="1372" priority="1646" stopIfTrue="1" operator="notEqual">
      <formula>INDIRECT("Dummy_for_Comparison4!"&amp;ADDRESS(ROW(),COLUMN()))</formula>
    </cfRule>
  </conditionalFormatting>
  <conditionalFormatting sqref="F923">
    <cfRule type="cellIs" dxfId="1371" priority="1645" stopIfTrue="1" operator="notEqual">
      <formula>INDIRECT("Dummy_for_Comparison4!"&amp;ADDRESS(ROW(),COLUMN()))</formula>
    </cfRule>
  </conditionalFormatting>
  <conditionalFormatting sqref="O923">
    <cfRule type="cellIs" dxfId="1370" priority="1642" stopIfTrue="1" operator="notEqual">
      <formula>INDIRECT("Dummy_for_Comparison4!"&amp;ADDRESS(ROW(),COLUMN()))</formula>
    </cfRule>
  </conditionalFormatting>
  <conditionalFormatting sqref="O924">
    <cfRule type="cellIs" dxfId="1369" priority="1596" stopIfTrue="1" operator="notEqual">
      <formula>INDIRECT("Dummy_for_Comparison4!"&amp;ADDRESS(ROW(),COLUMN()))</formula>
    </cfRule>
  </conditionalFormatting>
  <conditionalFormatting sqref="O925">
    <cfRule type="cellIs" dxfId="1368" priority="1597" stopIfTrue="1" operator="notEqual">
      <formula>INDIRECT("Dummy_for_Comparison4!"&amp;ADDRESS(ROW(),COLUMN()))</formula>
    </cfRule>
  </conditionalFormatting>
  <conditionalFormatting sqref="E926">
    <cfRule type="cellIs" dxfId="1367" priority="1577" stopIfTrue="1" operator="notEqual">
      <formula>INDIRECT("Dummy_for_Comparison4!"&amp;ADDRESS(ROW(),COLUMN()))</formula>
    </cfRule>
  </conditionalFormatting>
  <conditionalFormatting sqref="F926">
    <cfRule type="cellIs" dxfId="1366" priority="1575" stopIfTrue="1" operator="notEqual">
      <formula>INDIRECT("Dummy_for_Comparison4!"&amp;ADDRESS(ROW(),COLUMN()))</formula>
    </cfRule>
  </conditionalFormatting>
  <conditionalFormatting sqref="G926">
    <cfRule type="cellIs" dxfId="1365" priority="1579" stopIfTrue="1" operator="notEqual">
      <formula>INDIRECT("Dummy_for_Comparison4!"&amp;ADDRESS(ROW(),COLUMN()))</formula>
    </cfRule>
  </conditionalFormatting>
  <conditionalFormatting sqref="K926">
    <cfRule type="cellIs" dxfId="1364" priority="1304" stopIfTrue="1" operator="notEqual">
      <formula>INDIRECT("Dummy_for_Comparison4!"&amp;ADDRESS(ROW(),COLUMN()))</formula>
    </cfRule>
  </conditionalFormatting>
  <conditionalFormatting sqref="O926">
    <cfRule type="cellIs" dxfId="1363" priority="1573" stopIfTrue="1" operator="notEqual">
      <formula>INDIRECT("Dummy_for_Comparison4!"&amp;ADDRESS(ROW(),COLUMN()))</formula>
    </cfRule>
  </conditionalFormatting>
  <conditionalFormatting sqref="E927">
    <cfRule type="cellIs" dxfId="1362" priority="1576" stopIfTrue="1" operator="notEqual">
      <formula>INDIRECT("Dummy_for_Comparison4!"&amp;ADDRESS(ROW(),COLUMN()))</formula>
    </cfRule>
  </conditionalFormatting>
  <conditionalFormatting sqref="F927">
    <cfRule type="cellIs" dxfId="1361" priority="1574" stopIfTrue="1" operator="notEqual">
      <formula>INDIRECT("Dummy_for_Comparison4!"&amp;ADDRESS(ROW(),COLUMN()))</formula>
    </cfRule>
  </conditionalFormatting>
  <conditionalFormatting sqref="G927">
    <cfRule type="cellIs" dxfId="1360" priority="1578" stopIfTrue="1" operator="notEqual">
      <formula>INDIRECT("Dummy_for_Comparison4!"&amp;ADDRESS(ROW(),COLUMN()))</formula>
    </cfRule>
  </conditionalFormatting>
  <conditionalFormatting sqref="K927">
    <cfRule type="cellIs" dxfId="1359" priority="1303" stopIfTrue="1" operator="notEqual">
      <formula>INDIRECT("Dummy_for_Comparison4!"&amp;ADDRESS(ROW(),COLUMN()))</formula>
    </cfRule>
  </conditionalFormatting>
  <conditionalFormatting sqref="O927">
    <cfRule type="cellIs" dxfId="1358" priority="1572" stopIfTrue="1" operator="notEqual">
      <formula>INDIRECT("Dummy_for_Comparison4!"&amp;ADDRESS(ROW(),COLUMN()))</formula>
    </cfRule>
  </conditionalFormatting>
  <conditionalFormatting sqref="C928">
    <cfRule type="cellIs" dxfId="1357" priority="1565" stopIfTrue="1" operator="notEqual">
      <formula>INDIRECT("Dummy_for_Comparison4!"&amp;ADDRESS(ROW(),COLUMN()))</formula>
    </cfRule>
  </conditionalFormatting>
  <conditionalFormatting sqref="E928">
    <cfRule type="cellIs" dxfId="1356" priority="1564" stopIfTrue="1" operator="notEqual">
      <formula>INDIRECT("Dummy_for_Comparison4!"&amp;ADDRESS(ROW(),COLUMN()))</formula>
    </cfRule>
  </conditionalFormatting>
  <conditionalFormatting sqref="F928">
    <cfRule type="cellIs" dxfId="1355" priority="1566" stopIfTrue="1" operator="notEqual">
      <formula>INDIRECT("Dummy_for_Comparison4!"&amp;ADDRESS(ROW(),COLUMN()))</formula>
    </cfRule>
  </conditionalFormatting>
  <conditionalFormatting sqref="G928">
    <cfRule type="cellIs" dxfId="1354" priority="1567" stopIfTrue="1" operator="notEqual">
      <formula>INDIRECT("Dummy_for_Comparison4!"&amp;ADDRESS(ROW(),COLUMN()))</formula>
    </cfRule>
  </conditionalFormatting>
  <conditionalFormatting sqref="K928">
    <cfRule type="cellIs" dxfId="1353" priority="1302" stopIfTrue="1" operator="notEqual">
      <formula>INDIRECT("Dummy_for_Comparison4!"&amp;ADDRESS(ROW(),COLUMN()))</formula>
    </cfRule>
  </conditionalFormatting>
  <conditionalFormatting sqref="E929">
    <cfRule type="cellIs" dxfId="1352" priority="1628" stopIfTrue="1" operator="notEqual">
      <formula>INDIRECT("Dummy_for_Comparison4!"&amp;ADDRESS(ROW(),COLUMN()))</formula>
    </cfRule>
  </conditionalFormatting>
  <conditionalFormatting sqref="F929">
    <cfRule type="cellIs" dxfId="1351" priority="1627" stopIfTrue="1" operator="notEqual">
      <formula>INDIRECT("Dummy_for_Comparison4!"&amp;ADDRESS(ROW(),COLUMN()))</formula>
    </cfRule>
  </conditionalFormatting>
  <conditionalFormatting sqref="G929">
    <cfRule type="cellIs" dxfId="1350" priority="1629" stopIfTrue="1" operator="notEqual">
      <formula>INDIRECT("Dummy_for_Comparison4!"&amp;ADDRESS(ROW(),COLUMN()))</formula>
    </cfRule>
  </conditionalFormatting>
  <conditionalFormatting sqref="K929">
    <cfRule type="cellIs" dxfId="1349" priority="1312" stopIfTrue="1" operator="notEqual">
      <formula>INDIRECT("Dummy_for_Comparison4!"&amp;ADDRESS(ROW(),COLUMN()))</formula>
    </cfRule>
  </conditionalFormatting>
  <conditionalFormatting sqref="O929">
    <cfRule type="cellIs" dxfId="1348" priority="1626" stopIfTrue="1" operator="notEqual">
      <formula>INDIRECT("Dummy_for_Comparison4!"&amp;ADDRESS(ROW(),COLUMN()))</formula>
    </cfRule>
  </conditionalFormatting>
  <conditionalFormatting sqref="C930">
    <cfRule type="cellIs" dxfId="1347" priority="1587" stopIfTrue="1" operator="notEqual">
      <formula>INDIRECT("Dummy_for_Comparison4!"&amp;ADDRESS(ROW(),COLUMN()))</formula>
    </cfRule>
  </conditionalFormatting>
  <conditionalFormatting sqref="E930">
    <cfRule type="cellIs" dxfId="1346" priority="1586" stopIfTrue="1" operator="notEqual">
      <formula>INDIRECT("Dummy_for_Comparison4!"&amp;ADDRESS(ROW(),COLUMN()))</formula>
    </cfRule>
  </conditionalFormatting>
  <conditionalFormatting sqref="C931">
    <cfRule type="cellIs" dxfId="1345" priority="1570" stopIfTrue="1" operator="notEqual">
      <formula>INDIRECT("Dummy_for_Comparison4!"&amp;ADDRESS(ROW(),COLUMN()))</formula>
    </cfRule>
  </conditionalFormatting>
  <conditionalFormatting sqref="D931">
    <cfRule type="cellIs" dxfId="1344" priority="1571" stopIfTrue="1" operator="notEqual">
      <formula>INDIRECT("Dummy_for_Comparison4!"&amp;ADDRESS(ROW(),COLUMN()))</formula>
    </cfRule>
  </conditionalFormatting>
  <conditionalFormatting sqref="E931">
    <cfRule type="cellIs" dxfId="1343" priority="1569" stopIfTrue="1" operator="notEqual">
      <formula>INDIRECT("Dummy_for_Comparison4!"&amp;ADDRESS(ROW(),COLUMN()))</formula>
    </cfRule>
  </conditionalFormatting>
  <conditionalFormatting sqref="E934">
    <cfRule type="cellIs" dxfId="1342" priority="557" stopIfTrue="1" operator="notEqual">
      <formula>INDIRECT("Dummy_for_Comparison4!"&amp;ADDRESS(ROW(),COLUMN()))</formula>
    </cfRule>
  </conditionalFormatting>
  <conditionalFormatting sqref="F934">
    <cfRule type="cellIs" dxfId="1341" priority="554" stopIfTrue="1" operator="notEqual">
      <formula>INDIRECT("Dummy_for_Comparison4!"&amp;ADDRESS(ROW(),COLUMN()))</formula>
    </cfRule>
  </conditionalFormatting>
  <conditionalFormatting sqref="G934">
    <cfRule type="cellIs" dxfId="1340" priority="560" stopIfTrue="1" operator="notEqual">
      <formula>INDIRECT("Dummy_for_Comparison4!"&amp;ADDRESS(ROW(),COLUMN()))</formula>
    </cfRule>
  </conditionalFormatting>
  <conditionalFormatting sqref="K934">
    <cfRule type="cellIs" dxfId="1339" priority="548" stopIfTrue="1" operator="notEqual">
      <formula>INDIRECT("Dummy_for_Comparison4!"&amp;ADDRESS(ROW(),COLUMN()))</formula>
    </cfRule>
  </conditionalFormatting>
  <conditionalFormatting sqref="M934:N934">
    <cfRule type="cellIs" dxfId="1338" priority="545" stopIfTrue="1" operator="notEqual">
      <formula>INDIRECT("Dummy_for_Comparison4!"&amp;ADDRESS(ROW(),COLUMN()))</formula>
    </cfRule>
  </conditionalFormatting>
  <conditionalFormatting sqref="O934">
    <cfRule type="cellIs" dxfId="1337" priority="551" stopIfTrue="1" operator="notEqual">
      <formula>INDIRECT("Dummy_for_Comparison4!"&amp;ADDRESS(ROW(),COLUMN()))</formula>
    </cfRule>
  </conditionalFormatting>
  <conditionalFormatting sqref="E935">
    <cfRule type="cellIs" dxfId="1336" priority="556" stopIfTrue="1" operator="notEqual">
      <formula>INDIRECT("Dummy_for_Comparison4!"&amp;ADDRESS(ROW(),COLUMN()))</formula>
    </cfRule>
  </conditionalFormatting>
  <conditionalFormatting sqref="F935">
    <cfRule type="cellIs" dxfId="1335" priority="553" stopIfTrue="1" operator="notEqual">
      <formula>INDIRECT("Dummy_for_Comparison4!"&amp;ADDRESS(ROW(),COLUMN()))</formula>
    </cfRule>
  </conditionalFormatting>
  <conditionalFormatting sqref="G935">
    <cfRule type="cellIs" dxfId="1334" priority="559" stopIfTrue="1" operator="notEqual">
      <formula>INDIRECT("Dummy_for_Comparison4!"&amp;ADDRESS(ROW(),COLUMN()))</formula>
    </cfRule>
  </conditionalFormatting>
  <conditionalFormatting sqref="K935">
    <cfRule type="cellIs" dxfId="1333" priority="547" stopIfTrue="1" operator="notEqual">
      <formula>INDIRECT("Dummy_for_Comparison4!"&amp;ADDRESS(ROW(),COLUMN()))</formula>
    </cfRule>
  </conditionalFormatting>
  <conditionalFormatting sqref="M935:N935">
    <cfRule type="cellIs" dxfId="1332" priority="544" stopIfTrue="1" operator="notEqual">
      <formula>INDIRECT("Dummy_for_Comparison4!"&amp;ADDRESS(ROW(),COLUMN()))</formula>
    </cfRule>
  </conditionalFormatting>
  <conditionalFormatting sqref="O935">
    <cfRule type="cellIs" dxfId="1331" priority="550" stopIfTrue="1" operator="notEqual">
      <formula>INDIRECT("Dummy_for_Comparison4!"&amp;ADDRESS(ROW(),COLUMN()))</formula>
    </cfRule>
  </conditionalFormatting>
  <conditionalFormatting sqref="E936">
    <cfRule type="cellIs" dxfId="1330" priority="555" stopIfTrue="1" operator="notEqual">
      <formula>INDIRECT("Dummy_for_Comparison4!"&amp;ADDRESS(ROW(),COLUMN()))</formula>
    </cfRule>
  </conditionalFormatting>
  <conditionalFormatting sqref="F936">
    <cfRule type="cellIs" dxfId="1329" priority="552" stopIfTrue="1" operator="notEqual">
      <formula>INDIRECT("Dummy_for_Comparison4!"&amp;ADDRESS(ROW(),COLUMN()))</formula>
    </cfRule>
  </conditionalFormatting>
  <conditionalFormatting sqref="G936">
    <cfRule type="cellIs" dxfId="1328" priority="558" stopIfTrue="1" operator="notEqual">
      <formula>INDIRECT("Dummy_for_Comparison4!"&amp;ADDRESS(ROW(),COLUMN()))</formula>
    </cfRule>
  </conditionalFormatting>
  <conditionalFormatting sqref="K936">
    <cfRule type="cellIs" dxfId="1327" priority="546" stopIfTrue="1" operator="notEqual">
      <formula>INDIRECT("Dummy_for_Comparison4!"&amp;ADDRESS(ROW(),COLUMN()))</formula>
    </cfRule>
  </conditionalFormatting>
  <conditionalFormatting sqref="M936:N936">
    <cfRule type="cellIs" dxfId="1326" priority="543" stopIfTrue="1" operator="notEqual">
      <formula>INDIRECT("Dummy_for_Comparison4!"&amp;ADDRESS(ROW(),COLUMN()))</formula>
    </cfRule>
  </conditionalFormatting>
  <conditionalFormatting sqref="O936">
    <cfRule type="cellIs" dxfId="1325" priority="549" stopIfTrue="1" operator="notEqual">
      <formula>INDIRECT("Dummy_for_Comparison4!"&amp;ADDRESS(ROW(),COLUMN()))</formula>
    </cfRule>
  </conditionalFormatting>
  <conditionalFormatting sqref="E937">
    <cfRule type="cellIs" dxfId="1324" priority="2213" stopIfTrue="1" operator="notEqual">
      <formula>INDIRECT("Dummy_for_Comparison4!"&amp;ADDRESS(ROW(),COLUMN()))</formula>
    </cfRule>
  </conditionalFormatting>
  <conditionalFormatting sqref="F937">
    <cfRule type="cellIs" dxfId="1323" priority="2192" stopIfTrue="1" operator="notEqual">
      <formula>INDIRECT("Dummy_for_Comparison4!"&amp;ADDRESS(ROW(),COLUMN()))</formula>
    </cfRule>
  </conditionalFormatting>
  <conditionalFormatting sqref="G937">
    <cfRule type="cellIs" dxfId="1322" priority="2234" stopIfTrue="1" operator="notEqual">
      <formula>INDIRECT("Dummy_for_Comparison4!"&amp;ADDRESS(ROW(),COLUMN()))</formula>
    </cfRule>
  </conditionalFormatting>
  <conditionalFormatting sqref="K937">
    <cfRule type="cellIs" dxfId="1321" priority="1378" stopIfTrue="1" operator="notEqual">
      <formula>INDIRECT("Dummy_for_Comparison4!"&amp;ADDRESS(ROW(),COLUMN()))</formula>
    </cfRule>
  </conditionalFormatting>
  <conditionalFormatting sqref="O937">
    <cfRule type="cellIs" dxfId="1320" priority="2171" stopIfTrue="1" operator="notEqual">
      <formula>INDIRECT("Dummy_for_Comparison4!"&amp;ADDRESS(ROW(),COLUMN()))</formula>
    </cfRule>
  </conditionalFormatting>
  <conditionalFormatting sqref="E938">
    <cfRule type="cellIs" dxfId="1319" priority="1092" stopIfTrue="1" operator="notEqual">
      <formula>INDIRECT("Dummy_for_Comparison4!"&amp;ADDRESS(ROW(),COLUMN()))</formula>
    </cfRule>
  </conditionalFormatting>
  <conditionalFormatting sqref="F938">
    <cfRule type="cellIs" dxfId="1318" priority="1063" stopIfTrue="1" operator="notEqual">
      <formula>INDIRECT("Dummy_for_Comparison4!"&amp;ADDRESS(ROW(),COLUMN()))</formula>
    </cfRule>
  </conditionalFormatting>
  <conditionalFormatting sqref="G938">
    <cfRule type="cellIs" dxfId="1317" priority="1121" stopIfTrue="1" operator="notEqual">
      <formula>INDIRECT("Dummy_for_Comparison4!"&amp;ADDRESS(ROW(),COLUMN()))</formula>
    </cfRule>
  </conditionalFormatting>
  <conditionalFormatting sqref="K938">
    <cfRule type="cellIs" dxfId="1316" priority="1005" stopIfTrue="1" operator="notEqual">
      <formula>INDIRECT("Dummy_for_Comparison4!"&amp;ADDRESS(ROW(),COLUMN()))</formula>
    </cfRule>
  </conditionalFormatting>
  <conditionalFormatting sqref="O938">
    <cfRule type="cellIs" dxfId="1315" priority="1034" stopIfTrue="1" operator="notEqual">
      <formula>INDIRECT("Dummy_for_Comparison4!"&amp;ADDRESS(ROW(),COLUMN()))</formula>
    </cfRule>
  </conditionalFormatting>
  <conditionalFormatting sqref="E939">
    <cfRule type="cellIs" dxfId="1314" priority="1091" stopIfTrue="1" operator="notEqual">
      <formula>INDIRECT("Dummy_for_Comparison4!"&amp;ADDRESS(ROW(),COLUMN()))</formula>
    </cfRule>
  </conditionalFormatting>
  <conditionalFormatting sqref="F939">
    <cfRule type="cellIs" dxfId="1313" priority="1062" stopIfTrue="1" operator="notEqual">
      <formula>INDIRECT("Dummy_for_Comparison4!"&amp;ADDRESS(ROW(),COLUMN()))</formula>
    </cfRule>
  </conditionalFormatting>
  <conditionalFormatting sqref="G939">
    <cfRule type="cellIs" dxfId="1312" priority="1120" stopIfTrue="1" operator="notEqual">
      <formula>INDIRECT("Dummy_for_Comparison4!"&amp;ADDRESS(ROW(),COLUMN()))</formula>
    </cfRule>
  </conditionalFormatting>
  <conditionalFormatting sqref="K939">
    <cfRule type="cellIs" dxfId="1311" priority="1004" stopIfTrue="1" operator="notEqual">
      <formula>INDIRECT("Dummy_for_Comparison4!"&amp;ADDRESS(ROW(),COLUMN()))</formula>
    </cfRule>
  </conditionalFormatting>
  <conditionalFormatting sqref="O939">
    <cfRule type="cellIs" dxfId="1310" priority="1033" stopIfTrue="1" operator="notEqual">
      <formula>INDIRECT("Dummy_for_Comparison4!"&amp;ADDRESS(ROW(),COLUMN()))</formula>
    </cfRule>
  </conditionalFormatting>
  <conditionalFormatting sqref="E940">
    <cfRule type="cellIs" dxfId="1309" priority="1090" stopIfTrue="1" operator="notEqual">
      <formula>INDIRECT("Dummy_for_Comparison4!"&amp;ADDRESS(ROW(),COLUMN()))</formula>
    </cfRule>
  </conditionalFormatting>
  <conditionalFormatting sqref="F940">
    <cfRule type="cellIs" dxfId="1308" priority="1061" stopIfTrue="1" operator="notEqual">
      <formula>INDIRECT("Dummy_for_Comparison4!"&amp;ADDRESS(ROW(),COLUMN()))</formula>
    </cfRule>
  </conditionalFormatting>
  <conditionalFormatting sqref="G940">
    <cfRule type="cellIs" dxfId="1307" priority="1119" stopIfTrue="1" operator="notEqual">
      <formula>INDIRECT("Dummy_for_Comparison4!"&amp;ADDRESS(ROW(),COLUMN()))</formula>
    </cfRule>
  </conditionalFormatting>
  <conditionalFormatting sqref="K940">
    <cfRule type="cellIs" dxfId="1306" priority="1003" stopIfTrue="1" operator="notEqual">
      <formula>INDIRECT("Dummy_for_Comparison4!"&amp;ADDRESS(ROW(),COLUMN()))</formula>
    </cfRule>
  </conditionalFormatting>
  <conditionalFormatting sqref="O940">
    <cfRule type="cellIs" dxfId="1305" priority="1032" stopIfTrue="1" operator="notEqual">
      <formula>INDIRECT("Dummy_for_Comparison4!"&amp;ADDRESS(ROW(),COLUMN()))</formula>
    </cfRule>
  </conditionalFormatting>
  <conditionalFormatting sqref="E941">
    <cfRule type="cellIs" dxfId="1304" priority="1089" stopIfTrue="1" operator="notEqual">
      <formula>INDIRECT("Dummy_for_Comparison4!"&amp;ADDRESS(ROW(),COLUMN()))</formula>
    </cfRule>
  </conditionalFormatting>
  <conditionalFormatting sqref="F941">
    <cfRule type="cellIs" dxfId="1303" priority="1060" stopIfTrue="1" operator="notEqual">
      <formula>INDIRECT("Dummy_for_Comparison4!"&amp;ADDRESS(ROW(),COLUMN()))</formula>
    </cfRule>
  </conditionalFormatting>
  <conditionalFormatting sqref="G941">
    <cfRule type="cellIs" dxfId="1302" priority="1118" stopIfTrue="1" operator="notEqual">
      <formula>INDIRECT("Dummy_for_Comparison4!"&amp;ADDRESS(ROW(),COLUMN()))</formula>
    </cfRule>
  </conditionalFormatting>
  <conditionalFormatting sqref="K941">
    <cfRule type="cellIs" dxfId="1301" priority="1002" stopIfTrue="1" operator="notEqual">
      <formula>INDIRECT("Dummy_for_Comparison4!"&amp;ADDRESS(ROW(),COLUMN()))</formula>
    </cfRule>
  </conditionalFormatting>
  <conditionalFormatting sqref="O941">
    <cfRule type="cellIs" dxfId="1300" priority="1031" stopIfTrue="1" operator="notEqual">
      <formula>INDIRECT("Dummy_for_Comparison4!"&amp;ADDRESS(ROW(),COLUMN()))</formula>
    </cfRule>
  </conditionalFormatting>
  <conditionalFormatting sqref="E942">
    <cfRule type="cellIs" dxfId="1299" priority="1088" stopIfTrue="1" operator="notEqual">
      <formula>INDIRECT("Dummy_for_Comparison4!"&amp;ADDRESS(ROW(),COLUMN()))</formula>
    </cfRule>
  </conditionalFormatting>
  <conditionalFormatting sqref="F942">
    <cfRule type="cellIs" dxfId="1298" priority="1059" stopIfTrue="1" operator="notEqual">
      <formula>INDIRECT("Dummy_for_Comparison4!"&amp;ADDRESS(ROW(),COLUMN()))</formula>
    </cfRule>
  </conditionalFormatting>
  <conditionalFormatting sqref="G942">
    <cfRule type="cellIs" dxfId="1297" priority="1117" stopIfTrue="1" operator="notEqual">
      <formula>INDIRECT("Dummy_for_Comparison4!"&amp;ADDRESS(ROW(),COLUMN()))</formula>
    </cfRule>
  </conditionalFormatting>
  <conditionalFormatting sqref="K942">
    <cfRule type="cellIs" dxfId="1296" priority="1001" stopIfTrue="1" operator="notEqual">
      <formula>INDIRECT("Dummy_for_Comparison4!"&amp;ADDRESS(ROW(),COLUMN()))</formula>
    </cfRule>
  </conditionalFormatting>
  <conditionalFormatting sqref="O942">
    <cfRule type="cellIs" dxfId="1295" priority="1030" stopIfTrue="1" operator="notEqual">
      <formula>INDIRECT("Dummy_for_Comparison4!"&amp;ADDRESS(ROW(),COLUMN()))</formula>
    </cfRule>
  </conditionalFormatting>
  <conditionalFormatting sqref="E943">
    <cfRule type="cellIs" dxfId="1294" priority="1087" stopIfTrue="1" operator="notEqual">
      <formula>INDIRECT("Dummy_for_Comparison4!"&amp;ADDRESS(ROW(),COLUMN()))</formula>
    </cfRule>
  </conditionalFormatting>
  <conditionalFormatting sqref="F943">
    <cfRule type="cellIs" dxfId="1293" priority="1058" stopIfTrue="1" operator="notEqual">
      <formula>INDIRECT("Dummy_for_Comparison4!"&amp;ADDRESS(ROW(),COLUMN()))</formula>
    </cfRule>
  </conditionalFormatting>
  <conditionalFormatting sqref="G943">
    <cfRule type="cellIs" dxfId="1292" priority="1116" stopIfTrue="1" operator="notEqual">
      <formula>INDIRECT("Dummy_for_Comparison4!"&amp;ADDRESS(ROW(),COLUMN()))</formula>
    </cfRule>
  </conditionalFormatting>
  <conditionalFormatting sqref="K943">
    <cfRule type="cellIs" dxfId="1291" priority="1000" stopIfTrue="1" operator="notEqual">
      <formula>INDIRECT("Dummy_for_Comparison4!"&amp;ADDRESS(ROW(),COLUMN()))</formula>
    </cfRule>
  </conditionalFormatting>
  <conditionalFormatting sqref="O943">
    <cfRule type="cellIs" dxfId="1290" priority="1029" stopIfTrue="1" operator="notEqual">
      <formula>INDIRECT("Dummy_for_Comparison4!"&amp;ADDRESS(ROW(),COLUMN()))</formula>
    </cfRule>
  </conditionalFormatting>
  <conditionalFormatting sqref="E944">
    <cfRule type="cellIs" dxfId="1289" priority="1086" stopIfTrue="1" operator="notEqual">
      <formula>INDIRECT("Dummy_for_Comparison4!"&amp;ADDRESS(ROW(),COLUMN()))</formula>
    </cfRule>
  </conditionalFormatting>
  <conditionalFormatting sqref="F944">
    <cfRule type="cellIs" dxfId="1288" priority="1057" stopIfTrue="1" operator="notEqual">
      <formula>INDIRECT("Dummy_for_Comparison4!"&amp;ADDRESS(ROW(),COLUMN()))</formula>
    </cfRule>
  </conditionalFormatting>
  <conditionalFormatting sqref="G944">
    <cfRule type="cellIs" dxfId="1287" priority="1115" stopIfTrue="1" operator="notEqual">
      <formula>INDIRECT("Dummy_for_Comparison4!"&amp;ADDRESS(ROW(),COLUMN()))</formula>
    </cfRule>
  </conditionalFormatting>
  <conditionalFormatting sqref="K944">
    <cfRule type="cellIs" dxfId="1286" priority="999" stopIfTrue="1" operator="notEqual">
      <formula>INDIRECT("Dummy_for_Comparison4!"&amp;ADDRESS(ROW(),COLUMN()))</formula>
    </cfRule>
  </conditionalFormatting>
  <conditionalFormatting sqref="O944">
    <cfRule type="cellIs" dxfId="1285" priority="1028" stopIfTrue="1" operator="notEqual">
      <formula>INDIRECT("Dummy_for_Comparison4!"&amp;ADDRESS(ROW(),COLUMN()))</formula>
    </cfRule>
  </conditionalFormatting>
  <conditionalFormatting sqref="E945">
    <cfRule type="cellIs" dxfId="1284" priority="1085" stopIfTrue="1" operator="notEqual">
      <formula>INDIRECT("Dummy_for_Comparison4!"&amp;ADDRESS(ROW(),COLUMN()))</formula>
    </cfRule>
  </conditionalFormatting>
  <conditionalFormatting sqref="F945">
    <cfRule type="cellIs" dxfId="1283" priority="1056" stopIfTrue="1" operator="notEqual">
      <formula>INDIRECT("Dummy_for_Comparison4!"&amp;ADDRESS(ROW(),COLUMN()))</formula>
    </cfRule>
  </conditionalFormatting>
  <conditionalFormatting sqref="G945">
    <cfRule type="cellIs" dxfId="1282" priority="1114" stopIfTrue="1" operator="notEqual">
      <formula>INDIRECT("Dummy_for_Comparison4!"&amp;ADDRESS(ROW(),COLUMN()))</formula>
    </cfRule>
  </conditionalFormatting>
  <conditionalFormatting sqref="K945">
    <cfRule type="cellIs" dxfId="1281" priority="998" stopIfTrue="1" operator="notEqual">
      <formula>INDIRECT("Dummy_for_Comparison4!"&amp;ADDRESS(ROW(),COLUMN()))</formula>
    </cfRule>
  </conditionalFormatting>
  <conditionalFormatting sqref="O945">
    <cfRule type="cellIs" dxfId="1280" priority="1027" stopIfTrue="1" operator="notEqual">
      <formula>INDIRECT("Dummy_for_Comparison4!"&amp;ADDRESS(ROW(),COLUMN()))</formula>
    </cfRule>
  </conditionalFormatting>
  <conditionalFormatting sqref="E946">
    <cfRule type="cellIs" dxfId="1279" priority="1084" stopIfTrue="1" operator="notEqual">
      <formula>INDIRECT("Dummy_for_Comparison4!"&amp;ADDRESS(ROW(),COLUMN()))</formula>
    </cfRule>
  </conditionalFormatting>
  <conditionalFormatting sqref="F946">
    <cfRule type="cellIs" dxfId="1278" priority="1055" stopIfTrue="1" operator="notEqual">
      <formula>INDIRECT("Dummy_for_Comparison4!"&amp;ADDRESS(ROW(),COLUMN()))</formula>
    </cfRule>
  </conditionalFormatting>
  <conditionalFormatting sqref="G946">
    <cfRule type="cellIs" dxfId="1277" priority="1113" stopIfTrue="1" operator="notEqual">
      <formula>INDIRECT("Dummy_for_Comparison4!"&amp;ADDRESS(ROW(),COLUMN()))</formula>
    </cfRule>
  </conditionalFormatting>
  <conditionalFormatting sqref="K946">
    <cfRule type="cellIs" dxfId="1276" priority="997" stopIfTrue="1" operator="notEqual">
      <formula>INDIRECT("Dummy_for_Comparison4!"&amp;ADDRESS(ROW(),COLUMN()))</formula>
    </cfRule>
  </conditionalFormatting>
  <conditionalFormatting sqref="O946">
    <cfRule type="cellIs" dxfId="1275" priority="1026" stopIfTrue="1" operator="notEqual">
      <formula>INDIRECT("Dummy_for_Comparison4!"&amp;ADDRESS(ROW(),COLUMN()))</formula>
    </cfRule>
  </conditionalFormatting>
  <conditionalFormatting sqref="E947">
    <cfRule type="cellIs" dxfId="1274" priority="1083" stopIfTrue="1" operator="notEqual">
      <formula>INDIRECT("Dummy_for_Comparison4!"&amp;ADDRESS(ROW(),COLUMN()))</formula>
    </cfRule>
  </conditionalFormatting>
  <conditionalFormatting sqref="F947">
    <cfRule type="cellIs" dxfId="1273" priority="1054" stopIfTrue="1" operator="notEqual">
      <formula>INDIRECT("Dummy_for_Comparison4!"&amp;ADDRESS(ROW(),COLUMN()))</formula>
    </cfRule>
  </conditionalFormatting>
  <conditionalFormatting sqref="G947">
    <cfRule type="cellIs" dxfId="1272" priority="1112" stopIfTrue="1" operator="notEqual">
      <formula>INDIRECT("Dummy_for_Comparison4!"&amp;ADDRESS(ROW(),COLUMN()))</formula>
    </cfRule>
  </conditionalFormatting>
  <conditionalFormatting sqref="K947">
    <cfRule type="cellIs" dxfId="1271" priority="996" stopIfTrue="1" operator="notEqual">
      <formula>INDIRECT("Dummy_for_Comparison4!"&amp;ADDRESS(ROW(),COLUMN()))</formula>
    </cfRule>
  </conditionalFormatting>
  <conditionalFormatting sqref="O947">
    <cfRule type="cellIs" dxfId="1270" priority="1025" stopIfTrue="1" operator="notEqual">
      <formula>INDIRECT("Dummy_for_Comparison4!"&amp;ADDRESS(ROW(),COLUMN()))</formula>
    </cfRule>
  </conditionalFormatting>
  <conditionalFormatting sqref="E948">
    <cfRule type="cellIs" dxfId="1269" priority="1082" stopIfTrue="1" operator="notEqual">
      <formula>INDIRECT("Dummy_for_Comparison4!"&amp;ADDRESS(ROW(),COLUMN()))</formula>
    </cfRule>
  </conditionalFormatting>
  <conditionalFormatting sqref="F948">
    <cfRule type="cellIs" dxfId="1268" priority="1053" stopIfTrue="1" operator="notEqual">
      <formula>INDIRECT("Dummy_for_Comparison4!"&amp;ADDRESS(ROW(),COLUMN()))</formula>
    </cfRule>
  </conditionalFormatting>
  <conditionalFormatting sqref="G948">
    <cfRule type="cellIs" dxfId="1267" priority="1111" stopIfTrue="1" operator="notEqual">
      <formula>INDIRECT("Dummy_for_Comparison4!"&amp;ADDRESS(ROW(),COLUMN()))</formula>
    </cfRule>
  </conditionalFormatting>
  <conditionalFormatting sqref="K948">
    <cfRule type="cellIs" dxfId="1266" priority="995" stopIfTrue="1" operator="notEqual">
      <formula>INDIRECT("Dummy_for_Comparison4!"&amp;ADDRESS(ROW(),COLUMN()))</formula>
    </cfRule>
  </conditionalFormatting>
  <conditionalFormatting sqref="O948">
    <cfRule type="cellIs" dxfId="1265" priority="1024" stopIfTrue="1" operator="notEqual">
      <formula>INDIRECT("Dummy_for_Comparison4!"&amp;ADDRESS(ROW(),COLUMN()))</formula>
    </cfRule>
  </conditionalFormatting>
  <conditionalFormatting sqref="E949">
    <cfRule type="cellIs" dxfId="1264" priority="1081" stopIfTrue="1" operator="notEqual">
      <formula>INDIRECT("Dummy_for_Comparison4!"&amp;ADDRESS(ROW(),COLUMN()))</formula>
    </cfRule>
  </conditionalFormatting>
  <conditionalFormatting sqref="F949">
    <cfRule type="cellIs" dxfId="1263" priority="1052" stopIfTrue="1" operator="notEqual">
      <formula>INDIRECT("Dummy_for_Comparison4!"&amp;ADDRESS(ROW(),COLUMN()))</formula>
    </cfRule>
  </conditionalFormatting>
  <conditionalFormatting sqref="G949">
    <cfRule type="cellIs" dxfId="1262" priority="1110" stopIfTrue="1" operator="notEqual">
      <formula>INDIRECT("Dummy_for_Comparison4!"&amp;ADDRESS(ROW(),COLUMN()))</formula>
    </cfRule>
  </conditionalFormatting>
  <conditionalFormatting sqref="K949">
    <cfRule type="cellIs" dxfId="1261" priority="994" stopIfTrue="1" operator="notEqual">
      <formula>INDIRECT("Dummy_for_Comparison4!"&amp;ADDRESS(ROW(),COLUMN()))</formula>
    </cfRule>
  </conditionalFormatting>
  <conditionalFormatting sqref="O949">
    <cfRule type="cellIs" dxfId="1260" priority="1023" stopIfTrue="1" operator="notEqual">
      <formula>INDIRECT("Dummy_for_Comparison4!"&amp;ADDRESS(ROW(),COLUMN()))</formula>
    </cfRule>
  </conditionalFormatting>
  <conditionalFormatting sqref="E950">
    <cfRule type="cellIs" dxfId="1259" priority="1080" stopIfTrue="1" operator="notEqual">
      <formula>INDIRECT("Dummy_for_Comparison4!"&amp;ADDRESS(ROW(),COLUMN()))</formula>
    </cfRule>
  </conditionalFormatting>
  <conditionalFormatting sqref="F950">
    <cfRule type="cellIs" dxfId="1258" priority="1051" stopIfTrue="1" operator="notEqual">
      <formula>INDIRECT("Dummy_for_Comparison4!"&amp;ADDRESS(ROW(),COLUMN()))</formula>
    </cfRule>
  </conditionalFormatting>
  <conditionalFormatting sqref="G950">
    <cfRule type="cellIs" dxfId="1257" priority="1109" stopIfTrue="1" operator="notEqual">
      <formula>INDIRECT("Dummy_for_Comparison4!"&amp;ADDRESS(ROW(),COLUMN()))</formula>
    </cfRule>
  </conditionalFormatting>
  <conditionalFormatting sqref="K950">
    <cfRule type="cellIs" dxfId="1256" priority="993" stopIfTrue="1" operator="notEqual">
      <formula>INDIRECT("Dummy_for_Comparison4!"&amp;ADDRESS(ROW(),COLUMN()))</formula>
    </cfRule>
  </conditionalFormatting>
  <conditionalFormatting sqref="O950">
    <cfRule type="cellIs" dxfId="1255" priority="1022" stopIfTrue="1" operator="notEqual">
      <formula>INDIRECT("Dummy_for_Comparison4!"&amp;ADDRESS(ROW(),COLUMN()))</formula>
    </cfRule>
  </conditionalFormatting>
  <conditionalFormatting sqref="E951">
    <cfRule type="cellIs" dxfId="1254" priority="1079" stopIfTrue="1" operator="notEqual">
      <formula>INDIRECT("Dummy_for_Comparison4!"&amp;ADDRESS(ROW(),COLUMN()))</formula>
    </cfRule>
  </conditionalFormatting>
  <conditionalFormatting sqref="F951">
    <cfRule type="cellIs" dxfId="1253" priority="1050" stopIfTrue="1" operator="notEqual">
      <formula>INDIRECT("Dummy_for_Comparison4!"&amp;ADDRESS(ROW(),COLUMN()))</formula>
    </cfRule>
  </conditionalFormatting>
  <conditionalFormatting sqref="G951">
    <cfRule type="cellIs" dxfId="1252" priority="1108" stopIfTrue="1" operator="notEqual">
      <formula>INDIRECT("Dummy_for_Comparison4!"&amp;ADDRESS(ROW(),COLUMN()))</formula>
    </cfRule>
  </conditionalFormatting>
  <conditionalFormatting sqref="K951">
    <cfRule type="cellIs" dxfId="1251" priority="992" stopIfTrue="1" operator="notEqual">
      <formula>INDIRECT("Dummy_for_Comparison4!"&amp;ADDRESS(ROW(),COLUMN()))</formula>
    </cfRule>
  </conditionalFormatting>
  <conditionalFormatting sqref="O951">
    <cfRule type="cellIs" dxfId="1250" priority="1021" stopIfTrue="1" operator="notEqual">
      <formula>INDIRECT("Dummy_for_Comparison4!"&amp;ADDRESS(ROW(),COLUMN()))</formula>
    </cfRule>
  </conditionalFormatting>
  <conditionalFormatting sqref="E952">
    <cfRule type="cellIs" dxfId="1249" priority="1078" stopIfTrue="1" operator="notEqual">
      <formula>INDIRECT("Dummy_for_Comparison4!"&amp;ADDRESS(ROW(),COLUMN()))</formula>
    </cfRule>
  </conditionalFormatting>
  <conditionalFormatting sqref="F952">
    <cfRule type="cellIs" dxfId="1248" priority="1049" stopIfTrue="1" operator="notEqual">
      <formula>INDIRECT("Dummy_for_Comparison4!"&amp;ADDRESS(ROW(),COLUMN()))</formula>
    </cfRule>
  </conditionalFormatting>
  <conditionalFormatting sqref="G952">
    <cfRule type="cellIs" dxfId="1247" priority="1107" stopIfTrue="1" operator="notEqual">
      <formula>INDIRECT("Dummy_for_Comparison4!"&amp;ADDRESS(ROW(),COLUMN()))</formula>
    </cfRule>
  </conditionalFormatting>
  <conditionalFormatting sqref="K952">
    <cfRule type="cellIs" dxfId="1246" priority="991" stopIfTrue="1" operator="notEqual">
      <formula>INDIRECT("Dummy_for_Comparison4!"&amp;ADDRESS(ROW(),COLUMN()))</formula>
    </cfRule>
  </conditionalFormatting>
  <conditionalFormatting sqref="O952">
    <cfRule type="cellIs" dxfId="1245" priority="1020" stopIfTrue="1" operator="notEqual">
      <formula>INDIRECT("Dummy_for_Comparison4!"&amp;ADDRESS(ROW(),COLUMN()))</formula>
    </cfRule>
  </conditionalFormatting>
  <conditionalFormatting sqref="E953">
    <cfRule type="cellIs" dxfId="1244" priority="1077" stopIfTrue="1" operator="notEqual">
      <formula>INDIRECT("Dummy_for_Comparison4!"&amp;ADDRESS(ROW(),COLUMN()))</formula>
    </cfRule>
  </conditionalFormatting>
  <conditionalFormatting sqref="F953">
    <cfRule type="cellIs" dxfId="1243" priority="1048" stopIfTrue="1" operator="notEqual">
      <formula>INDIRECT("Dummy_for_Comparison4!"&amp;ADDRESS(ROW(),COLUMN()))</formula>
    </cfRule>
  </conditionalFormatting>
  <conditionalFormatting sqref="G953">
    <cfRule type="cellIs" dxfId="1242" priority="1106" stopIfTrue="1" operator="notEqual">
      <formula>INDIRECT("Dummy_for_Comparison4!"&amp;ADDRESS(ROW(),COLUMN()))</formula>
    </cfRule>
  </conditionalFormatting>
  <conditionalFormatting sqref="K953">
    <cfRule type="cellIs" dxfId="1241" priority="990" stopIfTrue="1" operator="notEqual">
      <formula>INDIRECT("Dummy_for_Comparison4!"&amp;ADDRESS(ROW(),COLUMN()))</formula>
    </cfRule>
  </conditionalFormatting>
  <conditionalFormatting sqref="O953">
    <cfRule type="cellIs" dxfId="1240" priority="1019" stopIfTrue="1" operator="notEqual">
      <formula>INDIRECT("Dummy_for_Comparison4!"&amp;ADDRESS(ROW(),COLUMN()))</formula>
    </cfRule>
  </conditionalFormatting>
  <conditionalFormatting sqref="E954">
    <cfRule type="cellIs" dxfId="1239" priority="1076" stopIfTrue="1" operator="notEqual">
      <formula>INDIRECT("Dummy_for_Comparison4!"&amp;ADDRESS(ROW(),COLUMN()))</formula>
    </cfRule>
  </conditionalFormatting>
  <conditionalFormatting sqref="F954">
    <cfRule type="cellIs" dxfId="1238" priority="1047" stopIfTrue="1" operator="notEqual">
      <formula>INDIRECT("Dummy_for_Comparison4!"&amp;ADDRESS(ROW(),COLUMN()))</formula>
    </cfRule>
  </conditionalFormatting>
  <conditionalFormatting sqref="G954">
    <cfRule type="cellIs" dxfId="1237" priority="1105" stopIfTrue="1" operator="notEqual">
      <formula>INDIRECT("Dummy_for_Comparison4!"&amp;ADDRESS(ROW(),COLUMN()))</formula>
    </cfRule>
  </conditionalFormatting>
  <conditionalFormatting sqref="K954">
    <cfRule type="cellIs" dxfId="1236" priority="989" stopIfTrue="1" operator="notEqual">
      <formula>INDIRECT("Dummy_for_Comparison4!"&amp;ADDRESS(ROW(),COLUMN()))</formula>
    </cfRule>
  </conditionalFormatting>
  <conditionalFormatting sqref="O954">
    <cfRule type="cellIs" dxfId="1235" priority="1018" stopIfTrue="1" operator="notEqual">
      <formula>INDIRECT("Dummy_for_Comparison4!"&amp;ADDRESS(ROW(),COLUMN()))</formula>
    </cfRule>
  </conditionalFormatting>
  <conditionalFormatting sqref="E955">
    <cfRule type="cellIs" dxfId="1234" priority="1075" stopIfTrue="1" operator="notEqual">
      <formula>INDIRECT("Dummy_for_Comparison4!"&amp;ADDRESS(ROW(),COLUMN()))</formula>
    </cfRule>
  </conditionalFormatting>
  <conditionalFormatting sqref="F955">
    <cfRule type="cellIs" dxfId="1233" priority="1046" stopIfTrue="1" operator="notEqual">
      <formula>INDIRECT("Dummy_for_Comparison4!"&amp;ADDRESS(ROW(),COLUMN()))</formula>
    </cfRule>
  </conditionalFormatting>
  <conditionalFormatting sqref="G955">
    <cfRule type="cellIs" dxfId="1232" priority="1104" stopIfTrue="1" operator="notEqual">
      <formula>INDIRECT("Dummy_for_Comparison4!"&amp;ADDRESS(ROW(),COLUMN()))</formula>
    </cfRule>
  </conditionalFormatting>
  <conditionalFormatting sqref="K955">
    <cfRule type="cellIs" dxfId="1231" priority="988" stopIfTrue="1" operator="notEqual">
      <formula>INDIRECT("Dummy_for_Comparison4!"&amp;ADDRESS(ROW(),COLUMN()))</formula>
    </cfRule>
  </conditionalFormatting>
  <conditionalFormatting sqref="O955">
    <cfRule type="cellIs" dxfId="1230" priority="1017" stopIfTrue="1" operator="notEqual">
      <formula>INDIRECT("Dummy_for_Comparison4!"&amp;ADDRESS(ROW(),COLUMN()))</formula>
    </cfRule>
  </conditionalFormatting>
  <conditionalFormatting sqref="E956">
    <cfRule type="cellIs" dxfId="1229" priority="1074" stopIfTrue="1" operator="notEqual">
      <formula>INDIRECT("Dummy_for_Comparison4!"&amp;ADDRESS(ROW(),COLUMN()))</formula>
    </cfRule>
  </conditionalFormatting>
  <conditionalFormatting sqref="F956">
    <cfRule type="cellIs" dxfId="1228" priority="1045" stopIfTrue="1" operator="notEqual">
      <formula>INDIRECT("Dummy_for_Comparison4!"&amp;ADDRESS(ROW(),COLUMN()))</formula>
    </cfRule>
  </conditionalFormatting>
  <conditionalFormatting sqref="G956">
    <cfRule type="cellIs" dxfId="1227" priority="1103" stopIfTrue="1" operator="notEqual">
      <formula>INDIRECT("Dummy_for_Comparison4!"&amp;ADDRESS(ROW(),COLUMN()))</formula>
    </cfRule>
  </conditionalFormatting>
  <conditionalFormatting sqref="K956">
    <cfRule type="cellIs" dxfId="1226" priority="987" stopIfTrue="1" operator="notEqual">
      <formula>INDIRECT("Dummy_for_Comparison4!"&amp;ADDRESS(ROW(),COLUMN()))</formula>
    </cfRule>
  </conditionalFormatting>
  <conditionalFormatting sqref="O956">
    <cfRule type="cellIs" dxfId="1225" priority="1016" stopIfTrue="1" operator="notEqual">
      <formula>INDIRECT("Dummy_for_Comparison4!"&amp;ADDRESS(ROW(),COLUMN()))</formula>
    </cfRule>
  </conditionalFormatting>
  <conditionalFormatting sqref="E957">
    <cfRule type="cellIs" dxfId="1224" priority="1073" stopIfTrue="1" operator="notEqual">
      <formula>INDIRECT("Dummy_for_Comparison4!"&amp;ADDRESS(ROW(),COLUMN()))</formula>
    </cfRule>
  </conditionalFormatting>
  <conditionalFormatting sqref="F957">
    <cfRule type="cellIs" dxfId="1223" priority="1044" stopIfTrue="1" operator="notEqual">
      <formula>INDIRECT("Dummy_for_Comparison4!"&amp;ADDRESS(ROW(),COLUMN()))</formula>
    </cfRule>
  </conditionalFormatting>
  <conditionalFormatting sqref="G957">
    <cfRule type="cellIs" dxfId="1222" priority="1102" stopIfTrue="1" operator="notEqual">
      <formula>INDIRECT("Dummy_for_Comparison4!"&amp;ADDRESS(ROW(),COLUMN()))</formula>
    </cfRule>
  </conditionalFormatting>
  <conditionalFormatting sqref="K957">
    <cfRule type="cellIs" dxfId="1221" priority="986" stopIfTrue="1" operator="notEqual">
      <formula>INDIRECT("Dummy_for_Comparison4!"&amp;ADDRESS(ROW(),COLUMN()))</formula>
    </cfRule>
  </conditionalFormatting>
  <conditionalFormatting sqref="O957">
    <cfRule type="cellIs" dxfId="1220" priority="1015" stopIfTrue="1" operator="notEqual">
      <formula>INDIRECT("Dummy_for_Comparison4!"&amp;ADDRESS(ROW(),COLUMN()))</formula>
    </cfRule>
  </conditionalFormatting>
  <conditionalFormatting sqref="E958">
    <cfRule type="cellIs" dxfId="1219" priority="1071" stopIfTrue="1" operator="notEqual">
      <formula>INDIRECT("Dummy_for_Comparison4!"&amp;ADDRESS(ROW(),COLUMN()))</formula>
    </cfRule>
  </conditionalFormatting>
  <conditionalFormatting sqref="F958">
    <cfRule type="cellIs" dxfId="1218" priority="1042" stopIfTrue="1" operator="notEqual">
      <formula>INDIRECT("Dummy_for_Comparison4!"&amp;ADDRESS(ROW(),COLUMN()))</formula>
    </cfRule>
  </conditionalFormatting>
  <conditionalFormatting sqref="G958">
    <cfRule type="cellIs" dxfId="1217" priority="1100" stopIfTrue="1" operator="notEqual">
      <formula>INDIRECT("Dummy_for_Comparison4!"&amp;ADDRESS(ROW(),COLUMN()))</formula>
    </cfRule>
  </conditionalFormatting>
  <conditionalFormatting sqref="K958">
    <cfRule type="cellIs" dxfId="1216" priority="984" stopIfTrue="1" operator="notEqual">
      <formula>INDIRECT("Dummy_for_Comparison4!"&amp;ADDRESS(ROW(),COLUMN()))</formula>
    </cfRule>
  </conditionalFormatting>
  <conditionalFormatting sqref="O958">
    <cfRule type="cellIs" dxfId="1215" priority="1013" stopIfTrue="1" operator="notEqual">
      <formula>INDIRECT("Dummy_for_Comparison4!"&amp;ADDRESS(ROW(),COLUMN()))</formula>
    </cfRule>
  </conditionalFormatting>
  <conditionalFormatting sqref="E959">
    <cfRule type="cellIs" dxfId="1214" priority="1070" stopIfTrue="1" operator="notEqual">
      <formula>INDIRECT("Dummy_for_Comparison4!"&amp;ADDRESS(ROW(),COLUMN()))</formula>
    </cfRule>
  </conditionalFormatting>
  <conditionalFormatting sqref="F959">
    <cfRule type="cellIs" dxfId="1213" priority="1041" stopIfTrue="1" operator="notEqual">
      <formula>INDIRECT("Dummy_for_Comparison4!"&amp;ADDRESS(ROW(),COLUMN()))</formula>
    </cfRule>
  </conditionalFormatting>
  <conditionalFormatting sqref="G959">
    <cfRule type="cellIs" dxfId="1212" priority="1099" stopIfTrue="1" operator="notEqual">
      <formula>INDIRECT("Dummy_for_Comparison4!"&amp;ADDRESS(ROW(),COLUMN()))</formula>
    </cfRule>
  </conditionalFormatting>
  <conditionalFormatting sqref="K959">
    <cfRule type="cellIs" dxfId="1211" priority="983" stopIfTrue="1" operator="notEqual">
      <formula>INDIRECT("Dummy_for_Comparison4!"&amp;ADDRESS(ROW(),COLUMN()))</formula>
    </cfRule>
  </conditionalFormatting>
  <conditionalFormatting sqref="O959">
    <cfRule type="cellIs" dxfId="1210" priority="1012" stopIfTrue="1" operator="notEqual">
      <formula>INDIRECT("Dummy_for_Comparison4!"&amp;ADDRESS(ROW(),COLUMN()))</formula>
    </cfRule>
  </conditionalFormatting>
  <conditionalFormatting sqref="E960">
    <cfRule type="cellIs" dxfId="1209" priority="1069" stopIfTrue="1" operator="notEqual">
      <formula>INDIRECT("Dummy_for_Comparison4!"&amp;ADDRESS(ROW(),COLUMN()))</formula>
    </cfRule>
  </conditionalFormatting>
  <conditionalFormatting sqref="F960">
    <cfRule type="cellIs" dxfId="1208" priority="1040" stopIfTrue="1" operator="notEqual">
      <formula>INDIRECT("Dummy_for_Comparison4!"&amp;ADDRESS(ROW(),COLUMN()))</formula>
    </cfRule>
  </conditionalFormatting>
  <conditionalFormatting sqref="G960">
    <cfRule type="cellIs" dxfId="1207" priority="1098" stopIfTrue="1" operator="notEqual">
      <formula>INDIRECT("Dummy_for_Comparison4!"&amp;ADDRESS(ROW(),COLUMN()))</formula>
    </cfRule>
  </conditionalFormatting>
  <conditionalFormatting sqref="K960">
    <cfRule type="cellIs" dxfId="1206" priority="982" stopIfTrue="1" operator="notEqual">
      <formula>INDIRECT("Dummy_for_Comparison4!"&amp;ADDRESS(ROW(),COLUMN()))</formula>
    </cfRule>
  </conditionalFormatting>
  <conditionalFormatting sqref="O960">
    <cfRule type="cellIs" dxfId="1205" priority="1011" stopIfTrue="1" operator="notEqual">
      <formula>INDIRECT("Dummy_for_Comparison4!"&amp;ADDRESS(ROW(),COLUMN()))</formula>
    </cfRule>
  </conditionalFormatting>
  <conditionalFormatting sqref="E961">
    <cfRule type="cellIs" dxfId="1204" priority="1068" stopIfTrue="1" operator="notEqual">
      <formula>INDIRECT("Dummy_for_Comparison4!"&amp;ADDRESS(ROW(),COLUMN()))</formula>
    </cfRule>
  </conditionalFormatting>
  <conditionalFormatting sqref="F961">
    <cfRule type="cellIs" dxfId="1203" priority="1039" stopIfTrue="1" operator="notEqual">
      <formula>INDIRECT("Dummy_for_Comparison4!"&amp;ADDRESS(ROW(),COLUMN()))</formula>
    </cfRule>
  </conditionalFormatting>
  <conditionalFormatting sqref="G961">
    <cfRule type="cellIs" dxfId="1202" priority="1097" stopIfTrue="1" operator="notEqual">
      <formula>INDIRECT("Dummy_for_Comparison4!"&amp;ADDRESS(ROW(),COLUMN()))</formula>
    </cfRule>
  </conditionalFormatting>
  <conditionalFormatting sqref="K961">
    <cfRule type="cellIs" dxfId="1201" priority="981" stopIfTrue="1" operator="notEqual">
      <formula>INDIRECT("Dummy_for_Comparison4!"&amp;ADDRESS(ROW(),COLUMN()))</formula>
    </cfRule>
  </conditionalFormatting>
  <conditionalFormatting sqref="O961">
    <cfRule type="cellIs" dxfId="1200" priority="1010" stopIfTrue="1" operator="notEqual">
      <formula>INDIRECT("Dummy_for_Comparison4!"&amp;ADDRESS(ROW(),COLUMN()))</formula>
    </cfRule>
  </conditionalFormatting>
  <conditionalFormatting sqref="E962">
    <cfRule type="cellIs" dxfId="1199" priority="1067" stopIfTrue="1" operator="notEqual">
      <formula>INDIRECT("Dummy_for_Comparison4!"&amp;ADDRESS(ROW(),COLUMN()))</formula>
    </cfRule>
  </conditionalFormatting>
  <conditionalFormatting sqref="F962">
    <cfRule type="cellIs" dxfId="1198" priority="1038" stopIfTrue="1" operator="notEqual">
      <formula>INDIRECT("Dummy_for_Comparison4!"&amp;ADDRESS(ROW(),COLUMN()))</formula>
    </cfRule>
  </conditionalFormatting>
  <conditionalFormatting sqref="G962">
    <cfRule type="cellIs" dxfId="1197" priority="1096" stopIfTrue="1" operator="notEqual">
      <formula>INDIRECT("Dummy_for_Comparison4!"&amp;ADDRESS(ROW(),COLUMN()))</formula>
    </cfRule>
  </conditionalFormatting>
  <conditionalFormatting sqref="K962">
    <cfRule type="cellIs" dxfId="1196" priority="980" stopIfTrue="1" operator="notEqual">
      <formula>INDIRECT("Dummy_for_Comparison4!"&amp;ADDRESS(ROW(),COLUMN()))</formula>
    </cfRule>
  </conditionalFormatting>
  <conditionalFormatting sqref="O962">
    <cfRule type="cellIs" dxfId="1195" priority="1009" stopIfTrue="1" operator="notEqual">
      <formula>INDIRECT("Dummy_for_Comparison4!"&amp;ADDRESS(ROW(),COLUMN()))</formula>
    </cfRule>
  </conditionalFormatting>
  <conditionalFormatting sqref="E963">
    <cfRule type="cellIs" dxfId="1194" priority="1066" stopIfTrue="1" operator="notEqual">
      <formula>INDIRECT("Dummy_for_Comparison4!"&amp;ADDRESS(ROW(),COLUMN()))</formula>
    </cfRule>
  </conditionalFormatting>
  <conditionalFormatting sqref="F963">
    <cfRule type="cellIs" dxfId="1193" priority="1037" stopIfTrue="1" operator="notEqual">
      <formula>INDIRECT("Dummy_for_Comparison4!"&amp;ADDRESS(ROW(),COLUMN()))</formula>
    </cfRule>
  </conditionalFormatting>
  <conditionalFormatting sqref="G963">
    <cfRule type="cellIs" dxfId="1192" priority="1095" stopIfTrue="1" operator="notEqual">
      <formula>INDIRECT("Dummy_for_Comparison4!"&amp;ADDRESS(ROW(),COLUMN()))</formula>
    </cfRule>
  </conditionalFormatting>
  <conditionalFormatting sqref="K963">
    <cfRule type="cellIs" dxfId="1191" priority="979" stopIfTrue="1" operator="notEqual">
      <formula>INDIRECT("Dummy_for_Comparison4!"&amp;ADDRESS(ROW(),COLUMN()))</formula>
    </cfRule>
  </conditionalFormatting>
  <conditionalFormatting sqref="O963">
    <cfRule type="cellIs" dxfId="1190" priority="1008" stopIfTrue="1" operator="notEqual">
      <formula>INDIRECT("Dummy_for_Comparison4!"&amp;ADDRESS(ROW(),COLUMN()))</formula>
    </cfRule>
  </conditionalFormatting>
  <conditionalFormatting sqref="E964">
    <cfRule type="cellIs" dxfId="1189" priority="1065" stopIfTrue="1" operator="notEqual">
      <formula>INDIRECT("Dummy_for_Comparison4!"&amp;ADDRESS(ROW(),COLUMN()))</formula>
    </cfRule>
  </conditionalFormatting>
  <conditionalFormatting sqref="F964">
    <cfRule type="cellIs" dxfId="1188" priority="1036" stopIfTrue="1" operator="notEqual">
      <formula>INDIRECT("Dummy_for_Comparison4!"&amp;ADDRESS(ROW(),COLUMN()))</formula>
    </cfRule>
  </conditionalFormatting>
  <conditionalFormatting sqref="G964">
    <cfRule type="cellIs" dxfId="1187" priority="1094" stopIfTrue="1" operator="notEqual">
      <formula>INDIRECT("Dummy_for_Comparison4!"&amp;ADDRESS(ROW(),COLUMN()))</formula>
    </cfRule>
  </conditionalFormatting>
  <conditionalFormatting sqref="K964">
    <cfRule type="cellIs" dxfId="1186" priority="978" stopIfTrue="1" operator="notEqual">
      <formula>INDIRECT("Dummy_for_Comparison4!"&amp;ADDRESS(ROW(),COLUMN()))</formula>
    </cfRule>
  </conditionalFormatting>
  <conditionalFormatting sqref="O964">
    <cfRule type="cellIs" dxfId="1185" priority="1007" stopIfTrue="1" operator="notEqual">
      <formula>INDIRECT("Dummy_for_Comparison4!"&amp;ADDRESS(ROW(),COLUMN()))</formula>
    </cfRule>
  </conditionalFormatting>
  <conditionalFormatting sqref="E965">
    <cfRule type="cellIs" dxfId="1184" priority="1064" stopIfTrue="1" operator="notEqual">
      <formula>INDIRECT("Dummy_for_Comparison4!"&amp;ADDRESS(ROW(),COLUMN()))</formula>
    </cfRule>
  </conditionalFormatting>
  <conditionalFormatting sqref="F965">
    <cfRule type="cellIs" dxfId="1183" priority="1035" stopIfTrue="1" operator="notEqual">
      <formula>INDIRECT("Dummy_for_Comparison4!"&amp;ADDRESS(ROW(),COLUMN()))</formula>
    </cfRule>
  </conditionalFormatting>
  <conditionalFormatting sqref="G965">
    <cfRule type="cellIs" dxfId="1182" priority="1093" stopIfTrue="1" operator="notEqual">
      <formula>INDIRECT("Dummy_for_Comparison4!"&amp;ADDRESS(ROW(),COLUMN()))</formula>
    </cfRule>
  </conditionalFormatting>
  <conditionalFormatting sqref="K965">
    <cfRule type="cellIs" dxfId="1181" priority="977" stopIfTrue="1" operator="notEqual">
      <formula>INDIRECT("Dummy_for_Comparison4!"&amp;ADDRESS(ROW(),COLUMN()))</formula>
    </cfRule>
  </conditionalFormatting>
  <conditionalFormatting sqref="O965">
    <cfRule type="cellIs" dxfId="1180" priority="1006" stopIfTrue="1" operator="notEqual">
      <formula>INDIRECT("Dummy_for_Comparison4!"&amp;ADDRESS(ROW(),COLUMN()))</formula>
    </cfRule>
  </conditionalFormatting>
  <conditionalFormatting sqref="C976">
    <cfRule type="cellIs" dxfId="1179" priority="2286" stopIfTrue="1" operator="notEqual">
      <formula>INDIRECT("Dummy_for_Comparison4!"&amp;ADDRESS(ROW(),COLUMN()))</formula>
    </cfRule>
  </conditionalFormatting>
  <conditionalFormatting sqref="C977">
    <cfRule type="cellIs" dxfId="1178" priority="2281" stopIfTrue="1" operator="notEqual">
      <formula>INDIRECT("Dummy_for_Comparison4!"&amp;ADDRESS(ROW(),COLUMN()))</formula>
    </cfRule>
  </conditionalFormatting>
  <conditionalFormatting sqref="E977">
    <cfRule type="cellIs" dxfId="1177" priority="2283" stopIfTrue="1" operator="notEqual">
      <formula>INDIRECT("Dummy_for_Comparison4!"&amp;ADDRESS(ROW(),COLUMN()))</formula>
    </cfRule>
  </conditionalFormatting>
  <conditionalFormatting sqref="F977">
    <cfRule type="cellIs" dxfId="1176" priority="2282" stopIfTrue="1" operator="notEqual">
      <formula>INDIRECT("Dummy_for_Comparison4!"&amp;ADDRESS(ROW(),COLUMN()))</formula>
    </cfRule>
  </conditionalFormatting>
  <conditionalFormatting sqref="G977">
    <cfRule type="cellIs" dxfId="1175" priority="2284" stopIfTrue="1" operator="notEqual">
      <formula>INDIRECT("Dummy_for_Comparison4!"&amp;ADDRESS(ROW(),COLUMN()))</formula>
    </cfRule>
  </conditionalFormatting>
  <conditionalFormatting sqref="K977">
    <cfRule type="cellIs" dxfId="1174" priority="1384" stopIfTrue="1" operator="notEqual">
      <formula>INDIRECT("Dummy_for_Comparison4!"&amp;ADDRESS(ROW(),COLUMN()))</formula>
    </cfRule>
  </conditionalFormatting>
  <conditionalFormatting sqref="C978">
    <cfRule type="cellIs" dxfId="1173" priority="2276" stopIfTrue="1" operator="notEqual">
      <formula>INDIRECT("Dummy_for_Comparison4!"&amp;ADDRESS(ROW(),COLUMN()))</formula>
    </cfRule>
  </conditionalFormatting>
  <conditionalFormatting sqref="E978">
    <cfRule type="cellIs" dxfId="1172" priority="2278" stopIfTrue="1" operator="notEqual">
      <formula>INDIRECT("Dummy_for_Comparison4!"&amp;ADDRESS(ROW(),COLUMN()))</formula>
    </cfRule>
  </conditionalFormatting>
  <conditionalFormatting sqref="F978">
    <cfRule type="cellIs" dxfId="1171" priority="2277" stopIfTrue="1" operator="notEqual">
      <formula>INDIRECT("Dummy_for_Comparison4!"&amp;ADDRESS(ROW(),COLUMN()))</formula>
    </cfRule>
  </conditionalFormatting>
  <conditionalFormatting sqref="G978">
    <cfRule type="cellIs" dxfId="1170" priority="2279" stopIfTrue="1" operator="notEqual">
      <formula>INDIRECT("Dummy_for_Comparison4!"&amp;ADDRESS(ROW(),COLUMN()))</formula>
    </cfRule>
  </conditionalFormatting>
  <conditionalFormatting sqref="K978">
    <cfRule type="cellIs" dxfId="1169" priority="1383" stopIfTrue="1" operator="notEqual">
      <formula>INDIRECT("Dummy_for_Comparison4!"&amp;ADDRESS(ROW(),COLUMN()))</formula>
    </cfRule>
  </conditionalFormatting>
  <conditionalFormatting sqref="C979">
    <cfRule type="cellIs" dxfId="1168" priority="2271" stopIfTrue="1" operator="notEqual">
      <formula>INDIRECT("Dummy_for_Comparison4!"&amp;ADDRESS(ROW(),COLUMN()))</formula>
    </cfRule>
  </conditionalFormatting>
  <conditionalFormatting sqref="E979">
    <cfRule type="cellIs" dxfId="1167" priority="2273" stopIfTrue="1" operator="notEqual">
      <formula>INDIRECT("Dummy_for_Comparison4!"&amp;ADDRESS(ROW(),COLUMN()))</formula>
    </cfRule>
  </conditionalFormatting>
  <conditionalFormatting sqref="F979">
    <cfRule type="cellIs" dxfId="1166" priority="2272" stopIfTrue="1" operator="notEqual">
      <formula>INDIRECT("Dummy_for_Comparison4!"&amp;ADDRESS(ROW(),COLUMN()))</formula>
    </cfRule>
  </conditionalFormatting>
  <conditionalFormatting sqref="G979">
    <cfRule type="cellIs" dxfId="1165" priority="2274" stopIfTrue="1" operator="notEqual">
      <formula>INDIRECT("Dummy_for_Comparison4!"&amp;ADDRESS(ROW(),COLUMN()))</formula>
    </cfRule>
  </conditionalFormatting>
  <conditionalFormatting sqref="K979">
    <cfRule type="cellIs" dxfId="1164" priority="1382" stopIfTrue="1" operator="notEqual">
      <formula>INDIRECT("Dummy_for_Comparison4!"&amp;ADDRESS(ROW(),COLUMN()))</formula>
    </cfRule>
  </conditionalFormatting>
  <conditionalFormatting sqref="G984">
    <cfRule type="cellIs" dxfId="1163" priority="1298" stopIfTrue="1" operator="notEqual">
      <formula>INDIRECT("Dummy_for_Comparison4!"&amp;ADDRESS(ROW(),COLUMN()))</formula>
    </cfRule>
  </conditionalFormatting>
  <conditionalFormatting sqref="G985">
    <cfRule type="cellIs" dxfId="1162" priority="1297" stopIfTrue="1" operator="notEqual">
      <formula>INDIRECT("Dummy_for_Comparison4!"&amp;ADDRESS(ROW(),COLUMN()))</formula>
    </cfRule>
  </conditionalFormatting>
  <conditionalFormatting sqref="G986">
    <cfRule type="cellIs" dxfId="1161" priority="1296" stopIfTrue="1" operator="notEqual">
      <formula>INDIRECT("Dummy_for_Comparison4!"&amp;ADDRESS(ROW(),COLUMN()))</formula>
    </cfRule>
  </conditionalFormatting>
  <conditionalFormatting sqref="G987">
    <cfRule type="cellIs" dxfId="1160" priority="1294" stopIfTrue="1" operator="notEqual">
      <formula>INDIRECT("Dummy_for_Comparison4!"&amp;ADDRESS(ROW(),COLUMN()))</formula>
    </cfRule>
  </conditionalFormatting>
  <conditionalFormatting sqref="E1006">
    <cfRule type="cellIs" dxfId="1159" priority="880" stopIfTrue="1" operator="notEqual">
      <formula>INDIRECT("Dummy_for_Comparison4!"&amp;ADDRESS(ROW(),COLUMN()))</formula>
    </cfRule>
  </conditionalFormatting>
  <conditionalFormatting sqref="F1006">
    <cfRule type="cellIs" dxfId="1158" priority="834" stopIfTrue="1" operator="notEqual">
      <formula>INDIRECT("Dummy_for_Comparison4!"&amp;ADDRESS(ROW(),COLUMN()))</formula>
    </cfRule>
  </conditionalFormatting>
  <conditionalFormatting sqref="G1006">
    <cfRule type="cellIs" dxfId="1157" priority="926" stopIfTrue="1" operator="notEqual">
      <formula>INDIRECT("Dummy_for_Comparison4!"&amp;ADDRESS(ROW(),COLUMN()))</formula>
    </cfRule>
  </conditionalFormatting>
  <conditionalFormatting sqref="K1006">
    <cfRule type="cellIs" dxfId="1156" priority="742" stopIfTrue="1" operator="notEqual">
      <formula>INDIRECT("Dummy_for_Comparison4!"&amp;ADDRESS(ROW(),COLUMN()))</formula>
    </cfRule>
  </conditionalFormatting>
  <conditionalFormatting sqref="O1006">
    <cfRule type="cellIs" dxfId="1155" priority="788" stopIfTrue="1" operator="notEqual">
      <formula>INDIRECT("Dummy_for_Comparison4!"&amp;ADDRESS(ROW(),COLUMN()))</formula>
    </cfRule>
  </conditionalFormatting>
  <conditionalFormatting sqref="E1007">
    <cfRule type="cellIs" dxfId="1154" priority="879" stopIfTrue="1" operator="notEqual">
      <formula>INDIRECT("Dummy_for_Comparison4!"&amp;ADDRESS(ROW(),COLUMN()))</formula>
    </cfRule>
  </conditionalFormatting>
  <conditionalFormatting sqref="F1007">
    <cfRule type="cellIs" dxfId="1153" priority="833" stopIfTrue="1" operator="notEqual">
      <formula>INDIRECT("Dummy_for_Comparison4!"&amp;ADDRESS(ROW(),COLUMN()))</formula>
    </cfRule>
  </conditionalFormatting>
  <conditionalFormatting sqref="G1007">
    <cfRule type="cellIs" dxfId="1152" priority="925" stopIfTrue="1" operator="notEqual">
      <formula>INDIRECT("Dummy_for_Comparison4!"&amp;ADDRESS(ROW(),COLUMN()))</formula>
    </cfRule>
  </conditionalFormatting>
  <conditionalFormatting sqref="K1007">
    <cfRule type="cellIs" dxfId="1151" priority="741" stopIfTrue="1" operator="notEqual">
      <formula>INDIRECT("Dummy_for_Comparison4!"&amp;ADDRESS(ROW(),COLUMN()))</formula>
    </cfRule>
  </conditionalFormatting>
  <conditionalFormatting sqref="O1007">
    <cfRule type="cellIs" dxfId="1150" priority="787" stopIfTrue="1" operator="notEqual">
      <formula>INDIRECT("Dummy_for_Comparison4!"&amp;ADDRESS(ROW(),COLUMN()))</formula>
    </cfRule>
  </conditionalFormatting>
  <conditionalFormatting sqref="E1008">
    <cfRule type="cellIs" dxfId="1149" priority="878" stopIfTrue="1" operator="notEqual">
      <formula>INDIRECT("Dummy_for_Comparison4!"&amp;ADDRESS(ROW(),COLUMN()))</formula>
    </cfRule>
  </conditionalFormatting>
  <conditionalFormatting sqref="F1008">
    <cfRule type="cellIs" dxfId="1148" priority="832" stopIfTrue="1" operator="notEqual">
      <formula>INDIRECT("Dummy_for_Comparison4!"&amp;ADDRESS(ROW(),COLUMN()))</formula>
    </cfRule>
  </conditionalFormatting>
  <conditionalFormatting sqref="G1008">
    <cfRule type="cellIs" dxfId="1147" priority="924" stopIfTrue="1" operator="notEqual">
      <formula>INDIRECT("Dummy_for_Comparison4!"&amp;ADDRESS(ROW(),COLUMN()))</formula>
    </cfRule>
  </conditionalFormatting>
  <conditionalFormatting sqref="K1008">
    <cfRule type="cellIs" dxfId="1146" priority="740" stopIfTrue="1" operator="notEqual">
      <formula>INDIRECT("Dummy_for_Comparison4!"&amp;ADDRESS(ROW(),COLUMN()))</formula>
    </cfRule>
  </conditionalFormatting>
  <conditionalFormatting sqref="O1008">
    <cfRule type="cellIs" dxfId="1145" priority="786" stopIfTrue="1" operator="notEqual">
      <formula>INDIRECT("Dummy_for_Comparison4!"&amp;ADDRESS(ROW(),COLUMN()))</formula>
    </cfRule>
  </conditionalFormatting>
  <conditionalFormatting sqref="E1009">
    <cfRule type="cellIs" dxfId="1144" priority="877" stopIfTrue="1" operator="notEqual">
      <formula>INDIRECT("Dummy_for_Comparison4!"&amp;ADDRESS(ROW(),COLUMN()))</formula>
    </cfRule>
  </conditionalFormatting>
  <conditionalFormatting sqref="F1009">
    <cfRule type="cellIs" dxfId="1143" priority="831" stopIfTrue="1" operator="notEqual">
      <formula>INDIRECT("Dummy_for_Comparison4!"&amp;ADDRESS(ROW(),COLUMN()))</formula>
    </cfRule>
  </conditionalFormatting>
  <conditionalFormatting sqref="G1009">
    <cfRule type="cellIs" dxfId="1142" priority="923" stopIfTrue="1" operator="notEqual">
      <formula>INDIRECT("Dummy_for_Comparison4!"&amp;ADDRESS(ROW(),COLUMN()))</formula>
    </cfRule>
  </conditionalFormatting>
  <conditionalFormatting sqref="K1009">
    <cfRule type="cellIs" dxfId="1141" priority="739" stopIfTrue="1" operator="notEqual">
      <formula>INDIRECT("Dummy_for_Comparison4!"&amp;ADDRESS(ROW(),COLUMN()))</formula>
    </cfRule>
  </conditionalFormatting>
  <conditionalFormatting sqref="O1009">
    <cfRule type="cellIs" dxfId="1140" priority="785" stopIfTrue="1" operator="notEqual">
      <formula>INDIRECT("Dummy_for_Comparison4!"&amp;ADDRESS(ROW(),COLUMN()))</formula>
    </cfRule>
  </conditionalFormatting>
  <conditionalFormatting sqref="E1010">
    <cfRule type="cellIs" dxfId="1139" priority="876" stopIfTrue="1" operator="notEqual">
      <formula>INDIRECT("Dummy_for_Comparison4!"&amp;ADDRESS(ROW(),COLUMN()))</formula>
    </cfRule>
  </conditionalFormatting>
  <conditionalFormatting sqref="F1010">
    <cfRule type="cellIs" dxfId="1138" priority="830" stopIfTrue="1" operator="notEqual">
      <formula>INDIRECT("Dummy_for_Comparison4!"&amp;ADDRESS(ROW(),COLUMN()))</formula>
    </cfRule>
  </conditionalFormatting>
  <conditionalFormatting sqref="G1010">
    <cfRule type="cellIs" dxfId="1137" priority="922" stopIfTrue="1" operator="notEqual">
      <formula>INDIRECT("Dummy_for_Comparison4!"&amp;ADDRESS(ROW(),COLUMN()))</formula>
    </cfRule>
  </conditionalFormatting>
  <conditionalFormatting sqref="K1010">
    <cfRule type="cellIs" dxfId="1136" priority="738" stopIfTrue="1" operator="notEqual">
      <formula>INDIRECT("Dummy_for_Comparison4!"&amp;ADDRESS(ROW(),COLUMN()))</formula>
    </cfRule>
  </conditionalFormatting>
  <conditionalFormatting sqref="O1010">
    <cfRule type="cellIs" dxfId="1135" priority="784" stopIfTrue="1" operator="notEqual">
      <formula>INDIRECT("Dummy_for_Comparison4!"&amp;ADDRESS(ROW(),COLUMN()))</formula>
    </cfRule>
  </conditionalFormatting>
  <conditionalFormatting sqref="E1011">
    <cfRule type="cellIs" dxfId="1134" priority="875" stopIfTrue="1" operator="notEqual">
      <formula>INDIRECT("Dummy_for_Comparison4!"&amp;ADDRESS(ROW(),COLUMN()))</formula>
    </cfRule>
  </conditionalFormatting>
  <conditionalFormatting sqref="F1011">
    <cfRule type="cellIs" dxfId="1133" priority="829" stopIfTrue="1" operator="notEqual">
      <formula>INDIRECT("Dummy_for_Comparison4!"&amp;ADDRESS(ROW(),COLUMN()))</formula>
    </cfRule>
  </conditionalFormatting>
  <conditionalFormatting sqref="G1011">
    <cfRule type="cellIs" dxfId="1132" priority="921" stopIfTrue="1" operator="notEqual">
      <formula>INDIRECT("Dummy_for_Comparison4!"&amp;ADDRESS(ROW(),COLUMN()))</formula>
    </cfRule>
  </conditionalFormatting>
  <conditionalFormatting sqref="K1011">
    <cfRule type="cellIs" dxfId="1131" priority="737" stopIfTrue="1" operator="notEqual">
      <formula>INDIRECT("Dummy_for_Comparison4!"&amp;ADDRESS(ROW(),COLUMN()))</formula>
    </cfRule>
  </conditionalFormatting>
  <conditionalFormatting sqref="O1011">
    <cfRule type="cellIs" dxfId="1130" priority="783" stopIfTrue="1" operator="notEqual">
      <formula>INDIRECT("Dummy_for_Comparison4!"&amp;ADDRESS(ROW(),COLUMN()))</formula>
    </cfRule>
  </conditionalFormatting>
  <conditionalFormatting sqref="E1012">
    <cfRule type="cellIs" dxfId="1129" priority="874" stopIfTrue="1" operator="notEqual">
      <formula>INDIRECT("Dummy_for_Comparison4!"&amp;ADDRESS(ROW(),COLUMN()))</formula>
    </cfRule>
  </conditionalFormatting>
  <conditionalFormatting sqref="F1012">
    <cfRule type="cellIs" dxfId="1128" priority="828" stopIfTrue="1" operator="notEqual">
      <formula>INDIRECT("Dummy_for_Comparison4!"&amp;ADDRESS(ROW(),COLUMN()))</formula>
    </cfRule>
  </conditionalFormatting>
  <conditionalFormatting sqref="G1012">
    <cfRule type="cellIs" dxfId="1127" priority="920" stopIfTrue="1" operator="notEqual">
      <formula>INDIRECT("Dummy_for_Comparison4!"&amp;ADDRESS(ROW(),COLUMN()))</formula>
    </cfRule>
  </conditionalFormatting>
  <conditionalFormatting sqref="K1012">
    <cfRule type="cellIs" dxfId="1126" priority="736" stopIfTrue="1" operator="notEqual">
      <formula>INDIRECT("Dummy_for_Comparison4!"&amp;ADDRESS(ROW(),COLUMN()))</formula>
    </cfRule>
  </conditionalFormatting>
  <conditionalFormatting sqref="O1012">
    <cfRule type="cellIs" dxfId="1125" priority="782" stopIfTrue="1" operator="notEqual">
      <formula>INDIRECT("Dummy_for_Comparison4!"&amp;ADDRESS(ROW(),COLUMN()))</formula>
    </cfRule>
  </conditionalFormatting>
  <conditionalFormatting sqref="E1013">
    <cfRule type="cellIs" dxfId="1124" priority="873" stopIfTrue="1" operator="notEqual">
      <formula>INDIRECT("Dummy_for_Comparison4!"&amp;ADDRESS(ROW(),COLUMN()))</formula>
    </cfRule>
  </conditionalFormatting>
  <conditionalFormatting sqref="F1013">
    <cfRule type="cellIs" dxfId="1123" priority="827" stopIfTrue="1" operator="notEqual">
      <formula>INDIRECT("Dummy_for_Comparison4!"&amp;ADDRESS(ROW(),COLUMN()))</formula>
    </cfRule>
  </conditionalFormatting>
  <conditionalFormatting sqref="G1013">
    <cfRule type="cellIs" dxfId="1122" priority="919" stopIfTrue="1" operator="notEqual">
      <formula>INDIRECT("Dummy_for_Comparison4!"&amp;ADDRESS(ROW(),COLUMN()))</formula>
    </cfRule>
  </conditionalFormatting>
  <conditionalFormatting sqref="K1013">
    <cfRule type="cellIs" dxfId="1121" priority="735" stopIfTrue="1" operator="notEqual">
      <formula>INDIRECT("Dummy_for_Comparison4!"&amp;ADDRESS(ROW(),COLUMN()))</formula>
    </cfRule>
  </conditionalFormatting>
  <conditionalFormatting sqref="O1013">
    <cfRule type="cellIs" dxfId="1120" priority="781" stopIfTrue="1" operator="notEqual">
      <formula>INDIRECT("Dummy_for_Comparison4!"&amp;ADDRESS(ROW(),COLUMN()))</formula>
    </cfRule>
  </conditionalFormatting>
  <conditionalFormatting sqref="E1014">
    <cfRule type="cellIs" dxfId="1119" priority="872" stopIfTrue="1" operator="notEqual">
      <formula>INDIRECT("Dummy_for_Comparison4!"&amp;ADDRESS(ROW(),COLUMN()))</formula>
    </cfRule>
  </conditionalFormatting>
  <conditionalFormatting sqref="F1014">
    <cfRule type="cellIs" dxfId="1118" priority="826" stopIfTrue="1" operator="notEqual">
      <formula>INDIRECT("Dummy_for_Comparison4!"&amp;ADDRESS(ROW(),COLUMN()))</formula>
    </cfRule>
  </conditionalFormatting>
  <conditionalFormatting sqref="G1014">
    <cfRule type="cellIs" dxfId="1117" priority="918" stopIfTrue="1" operator="notEqual">
      <formula>INDIRECT("Dummy_for_Comparison4!"&amp;ADDRESS(ROW(),COLUMN()))</formula>
    </cfRule>
  </conditionalFormatting>
  <conditionalFormatting sqref="K1014">
    <cfRule type="cellIs" dxfId="1116" priority="734" stopIfTrue="1" operator="notEqual">
      <formula>INDIRECT("Dummy_for_Comparison4!"&amp;ADDRESS(ROW(),COLUMN()))</formula>
    </cfRule>
  </conditionalFormatting>
  <conditionalFormatting sqref="O1014">
    <cfRule type="cellIs" dxfId="1115" priority="780" stopIfTrue="1" operator="notEqual">
      <formula>INDIRECT("Dummy_for_Comparison4!"&amp;ADDRESS(ROW(),COLUMN()))</formula>
    </cfRule>
  </conditionalFormatting>
  <conditionalFormatting sqref="E1015">
    <cfRule type="cellIs" dxfId="1114" priority="871" stopIfTrue="1" operator="notEqual">
      <formula>INDIRECT("Dummy_for_Comparison4!"&amp;ADDRESS(ROW(),COLUMN()))</formula>
    </cfRule>
  </conditionalFormatting>
  <conditionalFormatting sqref="F1015">
    <cfRule type="cellIs" dxfId="1113" priority="825" stopIfTrue="1" operator="notEqual">
      <formula>INDIRECT("Dummy_for_Comparison4!"&amp;ADDRESS(ROW(),COLUMN()))</formula>
    </cfRule>
  </conditionalFormatting>
  <conditionalFormatting sqref="G1015">
    <cfRule type="cellIs" dxfId="1112" priority="917" stopIfTrue="1" operator="notEqual">
      <formula>INDIRECT("Dummy_for_Comparison4!"&amp;ADDRESS(ROW(),COLUMN()))</formula>
    </cfRule>
  </conditionalFormatting>
  <conditionalFormatting sqref="K1015">
    <cfRule type="cellIs" dxfId="1111" priority="733" stopIfTrue="1" operator="notEqual">
      <formula>INDIRECT("Dummy_for_Comparison4!"&amp;ADDRESS(ROW(),COLUMN()))</formula>
    </cfRule>
  </conditionalFormatting>
  <conditionalFormatting sqref="O1015">
    <cfRule type="cellIs" dxfId="1110" priority="779" stopIfTrue="1" operator="notEqual">
      <formula>INDIRECT("Dummy_for_Comparison4!"&amp;ADDRESS(ROW(),COLUMN()))</formula>
    </cfRule>
  </conditionalFormatting>
  <conditionalFormatting sqref="E1016">
    <cfRule type="cellIs" dxfId="1109" priority="870" stopIfTrue="1" operator="notEqual">
      <formula>INDIRECT("Dummy_for_Comparison4!"&amp;ADDRESS(ROW(),COLUMN()))</formula>
    </cfRule>
  </conditionalFormatting>
  <conditionalFormatting sqref="F1016">
    <cfRule type="cellIs" dxfId="1108" priority="824" stopIfTrue="1" operator="notEqual">
      <formula>INDIRECT("Dummy_for_Comparison4!"&amp;ADDRESS(ROW(),COLUMN()))</formula>
    </cfRule>
  </conditionalFormatting>
  <conditionalFormatting sqref="G1016">
    <cfRule type="cellIs" dxfId="1107" priority="916" stopIfTrue="1" operator="notEqual">
      <formula>INDIRECT("Dummy_for_Comparison4!"&amp;ADDRESS(ROW(),COLUMN()))</formula>
    </cfRule>
  </conditionalFormatting>
  <conditionalFormatting sqref="K1016">
    <cfRule type="cellIs" dxfId="1106" priority="732" stopIfTrue="1" operator="notEqual">
      <formula>INDIRECT("Dummy_for_Comparison4!"&amp;ADDRESS(ROW(),COLUMN()))</formula>
    </cfRule>
  </conditionalFormatting>
  <conditionalFormatting sqref="O1016">
    <cfRule type="cellIs" dxfId="1105" priority="778" stopIfTrue="1" operator="notEqual">
      <formula>INDIRECT("Dummy_for_Comparison4!"&amp;ADDRESS(ROW(),COLUMN()))</formula>
    </cfRule>
  </conditionalFormatting>
  <conditionalFormatting sqref="E1017">
    <cfRule type="cellIs" dxfId="1104" priority="869" stopIfTrue="1" operator="notEqual">
      <formula>INDIRECT("Dummy_for_Comparison4!"&amp;ADDRESS(ROW(),COLUMN()))</formula>
    </cfRule>
  </conditionalFormatting>
  <conditionalFormatting sqref="F1017">
    <cfRule type="cellIs" dxfId="1103" priority="823" stopIfTrue="1" operator="notEqual">
      <formula>INDIRECT("Dummy_for_Comparison4!"&amp;ADDRESS(ROW(),COLUMN()))</formula>
    </cfRule>
  </conditionalFormatting>
  <conditionalFormatting sqref="K1017">
    <cfRule type="cellIs" dxfId="1102" priority="731" stopIfTrue="1" operator="notEqual">
      <formula>INDIRECT("Dummy_for_Comparison4!"&amp;ADDRESS(ROW(),COLUMN()))</formula>
    </cfRule>
  </conditionalFormatting>
  <conditionalFormatting sqref="O1017">
    <cfRule type="cellIs" dxfId="1101" priority="777" stopIfTrue="1" operator="notEqual">
      <formula>INDIRECT("Dummy_for_Comparison4!"&amp;ADDRESS(ROW(),COLUMN()))</formula>
    </cfRule>
  </conditionalFormatting>
  <conditionalFormatting sqref="E1018">
    <cfRule type="cellIs" dxfId="1100" priority="868" stopIfTrue="1" operator="notEqual">
      <formula>INDIRECT("Dummy_for_Comparison4!"&amp;ADDRESS(ROW(),COLUMN()))</formula>
    </cfRule>
  </conditionalFormatting>
  <conditionalFormatting sqref="F1018">
    <cfRule type="cellIs" dxfId="1099" priority="822" stopIfTrue="1" operator="notEqual">
      <formula>INDIRECT("Dummy_for_Comparison4!"&amp;ADDRESS(ROW(),COLUMN()))</formula>
    </cfRule>
  </conditionalFormatting>
  <conditionalFormatting sqref="K1018">
    <cfRule type="cellIs" dxfId="1098" priority="730" stopIfTrue="1" operator="notEqual">
      <formula>INDIRECT("Dummy_for_Comparison4!"&amp;ADDRESS(ROW(),COLUMN()))</formula>
    </cfRule>
  </conditionalFormatting>
  <conditionalFormatting sqref="O1018">
    <cfRule type="cellIs" dxfId="1097" priority="776" stopIfTrue="1" operator="notEqual">
      <formula>INDIRECT("Dummy_for_Comparison4!"&amp;ADDRESS(ROW(),COLUMN()))</formula>
    </cfRule>
  </conditionalFormatting>
  <conditionalFormatting sqref="E1019">
    <cfRule type="cellIs" dxfId="1096" priority="867" stopIfTrue="1" operator="notEqual">
      <formula>INDIRECT("Dummy_for_Comparison4!"&amp;ADDRESS(ROW(),COLUMN()))</formula>
    </cfRule>
  </conditionalFormatting>
  <conditionalFormatting sqref="F1019">
    <cfRule type="cellIs" dxfId="1095" priority="821" stopIfTrue="1" operator="notEqual">
      <formula>INDIRECT("Dummy_for_Comparison4!"&amp;ADDRESS(ROW(),COLUMN()))</formula>
    </cfRule>
  </conditionalFormatting>
  <conditionalFormatting sqref="K1019">
    <cfRule type="cellIs" dxfId="1094" priority="729" stopIfTrue="1" operator="notEqual">
      <formula>INDIRECT("Dummy_for_Comparison4!"&amp;ADDRESS(ROW(),COLUMN()))</formula>
    </cfRule>
  </conditionalFormatting>
  <conditionalFormatting sqref="O1019">
    <cfRule type="cellIs" dxfId="1093" priority="775" stopIfTrue="1" operator="notEqual">
      <formula>INDIRECT("Dummy_for_Comparison4!"&amp;ADDRESS(ROW(),COLUMN()))</formula>
    </cfRule>
  </conditionalFormatting>
  <conditionalFormatting sqref="E1020">
    <cfRule type="cellIs" dxfId="1092" priority="866" stopIfTrue="1" operator="notEqual">
      <formula>INDIRECT("Dummy_for_Comparison4!"&amp;ADDRESS(ROW(),COLUMN()))</formula>
    </cfRule>
  </conditionalFormatting>
  <conditionalFormatting sqref="F1020">
    <cfRule type="cellIs" dxfId="1091" priority="820" stopIfTrue="1" operator="notEqual">
      <formula>INDIRECT("Dummy_for_Comparison4!"&amp;ADDRESS(ROW(),COLUMN()))</formula>
    </cfRule>
  </conditionalFormatting>
  <conditionalFormatting sqref="G1020">
    <cfRule type="cellIs" dxfId="1090" priority="912" stopIfTrue="1" operator="notEqual">
      <formula>INDIRECT("Dummy_for_Comparison4!"&amp;ADDRESS(ROW(),COLUMN()))</formula>
    </cfRule>
  </conditionalFormatting>
  <conditionalFormatting sqref="K1020">
    <cfRule type="cellIs" dxfId="1089" priority="728" stopIfTrue="1" operator="notEqual">
      <formula>INDIRECT("Dummy_for_Comparison4!"&amp;ADDRESS(ROW(),COLUMN()))</formula>
    </cfRule>
  </conditionalFormatting>
  <conditionalFormatting sqref="O1020">
    <cfRule type="cellIs" dxfId="1088" priority="774" stopIfTrue="1" operator="notEqual">
      <formula>INDIRECT("Dummy_for_Comparison4!"&amp;ADDRESS(ROW(),COLUMN()))</formula>
    </cfRule>
  </conditionalFormatting>
  <conditionalFormatting sqref="AJ1020">
    <cfRule type="cellIs" dxfId="1087" priority="684" stopIfTrue="1" operator="notEqual">
      <formula>INDIRECT("Dummy_for_Comparison4!"&amp;ADDRESS(ROW(),COLUMN()))</formula>
    </cfRule>
  </conditionalFormatting>
  <conditionalFormatting sqref="E1021">
    <cfRule type="cellIs" dxfId="1086" priority="865" stopIfTrue="1" operator="notEqual">
      <formula>INDIRECT("Dummy_for_Comparison4!"&amp;ADDRESS(ROW(),COLUMN()))</formula>
    </cfRule>
  </conditionalFormatting>
  <conditionalFormatting sqref="F1021">
    <cfRule type="cellIs" dxfId="1085" priority="819" stopIfTrue="1" operator="notEqual">
      <formula>INDIRECT("Dummy_for_Comparison4!"&amp;ADDRESS(ROW(),COLUMN()))</formula>
    </cfRule>
  </conditionalFormatting>
  <conditionalFormatting sqref="G1021">
    <cfRule type="cellIs" dxfId="1084" priority="911" stopIfTrue="1" operator="notEqual">
      <formula>INDIRECT("Dummy_for_Comparison4!"&amp;ADDRESS(ROW(),COLUMN()))</formula>
    </cfRule>
  </conditionalFormatting>
  <conditionalFormatting sqref="K1021">
    <cfRule type="cellIs" dxfId="1083" priority="727" stopIfTrue="1" operator="notEqual">
      <formula>INDIRECT("Dummy_for_Comparison4!"&amp;ADDRESS(ROW(),COLUMN()))</formula>
    </cfRule>
  </conditionalFormatting>
  <conditionalFormatting sqref="O1021">
    <cfRule type="cellIs" dxfId="1082" priority="773" stopIfTrue="1" operator="notEqual">
      <formula>INDIRECT("Dummy_for_Comparison4!"&amp;ADDRESS(ROW(),COLUMN()))</formula>
    </cfRule>
  </conditionalFormatting>
  <conditionalFormatting sqref="AJ1021">
    <cfRule type="cellIs" dxfId="1081" priority="683" stopIfTrue="1" operator="notEqual">
      <formula>INDIRECT("Dummy_for_Comparison4!"&amp;ADDRESS(ROW(),COLUMN()))</formula>
    </cfRule>
  </conditionalFormatting>
  <conditionalFormatting sqref="E1022">
    <cfRule type="cellIs" dxfId="1080" priority="864" stopIfTrue="1" operator="notEqual">
      <formula>INDIRECT("Dummy_for_Comparison4!"&amp;ADDRESS(ROW(),COLUMN()))</formula>
    </cfRule>
  </conditionalFormatting>
  <conditionalFormatting sqref="F1022">
    <cfRule type="cellIs" dxfId="1079" priority="818" stopIfTrue="1" operator="notEqual">
      <formula>INDIRECT("Dummy_for_Comparison4!"&amp;ADDRESS(ROW(),COLUMN()))</formula>
    </cfRule>
  </conditionalFormatting>
  <conditionalFormatting sqref="G1022">
    <cfRule type="cellIs" dxfId="1078" priority="910" stopIfTrue="1" operator="notEqual">
      <formula>INDIRECT("Dummy_for_Comparison4!"&amp;ADDRESS(ROW(),COLUMN()))</formula>
    </cfRule>
  </conditionalFormatting>
  <conditionalFormatting sqref="K1022">
    <cfRule type="cellIs" dxfId="1077" priority="726" stopIfTrue="1" operator="notEqual">
      <formula>INDIRECT("Dummy_for_Comparison4!"&amp;ADDRESS(ROW(),COLUMN()))</formula>
    </cfRule>
  </conditionalFormatting>
  <conditionalFormatting sqref="O1022">
    <cfRule type="cellIs" dxfId="1076" priority="772" stopIfTrue="1" operator="notEqual">
      <formula>INDIRECT("Dummy_for_Comparison4!"&amp;ADDRESS(ROW(),COLUMN()))</formula>
    </cfRule>
  </conditionalFormatting>
  <conditionalFormatting sqref="AJ1022">
    <cfRule type="cellIs" dxfId="1075" priority="682" stopIfTrue="1" operator="notEqual">
      <formula>INDIRECT("Dummy_for_Comparison4!"&amp;ADDRESS(ROW(),COLUMN()))</formula>
    </cfRule>
  </conditionalFormatting>
  <conditionalFormatting sqref="E1023">
    <cfRule type="cellIs" dxfId="1074" priority="863" stopIfTrue="1" operator="notEqual">
      <formula>INDIRECT("Dummy_for_Comparison4!"&amp;ADDRESS(ROW(),COLUMN()))</formula>
    </cfRule>
  </conditionalFormatting>
  <conditionalFormatting sqref="F1023">
    <cfRule type="cellIs" dxfId="1073" priority="817" stopIfTrue="1" operator="notEqual">
      <formula>INDIRECT("Dummy_for_Comparison4!"&amp;ADDRESS(ROW(),COLUMN()))</formula>
    </cfRule>
  </conditionalFormatting>
  <conditionalFormatting sqref="G1023">
    <cfRule type="cellIs" dxfId="1072" priority="909" stopIfTrue="1" operator="notEqual">
      <formula>INDIRECT("Dummy_for_Comparison4!"&amp;ADDRESS(ROW(),COLUMN()))</formula>
    </cfRule>
  </conditionalFormatting>
  <conditionalFormatting sqref="K1023">
    <cfRule type="cellIs" dxfId="1071" priority="725" stopIfTrue="1" operator="notEqual">
      <formula>INDIRECT("Dummy_for_Comparison4!"&amp;ADDRESS(ROW(),COLUMN()))</formula>
    </cfRule>
  </conditionalFormatting>
  <conditionalFormatting sqref="O1023">
    <cfRule type="cellIs" dxfId="1070" priority="771" stopIfTrue="1" operator="notEqual">
      <formula>INDIRECT("Dummy_for_Comparison4!"&amp;ADDRESS(ROW(),COLUMN()))</formula>
    </cfRule>
  </conditionalFormatting>
  <conditionalFormatting sqref="AJ1023">
    <cfRule type="cellIs" dxfId="1069" priority="681" stopIfTrue="1" operator="notEqual">
      <formula>INDIRECT("Dummy_for_Comparison4!"&amp;ADDRESS(ROW(),COLUMN()))</formula>
    </cfRule>
  </conditionalFormatting>
  <conditionalFormatting sqref="E1024">
    <cfRule type="cellIs" dxfId="1068" priority="862" stopIfTrue="1" operator="notEqual">
      <formula>INDIRECT("Dummy_for_Comparison4!"&amp;ADDRESS(ROW(),COLUMN()))</formula>
    </cfRule>
  </conditionalFormatting>
  <conditionalFormatting sqref="F1024">
    <cfRule type="cellIs" dxfId="1067" priority="816" stopIfTrue="1" operator="notEqual">
      <formula>INDIRECT("Dummy_for_Comparison4!"&amp;ADDRESS(ROW(),COLUMN()))</formula>
    </cfRule>
  </conditionalFormatting>
  <conditionalFormatting sqref="G1024">
    <cfRule type="cellIs" dxfId="1066" priority="908" stopIfTrue="1" operator="notEqual">
      <formula>INDIRECT("Dummy_for_Comparison4!"&amp;ADDRESS(ROW(),COLUMN()))</formula>
    </cfRule>
  </conditionalFormatting>
  <conditionalFormatting sqref="K1024">
    <cfRule type="cellIs" dxfId="1065" priority="724" stopIfTrue="1" operator="notEqual">
      <formula>INDIRECT("Dummy_for_Comparison4!"&amp;ADDRESS(ROW(),COLUMN()))</formula>
    </cfRule>
  </conditionalFormatting>
  <conditionalFormatting sqref="O1024">
    <cfRule type="cellIs" dxfId="1064" priority="770" stopIfTrue="1" operator="notEqual">
      <formula>INDIRECT("Dummy_for_Comparison4!"&amp;ADDRESS(ROW(),COLUMN()))</formula>
    </cfRule>
  </conditionalFormatting>
  <conditionalFormatting sqref="E1025">
    <cfRule type="cellIs" dxfId="1063" priority="861" stopIfTrue="1" operator="notEqual">
      <formula>INDIRECT("Dummy_for_Comparison4!"&amp;ADDRESS(ROW(),COLUMN()))</formula>
    </cfRule>
  </conditionalFormatting>
  <conditionalFormatting sqref="F1025">
    <cfRule type="cellIs" dxfId="1062" priority="815" stopIfTrue="1" operator="notEqual">
      <formula>INDIRECT("Dummy_for_Comparison4!"&amp;ADDRESS(ROW(),COLUMN()))</formula>
    </cfRule>
  </conditionalFormatting>
  <conditionalFormatting sqref="G1025">
    <cfRule type="cellIs" dxfId="1061" priority="907" stopIfTrue="1" operator="notEqual">
      <formula>INDIRECT("Dummy_for_Comparison4!"&amp;ADDRESS(ROW(),COLUMN()))</formula>
    </cfRule>
  </conditionalFormatting>
  <conditionalFormatting sqref="K1025">
    <cfRule type="cellIs" dxfId="1060" priority="723" stopIfTrue="1" operator="notEqual">
      <formula>INDIRECT("Dummy_for_Comparison4!"&amp;ADDRESS(ROW(),COLUMN()))</formula>
    </cfRule>
  </conditionalFormatting>
  <conditionalFormatting sqref="O1025">
    <cfRule type="cellIs" dxfId="1059" priority="769" stopIfTrue="1" operator="notEqual">
      <formula>INDIRECT("Dummy_for_Comparison4!"&amp;ADDRESS(ROW(),COLUMN()))</formula>
    </cfRule>
  </conditionalFormatting>
  <conditionalFormatting sqref="E1026">
    <cfRule type="cellIs" dxfId="1058" priority="860" stopIfTrue="1" operator="notEqual">
      <formula>INDIRECT("Dummy_for_Comparison4!"&amp;ADDRESS(ROW(),COLUMN()))</formula>
    </cfRule>
  </conditionalFormatting>
  <conditionalFormatting sqref="F1026">
    <cfRule type="cellIs" dxfId="1057" priority="814" stopIfTrue="1" operator="notEqual">
      <formula>INDIRECT("Dummy_for_Comparison4!"&amp;ADDRESS(ROW(),COLUMN()))</formula>
    </cfRule>
  </conditionalFormatting>
  <conditionalFormatting sqref="G1026">
    <cfRule type="cellIs" dxfId="1056" priority="906" stopIfTrue="1" operator="notEqual">
      <formula>INDIRECT("Dummy_for_Comparison4!"&amp;ADDRESS(ROW(),COLUMN()))</formula>
    </cfRule>
  </conditionalFormatting>
  <conditionalFormatting sqref="K1026">
    <cfRule type="cellIs" dxfId="1055" priority="722" stopIfTrue="1" operator="notEqual">
      <formula>INDIRECT("Dummy_for_Comparison4!"&amp;ADDRESS(ROW(),COLUMN()))</formula>
    </cfRule>
  </conditionalFormatting>
  <conditionalFormatting sqref="O1026">
    <cfRule type="cellIs" dxfId="1054" priority="768" stopIfTrue="1" operator="notEqual">
      <formula>INDIRECT("Dummy_for_Comparison4!"&amp;ADDRESS(ROW(),COLUMN()))</formula>
    </cfRule>
  </conditionalFormatting>
  <conditionalFormatting sqref="E1027">
    <cfRule type="cellIs" dxfId="1053" priority="859" stopIfTrue="1" operator="notEqual">
      <formula>INDIRECT("Dummy_for_Comparison4!"&amp;ADDRESS(ROW(),COLUMN()))</formula>
    </cfRule>
  </conditionalFormatting>
  <conditionalFormatting sqref="F1027">
    <cfRule type="cellIs" dxfId="1052" priority="813" stopIfTrue="1" operator="notEqual">
      <formula>INDIRECT("Dummy_for_Comparison4!"&amp;ADDRESS(ROW(),COLUMN()))</formula>
    </cfRule>
  </conditionalFormatting>
  <conditionalFormatting sqref="G1027">
    <cfRule type="cellIs" dxfId="1051" priority="905" stopIfTrue="1" operator="notEqual">
      <formula>INDIRECT("Dummy_for_Comparison4!"&amp;ADDRESS(ROW(),COLUMN()))</formula>
    </cfRule>
  </conditionalFormatting>
  <conditionalFormatting sqref="K1027">
    <cfRule type="cellIs" dxfId="1050" priority="721" stopIfTrue="1" operator="notEqual">
      <formula>INDIRECT("Dummy_for_Comparison4!"&amp;ADDRESS(ROW(),COLUMN()))</formula>
    </cfRule>
  </conditionalFormatting>
  <conditionalFormatting sqref="O1027">
    <cfRule type="cellIs" dxfId="1049" priority="767" stopIfTrue="1" operator="notEqual">
      <formula>INDIRECT("Dummy_for_Comparison4!"&amp;ADDRESS(ROW(),COLUMN()))</formula>
    </cfRule>
  </conditionalFormatting>
  <conditionalFormatting sqref="E1028">
    <cfRule type="cellIs" dxfId="1048" priority="858" stopIfTrue="1" operator="notEqual">
      <formula>INDIRECT("Dummy_for_Comparison4!"&amp;ADDRESS(ROW(),COLUMN()))</formula>
    </cfRule>
  </conditionalFormatting>
  <conditionalFormatting sqref="F1028">
    <cfRule type="cellIs" dxfId="1047" priority="812" stopIfTrue="1" operator="notEqual">
      <formula>INDIRECT("Dummy_for_Comparison4!"&amp;ADDRESS(ROW(),COLUMN()))</formula>
    </cfRule>
  </conditionalFormatting>
  <conditionalFormatting sqref="G1028">
    <cfRule type="cellIs" dxfId="1046" priority="904" stopIfTrue="1" operator="notEqual">
      <formula>INDIRECT("Dummy_for_Comparison4!"&amp;ADDRESS(ROW(),COLUMN()))</formula>
    </cfRule>
  </conditionalFormatting>
  <conditionalFormatting sqref="K1028">
    <cfRule type="cellIs" dxfId="1045" priority="720" stopIfTrue="1" operator="notEqual">
      <formula>INDIRECT("Dummy_for_Comparison4!"&amp;ADDRESS(ROW(),COLUMN()))</formula>
    </cfRule>
  </conditionalFormatting>
  <conditionalFormatting sqref="O1028">
    <cfRule type="cellIs" dxfId="1044" priority="766" stopIfTrue="1" operator="notEqual">
      <formula>INDIRECT("Dummy_for_Comparison4!"&amp;ADDRESS(ROW(),COLUMN()))</formula>
    </cfRule>
  </conditionalFormatting>
  <conditionalFormatting sqref="E1029">
    <cfRule type="cellIs" dxfId="1043" priority="857" stopIfTrue="1" operator="notEqual">
      <formula>INDIRECT("Dummy_for_Comparison4!"&amp;ADDRESS(ROW(),COLUMN()))</formula>
    </cfRule>
  </conditionalFormatting>
  <conditionalFormatting sqref="F1029">
    <cfRule type="cellIs" dxfId="1042" priority="811" stopIfTrue="1" operator="notEqual">
      <formula>INDIRECT("Dummy_for_Comparison4!"&amp;ADDRESS(ROW(),COLUMN()))</formula>
    </cfRule>
  </conditionalFormatting>
  <conditionalFormatting sqref="G1029">
    <cfRule type="cellIs" dxfId="1041" priority="903" stopIfTrue="1" operator="notEqual">
      <formula>INDIRECT("Dummy_for_Comparison4!"&amp;ADDRESS(ROW(),COLUMN()))</formula>
    </cfRule>
  </conditionalFormatting>
  <conditionalFormatting sqref="K1029">
    <cfRule type="cellIs" dxfId="1040" priority="719" stopIfTrue="1" operator="notEqual">
      <formula>INDIRECT("Dummy_for_Comparison4!"&amp;ADDRESS(ROW(),COLUMN()))</formula>
    </cfRule>
  </conditionalFormatting>
  <conditionalFormatting sqref="O1029">
    <cfRule type="cellIs" dxfId="1039" priority="765" stopIfTrue="1" operator="notEqual">
      <formula>INDIRECT("Dummy_for_Comparison4!"&amp;ADDRESS(ROW(),COLUMN()))</formula>
    </cfRule>
  </conditionalFormatting>
  <conditionalFormatting sqref="E1030">
    <cfRule type="cellIs" dxfId="1038" priority="856" stopIfTrue="1" operator="notEqual">
      <formula>INDIRECT("Dummy_for_Comparison4!"&amp;ADDRESS(ROW(),COLUMN()))</formula>
    </cfRule>
  </conditionalFormatting>
  <conditionalFormatting sqref="F1030">
    <cfRule type="cellIs" dxfId="1037" priority="810" stopIfTrue="1" operator="notEqual">
      <formula>INDIRECT("Dummy_for_Comparison4!"&amp;ADDRESS(ROW(),COLUMN()))</formula>
    </cfRule>
  </conditionalFormatting>
  <conditionalFormatting sqref="G1030">
    <cfRule type="cellIs" dxfId="1036" priority="902" stopIfTrue="1" operator="notEqual">
      <formula>INDIRECT("Dummy_for_Comparison4!"&amp;ADDRESS(ROW(),COLUMN()))</formula>
    </cfRule>
  </conditionalFormatting>
  <conditionalFormatting sqref="K1030">
    <cfRule type="cellIs" dxfId="1035" priority="718" stopIfTrue="1" operator="notEqual">
      <formula>INDIRECT("Dummy_for_Comparison4!"&amp;ADDRESS(ROW(),COLUMN()))</formula>
    </cfRule>
  </conditionalFormatting>
  <conditionalFormatting sqref="O1030">
    <cfRule type="cellIs" dxfId="1034" priority="764" stopIfTrue="1" operator="notEqual">
      <formula>INDIRECT("Dummy_for_Comparison4!"&amp;ADDRESS(ROW(),COLUMN()))</formula>
    </cfRule>
  </conditionalFormatting>
  <conditionalFormatting sqref="E1031">
    <cfRule type="cellIs" dxfId="1033" priority="855" stopIfTrue="1" operator="notEqual">
      <formula>INDIRECT("Dummy_for_Comparison4!"&amp;ADDRESS(ROW(),COLUMN()))</formula>
    </cfRule>
  </conditionalFormatting>
  <conditionalFormatting sqref="F1031">
    <cfRule type="cellIs" dxfId="1032" priority="809" stopIfTrue="1" operator="notEqual">
      <formula>INDIRECT("Dummy_for_Comparison4!"&amp;ADDRESS(ROW(),COLUMN()))</formula>
    </cfRule>
  </conditionalFormatting>
  <conditionalFormatting sqref="G1031">
    <cfRule type="cellIs" dxfId="1031" priority="901" stopIfTrue="1" operator="notEqual">
      <formula>INDIRECT("Dummy_for_Comparison4!"&amp;ADDRESS(ROW(),COLUMN()))</formula>
    </cfRule>
  </conditionalFormatting>
  <conditionalFormatting sqref="K1031">
    <cfRule type="cellIs" dxfId="1030" priority="717" stopIfTrue="1" operator="notEqual">
      <formula>INDIRECT("Dummy_for_Comparison4!"&amp;ADDRESS(ROW(),COLUMN()))</formula>
    </cfRule>
  </conditionalFormatting>
  <conditionalFormatting sqref="O1031">
    <cfRule type="cellIs" dxfId="1029" priority="763" stopIfTrue="1" operator="notEqual">
      <formula>INDIRECT("Dummy_for_Comparison4!"&amp;ADDRESS(ROW(),COLUMN()))</formula>
    </cfRule>
  </conditionalFormatting>
  <conditionalFormatting sqref="E1032">
    <cfRule type="cellIs" dxfId="1028" priority="854" stopIfTrue="1" operator="notEqual">
      <formula>INDIRECT("Dummy_for_Comparison4!"&amp;ADDRESS(ROW(),COLUMN()))</formula>
    </cfRule>
  </conditionalFormatting>
  <conditionalFormatting sqref="F1032">
    <cfRule type="cellIs" dxfId="1027" priority="808" stopIfTrue="1" operator="notEqual">
      <formula>INDIRECT("Dummy_for_Comparison4!"&amp;ADDRESS(ROW(),COLUMN()))</formula>
    </cfRule>
  </conditionalFormatting>
  <conditionalFormatting sqref="G1032">
    <cfRule type="cellIs" dxfId="1026" priority="900" stopIfTrue="1" operator="notEqual">
      <formula>INDIRECT("Dummy_for_Comparison4!"&amp;ADDRESS(ROW(),COLUMN()))</formula>
    </cfRule>
  </conditionalFormatting>
  <conditionalFormatting sqref="K1032">
    <cfRule type="cellIs" dxfId="1025" priority="716" stopIfTrue="1" operator="notEqual">
      <formula>INDIRECT("Dummy_for_Comparison4!"&amp;ADDRESS(ROW(),COLUMN()))</formula>
    </cfRule>
  </conditionalFormatting>
  <conditionalFormatting sqref="O1032">
    <cfRule type="cellIs" dxfId="1024" priority="762" stopIfTrue="1" operator="notEqual">
      <formula>INDIRECT("Dummy_for_Comparison4!"&amp;ADDRESS(ROW(),COLUMN()))</formula>
    </cfRule>
  </conditionalFormatting>
  <conditionalFormatting sqref="E1033">
    <cfRule type="cellIs" dxfId="1023" priority="853" stopIfTrue="1" operator="notEqual">
      <formula>INDIRECT("Dummy_for_Comparison4!"&amp;ADDRESS(ROW(),COLUMN()))</formula>
    </cfRule>
  </conditionalFormatting>
  <conditionalFormatting sqref="F1033">
    <cfRule type="cellIs" dxfId="1022" priority="807" stopIfTrue="1" operator="notEqual">
      <formula>INDIRECT("Dummy_for_Comparison4!"&amp;ADDRESS(ROW(),COLUMN()))</formula>
    </cfRule>
  </conditionalFormatting>
  <conditionalFormatting sqref="G1033">
    <cfRule type="cellIs" dxfId="1021" priority="899" stopIfTrue="1" operator="notEqual">
      <formula>INDIRECT("Dummy_for_Comparison4!"&amp;ADDRESS(ROW(),COLUMN()))</formula>
    </cfRule>
  </conditionalFormatting>
  <conditionalFormatting sqref="K1033">
    <cfRule type="cellIs" dxfId="1020" priority="715" stopIfTrue="1" operator="notEqual">
      <formula>INDIRECT("Dummy_for_Comparison4!"&amp;ADDRESS(ROW(),COLUMN()))</formula>
    </cfRule>
  </conditionalFormatting>
  <conditionalFormatting sqref="O1033">
    <cfRule type="cellIs" dxfId="1019" priority="761" stopIfTrue="1" operator="notEqual">
      <formula>INDIRECT("Dummy_for_Comparison4!"&amp;ADDRESS(ROW(),COLUMN()))</formula>
    </cfRule>
  </conditionalFormatting>
  <conditionalFormatting sqref="E1034">
    <cfRule type="cellIs" dxfId="1018" priority="852" stopIfTrue="1" operator="notEqual">
      <formula>INDIRECT("Dummy_for_Comparison4!"&amp;ADDRESS(ROW(),COLUMN()))</formula>
    </cfRule>
  </conditionalFormatting>
  <conditionalFormatting sqref="F1034">
    <cfRule type="cellIs" dxfId="1017" priority="806" stopIfTrue="1" operator="notEqual">
      <formula>INDIRECT("Dummy_for_Comparison4!"&amp;ADDRESS(ROW(),COLUMN()))</formula>
    </cfRule>
  </conditionalFormatting>
  <conditionalFormatting sqref="G1034">
    <cfRule type="cellIs" dxfId="1016" priority="898" stopIfTrue="1" operator="notEqual">
      <formula>INDIRECT("Dummy_for_Comparison4!"&amp;ADDRESS(ROW(),COLUMN()))</formula>
    </cfRule>
  </conditionalFormatting>
  <conditionalFormatting sqref="K1034">
    <cfRule type="cellIs" dxfId="1015" priority="714" stopIfTrue="1" operator="notEqual">
      <formula>INDIRECT("Dummy_for_Comparison4!"&amp;ADDRESS(ROW(),COLUMN()))</formula>
    </cfRule>
  </conditionalFormatting>
  <conditionalFormatting sqref="O1034">
    <cfRule type="cellIs" dxfId="1014" priority="760" stopIfTrue="1" operator="notEqual">
      <formula>INDIRECT("Dummy_for_Comparison4!"&amp;ADDRESS(ROW(),COLUMN()))</formula>
    </cfRule>
  </conditionalFormatting>
  <conditionalFormatting sqref="E1035">
    <cfRule type="cellIs" dxfId="1013" priority="851" stopIfTrue="1" operator="notEqual">
      <formula>INDIRECT("Dummy_for_Comparison4!"&amp;ADDRESS(ROW(),COLUMN()))</formula>
    </cfRule>
  </conditionalFormatting>
  <conditionalFormatting sqref="F1035">
    <cfRule type="cellIs" dxfId="1012" priority="805" stopIfTrue="1" operator="notEqual">
      <formula>INDIRECT("Dummy_for_Comparison4!"&amp;ADDRESS(ROW(),COLUMN()))</formula>
    </cfRule>
  </conditionalFormatting>
  <conditionalFormatting sqref="G1035">
    <cfRule type="cellIs" dxfId="1011" priority="897" stopIfTrue="1" operator="notEqual">
      <formula>INDIRECT("Dummy_for_Comparison4!"&amp;ADDRESS(ROW(),COLUMN()))</formula>
    </cfRule>
  </conditionalFormatting>
  <conditionalFormatting sqref="K1035">
    <cfRule type="cellIs" dxfId="1010" priority="713" stopIfTrue="1" operator="notEqual">
      <formula>INDIRECT("Dummy_for_Comparison4!"&amp;ADDRESS(ROW(),COLUMN()))</formula>
    </cfRule>
  </conditionalFormatting>
  <conditionalFormatting sqref="O1035">
    <cfRule type="cellIs" dxfId="1009" priority="759" stopIfTrue="1" operator="notEqual">
      <formula>INDIRECT("Dummy_for_Comparison4!"&amp;ADDRESS(ROW(),COLUMN()))</formula>
    </cfRule>
  </conditionalFormatting>
  <conditionalFormatting sqref="E1036">
    <cfRule type="cellIs" dxfId="1008" priority="850" stopIfTrue="1" operator="notEqual">
      <formula>INDIRECT("Dummy_for_Comparison4!"&amp;ADDRESS(ROW(),COLUMN()))</formula>
    </cfRule>
  </conditionalFormatting>
  <conditionalFormatting sqref="F1036">
    <cfRule type="cellIs" dxfId="1007" priority="804" stopIfTrue="1" operator="notEqual">
      <formula>INDIRECT("Dummy_for_Comparison4!"&amp;ADDRESS(ROW(),COLUMN()))</formula>
    </cfRule>
  </conditionalFormatting>
  <conditionalFormatting sqref="G1036">
    <cfRule type="cellIs" dxfId="1006" priority="896" stopIfTrue="1" operator="notEqual">
      <formula>INDIRECT("Dummy_for_Comparison4!"&amp;ADDRESS(ROW(),COLUMN()))</formula>
    </cfRule>
  </conditionalFormatting>
  <conditionalFormatting sqref="K1036">
    <cfRule type="cellIs" dxfId="1005" priority="712" stopIfTrue="1" operator="notEqual">
      <formula>INDIRECT("Dummy_for_Comparison4!"&amp;ADDRESS(ROW(),COLUMN()))</formula>
    </cfRule>
  </conditionalFormatting>
  <conditionalFormatting sqref="O1036">
    <cfRule type="cellIs" dxfId="1004" priority="758" stopIfTrue="1" operator="notEqual">
      <formula>INDIRECT("Dummy_for_Comparison4!"&amp;ADDRESS(ROW(),COLUMN()))</formula>
    </cfRule>
  </conditionalFormatting>
  <conditionalFormatting sqref="E1037">
    <cfRule type="cellIs" dxfId="1003" priority="849" stopIfTrue="1" operator="notEqual">
      <formula>INDIRECT("Dummy_for_Comparison4!"&amp;ADDRESS(ROW(),COLUMN()))</formula>
    </cfRule>
  </conditionalFormatting>
  <conditionalFormatting sqref="F1037">
    <cfRule type="cellIs" dxfId="1002" priority="803" stopIfTrue="1" operator="notEqual">
      <formula>INDIRECT("Dummy_for_Comparison4!"&amp;ADDRESS(ROW(),COLUMN()))</formula>
    </cfRule>
  </conditionalFormatting>
  <conditionalFormatting sqref="G1037">
    <cfRule type="cellIs" dxfId="1001" priority="895" stopIfTrue="1" operator="notEqual">
      <formula>INDIRECT("Dummy_for_Comparison4!"&amp;ADDRESS(ROW(),COLUMN()))</formula>
    </cfRule>
  </conditionalFormatting>
  <conditionalFormatting sqref="K1037">
    <cfRule type="cellIs" dxfId="1000" priority="711" stopIfTrue="1" operator="notEqual">
      <formula>INDIRECT("Dummy_for_Comparison4!"&amp;ADDRESS(ROW(),COLUMN()))</formula>
    </cfRule>
  </conditionalFormatting>
  <conditionalFormatting sqref="O1037">
    <cfRule type="cellIs" dxfId="999" priority="757" stopIfTrue="1" operator="notEqual">
      <formula>INDIRECT("Dummy_for_Comparison4!"&amp;ADDRESS(ROW(),COLUMN()))</formula>
    </cfRule>
  </conditionalFormatting>
  <conditionalFormatting sqref="E1038">
    <cfRule type="cellIs" dxfId="998" priority="848" stopIfTrue="1" operator="notEqual">
      <formula>INDIRECT("Dummy_for_Comparison4!"&amp;ADDRESS(ROW(),COLUMN()))</formula>
    </cfRule>
  </conditionalFormatting>
  <conditionalFormatting sqref="F1038">
    <cfRule type="cellIs" dxfId="997" priority="802" stopIfTrue="1" operator="notEqual">
      <formula>INDIRECT("Dummy_for_Comparison4!"&amp;ADDRESS(ROW(),COLUMN()))</formula>
    </cfRule>
  </conditionalFormatting>
  <conditionalFormatting sqref="G1038">
    <cfRule type="cellIs" dxfId="996" priority="894" stopIfTrue="1" operator="notEqual">
      <formula>INDIRECT("Dummy_for_Comparison4!"&amp;ADDRESS(ROW(),COLUMN()))</formula>
    </cfRule>
  </conditionalFormatting>
  <conditionalFormatting sqref="K1038">
    <cfRule type="cellIs" dxfId="995" priority="710" stopIfTrue="1" operator="notEqual">
      <formula>INDIRECT("Dummy_for_Comparison4!"&amp;ADDRESS(ROW(),COLUMN()))</formula>
    </cfRule>
  </conditionalFormatting>
  <conditionalFormatting sqref="O1038">
    <cfRule type="cellIs" dxfId="994" priority="756" stopIfTrue="1" operator="notEqual">
      <formula>INDIRECT("Dummy_for_Comparison4!"&amp;ADDRESS(ROW(),COLUMN()))</formula>
    </cfRule>
  </conditionalFormatting>
  <conditionalFormatting sqref="E1039">
    <cfRule type="cellIs" dxfId="993" priority="847" stopIfTrue="1" operator="notEqual">
      <formula>INDIRECT("Dummy_for_Comparison4!"&amp;ADDRESS(ROW(),COLUMN()))</formula>
    </cfRule>
  </conditionalFormatting>
  <conditionalFormatting sqref="F1039">
    <cfRule type="cellIs" dxfId="992" priority="801" stopIfTrue="1" operator="notEqual">
      <formula>INDIRECT("Dummy_for_Comparison4!"&amp;ADDRESS(ROW(),COLUMN()))</formula>
    </cfRule>
  </conditionalFormatting>
  <conditionalFormatting sqref="G1039">
    <cfRule type="cellIs" dxfId="991" priority="893" stopIfTrue="1" operator="notEqual">
      <formula>INDIRECT("Dummy_for_Comparison4!"&amp;ADDRESS(ROW(),COLUMN()))</formula>
    </cfRule>
  </conditionalFormatting>
  <conditionalFormatting sqref="K1039">
    <cfRule type="cellIs" dxfId="990" priority="709" stopIfTrue="1" operator="notEqual">
      <formula>INDIRECT("Dummy_for_Comparison4!"&amp;ADDRESS(ROW(),COLUMN()))</formula>
    </cfRule>
  </conditionalFormatting>
  <conditionalFormatting sqref="O1039">
    <cfRule type="cellIs" dxfId="989" priority="755" stopIfTrue="1" operator="notEqual">
      <formula>INDIRECT("Dummy_for_Comparison4!"&amp;ADDRESS(ROW(),COLUMN()))</formula>
    </cfRule>
  </conditionalFormatting>
  <conditionalFormatting sqref="E1040">
    <cfRule type="cellIs" dxfId="988" priority="846" stopIfTrue="1" operator="notEqual">
      <formula>INDIRECT("Dummy_for_Comparison4!"&amp;ADDRESS(ROW(),COLUMN()))</formula>
    </cfRule>
  </conditionalFormatting>
  <conditionalFormatting sqref="F1040">
    <cfRule type="cellIs" dxfId="987" priority="800" stopIfTrue="1" operator="notEqual">
      <formula>INDIRECT("Dummy_for_Comparison4!"&amp;ADDRESS(ROW(),COLUMN()))</formula>
    </cfRule>
  </conditionalFormatting>
  <conditionalFormatting sqref="G1040">
    <cfRule type="cellIs" dxfId="986" priority="892" stopIfTrue="1" operator="notEqual">
      <formula>INDIRECT("Dummy_for_Comparison4!"&amp;ADDRESS(ROW(),COLUMN()))</formula>
    </cfRule>
  </conditionalFormatting>
  <conditionalFormatting sqref="K1040">
    <cfRule type="cellIs" dxfId="985" priority="708" stopIfTrue="1" operator="notEqual">
      <formula>INDIRECT("Dummy_for_Comparison4!"&amp;ADDRESS(ROW(),COLUMN()))</formula>
    </cfRule>
  </conditionalFormatting>
  <conditionalFormatting sqref="O1040">
    <cfRule type="cellIs" dxfId="984" priority="754" stopIfTrue="1" operator="notEqual">
      <formula>INDIRECT("Dummy_for_Comparison4!"&amp;ADDRESS(ROW(),COLUMN()))</formula>
    </cfRule>
  </conditionalFormatting>
  <conditionalFormatting sqref="E1041">
    <cfRule type="cellIs" dxfId="983" priority="845" stopIfTrue="1" operator="notEqual">
      <formula>INDIRECT("Dummy_for_Comparison4!"&amp;ADDRESS(ROW(),COLUMN()))</formula>
    </cfRule>
  </conditionalFormatting>
  <conditionalFormatting sqref="F1041">
    <cfRule type="cellIs" dxfId="982" priority="799" stopIfTrue="1" operator="notEqual">
      <formula>INDIRECT("Dummy_for_Comparison4!"&amp;ADDRESS(ROW(),COLUMN()))</formula>
    </cfRule>
  </conditionalFormatting>
  <conditionalFormatting sqref="G1041">
    <cfRule type="cellIs" dxfId="981" priority="891" stopIfTrue="1" operator="notEqual">
      <formula>INDIRECT("Dummy_for_Comparison4!"&amp;ADDRESS(ROW(),COLUMN()))</formula>
    </cfRule>
  </conditionalFormatting>
  <conditionalFormatting sqref="K1041">
    <cfRule type="cellIs" dxfId="980" priority="707" stopIfTrue="1" operator="notEqual">
      <formula>INDIRECT("Dummy_for_Comparison4!"&amp;ADDRESS(ROW(),COLUMN()))</formula>
    </cfRule>
  </conditionalFormatting>
  <conditionalFormatting sqref="O1041">
    <cfRule type="cellIs" dxfId="979" priority="753" stopIfTrue="1" operator="notEqual">
      <formula>INDIRECT("Dummy_for_Comparison4!"&amp;ADDRESS(ROW(),COLUMN()))</formula>
    </cfRule>
  </conditionalFormatting>
  <conditionalFormatting sqref="E1042">
    <cfRule type="cellIs" dxfId="978" priority="844" stopIfTrue="1" operator="notEqual">
      <formula>INDIRECT("Dummy_for_Comparison4!"&amp;ADDRESS(ROW(),COLUMN()))</formula>
    </cfRule>
  </conditionalFormatting>
  <conditionalFormatting sqref="F1042">
    <cfRule type="cellIs" dxfId="977" priority="798" stopIfTrue="1" operator="notEqual">
      <formula>INDIRECT("Dummy_for_Comparison4!"&amp;ADDRESS(ROW(),COLUMN()))</formula>
    </cfRule>
  </conditionalFormatting>
  <conditionalFormatting sqref="G1042">
    <cfRule type="cellIs" dxfId="976" priority="890" stopIfTrue="1" operator="notEqual">
      <formula>INDIRECT("Dummy_for_Comparison4!"&amp;ADDRESS(ROW(),COLUMN()))</formula>
    </cfRule>
  </conditionalFormatting>
  <conditionalFormatting sqref="K1042">
    <cfRule type="cellIs" dxfId="975" priority="706" stopIfTrue="1" operator="notEqual">
      <formula>INDIRECT("Dummy_for_Comparison4!"&amp;ADDRESS(ROW(),COLUMN()))</formula>
    </cfRule>
  </conditionalFormatting>
  <conditionalFormatting sqref="O1042">
    <cfRule type="cellIs" dxfId="974" priority="752" stopIfTrue="1" operator="notEqual">
      <formula>INDIRECT("Dummy_for_Comparison4!"&amp;ADDRESS(ROW(),COLUMN()))</formula>
    </cfRule>
  </conditionalFormatting>
  <conditionalFormatting sqref="E1043">
    <cfRule type="cellIs" dxfId="973" priority="843" stopIfTrue="1" operator="notEqual">
      <formula>INDIRECT("Dummy_for_Comparison4!"&amp;ADDRESS(ROW(),COLUMN()))</formula>
    </cfRule>
  </conditionalFormatting>
  <conditionalFormatting sqref="F1043">
    <cfRule type="cellIs" dxfId="972" priority="797" stopIfTrue="1" operator="notEqual">
      <formula>INDIRECT("Dummy_for_Comparison4!"&amp;ADDRESS(ROW(),COLUMN()))</formula>
    </cfRule>
  </conditionalFormatting>
  <conditionalFormatting sqref="G1043">
    <cfRule type="cellIs" dxfId="971" priority="889" stopIfTrue="1" operator="notEqual">
      <formula>INDIRECT("Dummy_for_Comparison4!"&amp;ADDRESS(ROW(),COLUMN()))</formula>
    </cfRule>
  </conditionalFormatting>
  <conditionalFormatting sqref="K1043">
    <cfRule type="cellIs" dxfId="970" priority="705" stopIfTrue="1" operator="notEqual">
      <formula>INDIRECT("Dummy_for_Comparison4!"&amp;ADDRESS(ROW(),COLUMN()))</formula>
    </cfRule>
  </conditionalFormatting>
  <conditionalFormatting sqref="O1043">
    <cfRule type="cellIs" dxfId="969" priority="751" stopIfTrue="1" operator="notEqual">
      <formula>INDIRECT("Dummy_for_Comparison4!"&amp;ADDRESS(ROW(),COLUMN()))</formula>
    </cfRule>
  </conditionalFormatting>
  <conditionalFormatting sqref="E1044">
    <cfRule type="cellIs" dxfId="968" priority="842" stopIfTrue="1" operator="notEqual">
      <formula>INDIRECT("Dummy_for_Comparison4!"&amp;ADDRESS(ROW(),COLUMN()))</formula>
    </cfRule>
  </conditionalFormatting>
  <conditionalFormatting sqref="F1044">
    <cfRule type="cellIs" dxfId="967" priority="796" stopIfTrue="1" operator="notEqual">
      <formula>INDIRECT("Dummy_for_Comparison4!"&amp;ADDRESS(ROW(),COLUMN()))</formula>
    </cfRule>
  </conditionalFormatting>
  <conditionalFormatting sqref="G1044">
    <cfRule type="cellIs" dxfId="966" priority="888" stopIfTrue="1" operator="notEqual">
      <formula>INDIRECT("Dummy_for_Comparison4!"&amp;ADDRESS(ROW(),COLUMN()))</formula>
    </cfRule>
  </conditionalFormatting>
  <conditionalFormatting sqref="K1044">
    <cfRule type="cellIs" dxfId="965" priority="704" stopIfTrue="1" operator="notEqual">
      <formula>INDIRECT("Dummy_for_Comparison4!"&amp;ADDRESS(ROW(),COLUMN()))</formula>
    </cfRule>
  </conditionalFormatting>
  <conditionalFormatting sqref="O1044">
    <cfRule type="cellIs" dxfId="964" priority="750" stopIfTrue="1" operator="notEqual">
      <formula>INDIRECT("Dummy_for_Comparison4!"&amp;ADDRESS(ROW(),COLUMN()))</formula>
    </cfRule>
  </conditionalFormatting>
  <conditionalFormatting sqref="E1045">
    <cfRule type="cellIs" dxfId="963" priority="841" stopIfTrue="1" operator="notEqual">
      <formula>INDIRECT("Dummy_for_Comparison4!"&amp;ADDRESS(ROW(),COLUMN()))</formula>
    </cfRule>
  </conditionalFormatting>
  <conditionalFormatting sqref="F1045">
    <cfRule type="cellIs" dxfId="962" priority="795" stopIfTrue="1" operator="notEqual">
      <formula>INDIRECT("Dummy_for_Comparison4!"&amp;ADDRESS(ROW(),COLUMN()))</formula>
    </cfRule>
  </conditionalFormatting>
  <conditionalFormatting sqref="G1045">
    <cfRule type="cellIs" dxfId="961" priority="887" stopIfTrue="1" operator="notEqual">
      <formula>INDIRECT("Dummy_for_Comparison4!"&amp;ADDRESS(ROW(),COLUMN()))</formula>
    </cfRule>
  </conditionalFormatting>
  <conditionalFormatting sqref="K1045">
    <cfRule type="cellIs" dxfId="960" priority="703" stopIfTrue="1" operator="notEqual">
      <formula>INDIRECT("Dummy_for_Comparison4!"&amp;ADDRESS(ROW(),COLUMN()))</formula>
    </cfRule>
  </conditionalFormatting>
  <conditionalFormatting sqref="O1045">
    <cfRule type="cellIs" dxfId="959" priority="749" stopIfTrue="1" operator="notEqual">
      <formula>INDIRECT("Dummy_for_Comparison4!"&amp;ADDRESS(ROW(),COLUMN()))</formula>
    </cfRule>
  </conditionalFormatting>
  <conditionalFormatting sqref="E1046">
    <cfRule type="cellIs" dxfId="958" priority="840" stopIfTrue="1" operator="notEqual">
      <formula>INDIRECT("Dummy_for_Comparison4!"&amp;ADDRESS(ROW(),COLUMN()))</formula>
    </cfRule>
  </conditionalFormatting>
  <conditionalFormatting sqref="F1046">
    <cfRule type="cellIs" dxfId="957" priority="794" stopIfTrue="1" operator="notEqual">
      <formula>INDIRECT("Dummy_for_Comparison4!"&amp;ADDRESS(ROW(),COLUMN()))</formula>
    </cfRule>
  </conditionalFormatting>
  <conditionalFormatting sqref="G1046">
    <cfRule type="cellIs" dxfId="956" priority="886" stopIfTrue="1" operator="notEqual">
      <formula>INDIRECT("Dummy_for_Comparison4!"&amp;ADDRESS(ROW(),COLUMN()))</formula>
    </cfRule>
  </conditionalFormatting>
  <conditionalFormatting sqref="K1046">
    <cfRule type="cellIs" dxfId="955" priority="702" stopIfTrue="1" operator="notEqual">
      <formula>INDIRECT("Dummy_for_Comparison4!"&amp;ADDRESS(ROW(),COLUMN()))</formula>
    </cfRule>
  </conditionalFormatting>
  <conditionalFormatting sqref="O1046">
    <cfRule type="cellIs" dxfId="954" priority="748" stopIfTrue="1" operator="notEqual">
      <formula>INDIRECT("Dummy_for_Comparison4!"&amp;ADDRESS(ROW(),COLUMN()))</formula>
    </cfRule>
  </conditionalFormatting>
  <conditionalFormatting sqref="E1047">
    <cfRule type="cellIs" dxfId="953" priority="839" stopIfTrue="1" operator="notEqual">
      <formula>INDIRECT("Dummy_for_Comparison4!"&amp;ADDRESS(ROW(),COLUMN()))</formula>
    </cfRule>
  </conditionalFormatting>
  <conditionalFormatting sqref="F1047">
    <cfRule type="cellIs" dxfId="952" priority="793" stopIfTrue="1" operator="notEqual">
      <formula>INDIRECT("Dummy_for_Comparison4!"&amp;ADDRESS(ROW(),COLUMN()))</formula>
    </cfRule>
  </conditionalFormatting>
  <conditionalFormatting sqref="G1047">
    <cfRule type="cellIs" dxfId="951" priority="885" stopIfTrue="1" operator="notEqual">
      <formula>INDIRECT("Dummy_for_Comparison4!"&amp;ADDRESS(ROW(),COLUMN()))</formula>
    </cfRule>
  </conditionalFormatting>
  <conditionalFormatting sqref="K1047">
    <cfRule type="cellIs" dxfId="950" priority="701" stopIfTrue="1" operator="notEqual">
      <formula>INDIRECT("Dummy_for_Comparison4!"&amp;ADDRESS(ROW(),COLUMN()))</formula>
    </cfRule>
  </conditionalFormatting>
  <conditionalFormatting sqref="O1047">
    <cfRule type="cellIs" dxfId="949" priority="747" stopIfTrue="1" operator="notEqual">
      <formula>INDIRECT("Dummy_for_Comparison4!"&amp;ADDRESS(ROW(),COLUMN()))</formula>
    </cfRule>
  </conditionalFormatting>
  <conditionalFormatting sqref="E1048">
    <cfRule type="cellIs" dxfId="948" priority="838" stopIfTrue="1" operator="notEqual">
      <formula>INDIRECT("Dummy_for_Comparison4!"&amp;ADDRESS(ROW(),COLUMN()))</formula>
    </cfRule>
  </conditionalFormatting>
  <conditionalFormatting sqref="F1048">
    <cfRule type="cellIs" dxfId="947" priority="792" stopIfTrue="1" operator="notEqual">
      <formula>INDIRECT("Dummy_for_Comparison4!"&amp;ADDRESS(ROW(),COLUMN()))</formula>
    </cfRule>
  </conditionalFormatting>
  <conditionalFormatting sqref="G1048">
    <cfRule type="cellIs" dxfId="946" priority="884" stopIfTrue="1" operator="notEqual">
      <formula>INDIRECT("Dummy_for_Comparison4!"&amp;ADDRESS(ROW(),COLUMN()))</formula>
    </cfRule>
  </conditionalFormatting>
  <conditionalFormatting sqref="K1048">
    <cfRule type="cellIs" dxfId="945" priority="700" stopIfTrue="1" operator="notEqual">
      <formula>INDIRECT("Dummy_for_Comparison4!"&amp;ADDRESS(ROW(),COLUMN()))</formula>
    </cfRule>
  </conditionalFormatting>
  <conditionalFormatting sqref="O1048">
    <cfRule type="cellIs" dxfId="944" priority="746" stopIfTrue="1" operator="notEqual">
      <formula>INDIRECT("Dummy_for_Comparison4!"&amp;ADDRESS(ROW(),COLUMN()))</formula>
    </cfRule>
  </conditionalFormatting>
  <conditionalFormatting sqref="E1049">
    <cfRule type="cellIs" dxfId="943" priority="837" stopIfTrue="1" operator="notEqual">
      <formula>INDIRECT("Dummy_for_Comparison4!"&amp;ADDRESS(ROW(),COLUMN()))</formula>
    </cfRule>
  </conditionalFormatting>
  <conditionalFormatting sqref="F1049">
    <cfRule type="cellIs" dxfId="942" priority="791" stopIfTrue="1" operator="notEqual">
      <formula>INDIRECT("Dummy_for_Comparison4!"&amp;ADDRESS(ROW(),COLUMN()))</formula>
    </cfRule>
  </conditionalFormatting>
  <conditionalFormatting sqref="G1049">
    <cfRule type="cellIs" dxfId="941" priority="883" stopIfTrue="1" operator="notEqual">
      <formula>INDIRECT("Dummy_for_Comparison4!"&amp;ADDRESS(ROW(),COLUMN()))</formula>
    </cfRule>
  </conditionalFormatting>
  <conditionalFormatting sqref="K1049">
    <cfRule type="cellIs" dxfId="940" priority="699" stopIfTrue="1" operator="notEqual">
      <formula>INDIRECT("Dummy_for_Comparison4!"&amp;ADDRESS(ROW(),COLUMN()))</formula>
    </cfRule>
  </conditionalFormatting>
  <conditionalFormatting sqref="O1049">
    <cfRule type="cellIs" dxfId="939" priority="745" stopIfTrue="1" operator="notEqual">
      <formula>INDIRECT("Dummy_for_Comparison4!"&amp;ADDRESS(ROW(),COLUMN()))</formula>
    </cfRule>
  </conditionalFormatting>
  <conditionalFormatting sqref="E1050">
    <cfRule type="cellIs" dxfId="938" priority="836" stopIfTrue="1" operator="notEqual">
      <formula>INDIRECT("Dummy_for_Comparison4!"&amp;ADDRESS(ROW(),COLUMN()))</formula>
    </cfRule>
  </conditionalFormatting>
  <conditionalFormatting sqref="F1050">
    <cfRule type="cellIs" dxfId="937" priority="790" stopIfTrue="1" operator="notEqual">
      <formula>INDIRECT("Dummy_for_Comparison4!"&amp;ADDRESS(ROW(),COLUMN()))</formula>
    </cfRule>
  </conditionalFormatting>
  <conditionalFormatting sqref="G1050">
    <cfRule type="cellIs" dxfId="936" priority="882" stopIfTrue="1" operator="notEqual">
      <formula>INDIRECT("Dummy_for_Comparison4!"&amp;ADDRESS(ROW(),COLUMN()))</formula>
    </cfRule>
  </conditionalFormatting>
  <conditionalFormatting sqref="K1050">
    <cfRule type="cellIs" dxfId="935" priority="698" stopIfTrue="1" operator="notEqual">
      <formula>INDIRECT("Dummy_for_Comparison4!"&amp;ADDRESS(ROW(),COLUMN()))</formula>
    </cfRule>
  </conditionalFormatting>
  <conditionalFormatting sqref="O1050">
    <cfRule type="cellIs" dxfId="934" priority="744" stopIfTrue="1" operator="notEqual">
      <formula>INDIRECT("Dummy_for_Comparison4!"&amp;ADDRESS(ROW(),COLUMN()))</formula>
    </cfRule>
  </conditionalFormatting>
  <conditionalFormatting sqref="E1051">
    <cfRule type="cellIs" dxfId="933" priority="835" stopIfTrue="1" operator="notEqual">
      <formula>INDIRECT("Dummy_for_Comparison4!"&amp;ADDRESS(ROW(),COLUMN()))</formula>
    </cfRule>
  </conditionalFormatting>
  <conditionalFormatting sqref="F1051">
    <cfRule type="cellIs" dxfId="932" priority="789" stopIfTrue="1" operator="notEqual">
      <formula>INDIRECT("Dummy_for_Comparison4!"&amp;ADDRESS(ROW(),COLUMN()))</formula>
    </cfRule>
  </conditionalFormatting>
  <conditionalFormatting sqref="G1051">
    <cfRule type="cellIs" dxfId="931" priority="881" stopIfTrue="1" operator="notEqual">
      <formula>INDIRECT("Dummy_for_Comparison4!"&amp;ADDRESS(ROW(),COLUMN()))</formula>
    </cfRule>
  </conditionalFormatting>
  <conditionalFormatting sqref="K1051">
    <cfRule type="cellIs" dxfId="930" priority="697" stopIfTrue="1" operator="notEqual">
      <formula>INDIRECT("Dummy_for_Comparison4!"&amp;ADDRESS(ROW(),COLUMN()))</formula>
    </cfRule>
  </conditionalFormatting>
  <conditionalFormatting sqref="O1051">
    <cfRule type="cellIs" dxfId="929" priority="743" stopIfTrue="1" operator="notEqual">
      <formula>INDIRECT("Dummy_for_Comparison4!"&amp;ADDRESS(ROW(),COLUMN()))</formula>
    </cfRule>
  </conditionalFormatting>
  <conditionalFormatting sqref="B413:B416">
    <cfRule type="cellIs" dxfId="928" priority="3850" stopIfTrue="1" operator="notEqual">
      <formula>INDIRECT("Dummy_for_Comparison4!"&amp;ADDRESS(ROW(),COLUMN()))</formula>
    </cfRule>
  </conditionalFormatting>
  <conditionalFormatting sqref="B417:B424">
    <cfRule type="cellIs" dxfId="927" priority="3847" stopIfTrue="1" operator="notEqual">
      <formula>INDIRECT("Dummy_for_Comparison4!"&amp;ADDRESS(ROW(),COLUMN()))</formula>
    </cfRule>
  </conditionalFormatting>
  <conditionalFormatting sqref="B425:B426">
    <cfRule type="cellIs" dxfId="926" priority="3840" stopIfTrue="1" operator="notEqual">
      <formula>INDIRECT("Dummy_for_Comparison4!"&amp;ADDRESS(ROW(),COLUMN()))</formula>
    </cfRule>
  </conditionalFormatting>
  <conditionalFormatting sqref="B427:B428">
    <cfRule type="cellIs" dxfId="925" priority="3835" stopIfTrue="1" operator="notEqual">
      <formula>INDIRECT("Dummy_for_Comparison4!"&amp;ADDRESS(ROW(),COLUMN()))</formula>
    </cfRule>
  </conditionalFormatting>
  <conditionalFormatting sqref="C67:C68">
    <cfRule type="cellIs" dxfId="924" priority="3717" stopIfTrue="1" operator="notEqual">
      <formula>INDIRECT("Dummy_for_Comparison4!"&amp;ADDRESS(ROW(),COLUMN()))</formula>
    </cfRule>
  </conditionalFormatting>
  <conditionalFormatting sqref="C168:C169">
    <cfRule type="cellIs" dxfId="923" priority="3722" stopIfTrue="1" operator="notEqual">
      <formula>INDIRECT("Dummy_for_Comparison4!"&amp;ADDRESS(ROW(),COLUMN()))</formula>
    </cfRule>
  </conditionalFormatting>
  <conditionalFormatting sqref="C251:C252">
    <cfRule type="cellIs" dxfId="922" priority="4301" stopIfTrue="1" operator="notEqual">
      <formula>INDIRECT("Dummy_for_Comparison4!"&amp;ADDRESS(ROW(),COLUMN()))</formula>
    </cfRule>
  </conditionalFormatting>
  <conditionalFormatting sqref="C272:C273">
    <cfRule type="cellIs" dxfId="921" priority="4261" stopIfTrue="1" operator="notEqual">
      <formula>INDIRECT("Dummy_for_Comparison4!"&amp;ADDRESS(ROW(),COLUMN()))</formula>
    </cfRule>
  </conditionalFormatting>
  <conditionalFormatting sqref="C313:C314">
    <cfRule type="cellIs" dxfId="920" priority="3693" stopIfTrue="1" operator="notEqual">
      <formula>INDIRECT("Dummy_for_Comparison4!"&amp;ADDRESS(ROW(),COLUMN()))</formula>
    </cfRule>
  </conditionalFormatting>
  <conditionalFormatting sqref="C318:C320">
    <cfRule type="cellIs" dxfId="919" priority="3689" stopIfTrue="1" operator="notEqual">
      <formula>INDIRECT("Dummy_for_Comparison4!"&amp;ADDRESS(ROW(),COLUMN()))</formula>
    </cfRule>
  </conditionalFormatting>
  <conditionalFormatting sqref="C383:C385">
    <cfRule type="cellIs" dxfId="918" priority="3916" stopIfTrue="1" operator="notEqual">
      <formula>INDIRECT("Dummy_for_Comparison4!"&amp;ADDRESS(ROW(),COLUMN()))</formula>
    </cfRule>
  </conditionalFormatting>
  <conditionalFormatting sqref="C395:C396">
    <cfRule type="cellIs" dxfId="917" priority="2044" stopIfTrue="1" operator="notEqual">
      <formula>INDIRECT("Dummy_for_Comparison4!"&amp;ADDRESS(ROW(),COLUMN()))</formula>
    </cfRule>
  </conditionalFormatting>
  <conditionalFormatting sqref="C486:C487">
    <cfRule type="cellIs" dxfId="916" priority="3822" stopIfTrue="1" operator="notEqual">
      <formula>INDIRECT("Dummy_for_Comparison4!"&amp;ADDRESS(ROW(),COLUMN()))</formula>
    </cfRule>
  </conditionalFormatting>
  <conditionalFormatting sqref="C905:C908">
    <cfRule type="cellIs" dxfId="915" priority="1584" stopIfTrue="1" operator="notEqual">
      <formula>INDIRECT("Dummy_for_Comparison4!"&amp;ADDRESS(ROW(),COLUMN()))</formula>
    </cfRule>
  </conditionalFormatting>
  <conditionalFormatting sqref="D158:D159">
    <cfRule type="cellIs" dxfId="914" priority="4402" stopIfTrue="1" operator="notEqual">
      <formula>INDIRECT("Dummy_for_Comparison4!"&amp;ADDRESS(ROW(),COLUMN()))</formula>
    </cfRule>
  </conditionalFormatting>
  <conditionalFormatting sqref="D272:D273">
    <cfRule type="cellIs" dxfId="913" priority="4260" stopIfTrue="1" operator="notEqual">
      <formula>INDIRECT("Dummy_for_Comparison4!"&amp;ADDRESS(ROW(),COLUMN()))</formula>
    </cfRule>
  </conditionalFormatting>
  <conditionalFormatting sqref="D276:D277">
    <cfRule type="cellIs" dxfId="912" priority="4243" stopIfTrue="1" operator="notEqual">
      <formula>INDIRECT("Dummy_for_Comparison4!"&amp;ADDRESS(ROW(),COLUMN()))</formula>
    </cfRule>
  </conditionalFormatting>
  <conditionalFormatting sqref="D278:D280">
    <cfRule type="cellIs" dxfId="911" priority="4256" stopIfTrue="1" operator="notEqual">
      <formula>INDIRECT("Dummy_for_Comparison4!"&amp;ADDRESS(ROW(),COLUMN()))</formula>
    </cfRule>
  </conditionalFormatting>
  <conditionalFormatting sqref="D904:D908">
    <cfRule type="cellIs" dxfId="910" priority="1604" stopIfTrue="1" operator="notEqual">
      <formula>INDIRECT("Dummy_for_Comparison4!"&amp;ADDRESS(ROW(),COLUMN()))</formula>
    </cfRule>
  </conditionalFormatting>
  <conditionalFormatting sqref="E251:E252">
    <cfRule type="cellIs" dxfId="909" priority="4299" stopIfTrue="1" operator="notEqual">
      <formula>INDIRECT("Dummy_for_Comparison4!"&amp;ADDRESS(ROW(),COLUMN()))</formula>
    </cfRule>
  </conditionalFormatting>
  <conditionalFormatting sqref="E293:E295">
    <cfRule type="cellIs" dxfId="908" priority="3675" stopIfTrue="1" operator="notEqual">
      <formula>INDIRECT("Dummy_for_Comparison4!"&amp;ADDRESS(ROW(),COLUMN()))</formula>
    </cfRule>
  </conditionalFormatting>
  <conditionalFormatting sqref="E313:E314">
    <cfRule type="cellIs" dxfId="907" priority="3692" stopIfTrue="1" operator="notEqual">
      <formula>INDIRECT("Dummy_for_Comparison4!"&amp;ADDRESS(ROW(),COLUMN()))</formula>
    </cfRule>
  </conditionalFormatting>
  <conditionalFormatting sqref="E395:E396">
    <cfRule type="cellIs" dxfId="906" priority="2023" stopIfTrue="1" operator="notEqual">
      <formula>INDIRECT("Dummy_for_Comparison4!"&amp;ADDRESS(ROW(),COLUMN()))</formula>
    </cfRule>
  </conditionalFormatting>
  <conditionalFormatting sqref="E924:E925">
    <cfRule type="cellIs" dxfId="905" priority="1644" stopIfTrue="1" operator="notEqual">
      <formula>INDIRECT("Dummy_for_Comparison4!"&amp;ADDRESS(ROW(),COLUMN()))</formula>
    </cfRule>
  </conditionalFormatting>
  <conditionalFormatting sqref="E932:E933">
    <cfRule type="cellIs" dxfId="904" priority="1593" stopIfTrue="1" operator="notEqual">
      <formula>INDIRECT("Dummy_for_Comparison4!"&amp;ADDRESS(ROW(),COLUMN()))</formula>
    </cfRule>
  </conditionalFormatting>
  <conditionalFormatting sqref="E970:E972">
    <cfRule type="cellIs" dxfId="903" priority="2293" stopIfTrue="1" operator="notEqual">
      <formula>INDIRECT("Dummy_for_Comparison4!"&amp;ADDRESS(ROW(),COLUMN()))</formula>
    </cfRule>
  </conditionalFormatting>
  <conditionalFormatting sqref="E980:E983">
    <cfRule type="cellIs" dxfId="902" priority="2289" stopIfTrue="1" operator="notEqual">
      <formula>INDIRECT("Dummy_for_Comparison4!"&amp;ADDRESS(ROW(),COLUMN()))</formula>
    </cfRule>
  </conditionalFormatting>
  <conditionalFormatting sqref="E984:E987">
    <cfRule type="cellIs" dxfId="901" priority="2149" stopIfTrue="1" operator="notEqual">
      <formula>INDIRECT("Dummy_for_Comparison4!"&amp;ADDRESS(ROW(),COLUMN()))</formula>
    </cfRule>
  </conditionalFormatting>
  <conditionalFormatting sqref="E988:E991">
    <cfRule type="cellIs" dxfId="900" priority="2268" stopIfTrue="1" operator="notEqual">
      <formula>INDIRECT("Dummy_for_Comparison4!"&amp;ADDRESS(ROW(),COLUMN()))</formula>
    </cfRule>
  </conditionalFormatting>
  <conditionalFormatting sqref="E992:E998">
    <cfRule type="cellIs" dxfId="899" priority="2263" stopIfTrue="1" operator="notEqual">
      <formula>INDIRECT("Dummy_for_Comparison4!"&amp;ADDRESS(ROW(),COLUMN()))</formula>
    </cfRule>
  </conditionalFormatting>
  <conditionalFormatting sqref="E999:E1003">
    <cfRule type="cellIs" dxfId="898" priority="2258" stopIfTrue="1" operator="notEqual">
      <formula>INDIRECT("Dummy_for_Comparison4!"&amp;ADDRESS(ROW(),COLUMN()))</formula>
    </cfRule>
  </conditionalFormatting>
  <conditionalFormatting sqref="E1004:E1005">
    <cfRule type="cellIs" dxfId="897" priority="2145" stopIfTrue="1" operator="notEqual">
      <formula>INDIRECT("Dummy_for_Comparison4!"&amp;ADDRESS(ROW(),COLUMN()))</formula>
    </cfRule>
  </conditionalFormatting>
  <conditionalFormatting sqref="F338:F339">
    <cfRule type="cellIs" dxfId="896" priority="3964" stopIfTrue="1" operator="notEqual">
      <formula>INDIRECT("Dummy_for_Comparison4!"&amp;ADDRESS(ROW(),COLUMN()))</formula>
    </cfRule>
  </conditionalFormatting>
  <conditionalFormatting sqref="F924:F925">
    <cfRule type="cellIs" dxfId="895" priority="1643" stopIfTrue="1" operator="notEqual">
      <formula>INDIRECT("Dummy_for_Comparison4!"&amp;ADDRESS(ROW(),COLUMN()))</formula>
    </cfRule>
  </conditionalFormatting>
  <conditionalFormatting sqref="F930:F931">
    <cfRule type="cellIs" dxfId="894" priority="1588" stopIfTrue="1" operator="notEqual">
      <formula>INDIRECT("Dummy_for_Comparison4!"&amp;ADDRESS(ROW(),COLUMN()))</formula>
    </cfRule>
  </conditionalFormatting>
  <conditionalFormatting sqref="F932:F933">
    <cfRule type="cellIs" dxfId="893" priority="1592" stopIfTrue="1" operator="notEqual">
      <formula>INDIRECT("Dummy_for_Comparison4!"&amp;ADDRESS(ROW(),COLUMN()))</formula>
    </cfRule>
  </conditionalFormatting>
  <conditionalFormatting sqref="F970:F972">
    <cfRule type="cellIs" dxfId="892" priority="2292" stopIfTrue="1" operator="notEqual">
      <formula>INDIRECT("Dummy_for_Comparison4!"&amp;ADDRESS(ROW(),COLUMN()))</formula>
    </cfRule>
  </conditionalFormatting>
  <conditionalFormatting sqref="F980:F983">
    <cfRule type="cellIs" dxfId="891" priority="2288" stopIfTrue="1" operator="notEqual">
      <formula>INDIRECT("Dummy_for_Comparison4!"&amp;ADDRESS(ROW(),COLUMN()))</formula>
    </cfRule>
  </conditionalFormatting>
  <conditionalFormatting sqref="F984:F987">
    <cfRule type="cellIs" dxfId="890" priority="2148" stopIfTrue="1" operator="notEqual">
      <formula>INDIRECT("Dummy_for_Comparison4!"&amp;ADDRESS(ROW(),COLUMN()))</formula>
    </cfRule>
  </conditionalFormatting>
  <conditionalFormatting sqref="F988:F991">
    <cfRule type="cellIs" dxfId="889" priority="2267" stopIfTrue="1" operator="notEqual">
      <formula>INDIRECT("Dummy_for_Comparison4!"&amp;ADDRESS(ROW(),COLUMN()))</formula>
    </cfRule>
  </conditionalFormatting>
  <conditionalFormatting sqref="F992:F998">
    <cfRule type="cellIs" dxfId="888" priority="2262" stopIfTrue="1" operator="notEqual">
      <formula>INDIRECT("Dummy_for_Comparison4!"&amp;ADDRESS(ROW(),COLUMN()))</formula>
    </cfRule>
  </conditionalFormatting>
  <conditionalFormatting sqref="F999:F1003">
    <cfRule type="cellIs" dxfId="887" priority="2257" stopIfTrue="1" operator="notEqual">
      <formula>INDIRECT("Dummy_for_Comparison4!"&amp;ADDRESS(ROW(),COLUMN()))</formula>
    </cfRule>
  </conditionalFormatting>
  <conditionalFormatting sqref="F1004:F1005">
    <cfRule type="cellIs" dxfId="886" priority="2144" stopIfTrue="1" operator="notEqual">
      <formula>INDIRECT("Dummy_for_Comparison4!"&amp;ADDRESS(ROW(),COLUMN()))</formula>
    </cfRule>
  </conditionalFormatting>
  <conditionalFormatting sqref="G213:G214">
    <cfRule type="cellIs" dxfId="885" priority="2048" stopIfTrue="1" operator="notEqual">
      <formula>INDIRECT("Dummy_for_Comparison4!"&amp;ADDRESS(ROW(),COLUMN()))</formula>
    </cfRule>
  </conditionalFormatting>
  <conditionalFormatting sqref="G215:G217">
    <cfRule type="cellIs" dxfId="884" priority="3624" stopIfTrue="1" operator="notEqual">
      <formula>INDIRECT("Dummy_for_Comparison4!"&amp;ADDRESS(ROW(),COLUMN()))</formula>
    </cfRule>
  </conditionalFormatting>
  <conditionalFormatting sqref="G292:G295">
    <cfRule type="cellIs" dxfId="883" priority="3511" stopIfTrue="1" operator="notEqual">
      <formula>INDIRECT("Dummy_for_Comparison4!"&amp;ADDRESS(ROW(),COLUMN()))</formula>
    </cfRule>
  </conditionalFormatting>
  <conditionalFormatting sqref="G305:G306">
    <cfRule type="cellIs" dxfId="882" priority="3507" stopIfTrue="1" operator="notEqual">
      <formula>INDIRECT("Dummy_for_Comparison4!"&amp;ADDRESS(ROW(),COLUMN()))</formula>
    </cfRule>
  </conditionalFormatting>
  <conditionalFormatting sqref="G322:G324">
    <cfRule type="cellIs" dxfId="881" priority="3504" stopIfTrue="1" operator="notEqual">
      <formula>INDIRECT("Dummy_for_Comparison4!"&amp;ADDRESS(ROW(),COLUMN()))</formula>
    </cfRule>
  </conditionalFormatting>
  <conditionalFormatting sqref="G338:G339">
    <cfRule type="cellIs" dxfId="880" priority="3581" stopIfTrue="1" operator="notEqual">
      <formula>INDIRECT("Dummy_for_Comparison4!"&amp;ADDRESS(ROW(),COLUMN()))</formula>
    </cfRule>
  </conditionalFormatting>
  <conditionalFormatting sqref="G374:G376">
    <cfRule type="cellIs" dxfId="879" priority="3577" stopIfTrue="1" operator="notEqual">
      <formula>INDIRECT("Dummy_for_Comparison4!"&amp;ADDRESS(ROW(),COLUMN()))</formula>
    </cfRule>
  </conditionalFormatting>
  <conditionalFormatting sqref="G395:G396">
    <cfRule type="cellIs" dxfId="878" priority="2032" stopIfTrue="1" operator="notEqual">
      <formula>INDIRECT("Dummy_for_Comparison4!"&amp;ADDRESS(ROW(),COLUMN()))</formula>
    </cfRule>
  </conditionalFormatting>
  <conditionalFormatting sqref="G413:G416">
    <cfRule type="cellIs" dxfId="877" priority="3530" stopIfTrue="1" operator="notEqual">
      <formula>INDIRECT("Dummy_for_Comparison4!"&amp;ADDRESS(ROW(),COLUMN()))</formula>
    </cfRule>
  </conditionalFormatting>
  <conditionalFormatting sqref="G417:G418">
    <cfRule type="cellIs" dxfId="876" priority="3529" stopIfTrue="1" operator="notEqual">
      <formula>INDIRECT("Dummy_for_Comparison4!"&amp;ADDRESS(ROW(),COLUMN()))</formula>
    </cfRule>
  </conditionalFormatting>
  <conditionalFormatting sqref="G420:G424">
    <cfRule type="cellIs" dxfId="875" priority="3527" stopIfTrue="1" operator="notEqual">
      <formula>INDIRECT("Dummy_for_Comparison4!"&amp;ADDRESS(ROW(),COLUMN()))</formula>
    </cfRule>
  </conditionalFormatting>
  <conditionalFormatting sqref="G425:G426">
    <cfRule type="cellIs" dxfId="874" priority="3526" stopIfTrue="1" operator="notEqual">
      <formula>INDIRECT("Dummy_for_Comparison4!"&amp;ADDRESS(ROW(),COLUMN()))</formula>
    </cfRule>
  </conditionalFormatting>
  <conditionalFormatting sqref="G427:G428">
    <cfRule type="cellIs" dxfId="873" priority="3525" stopIfTrue="1" operator="notEqual">
      <formula>INDIRECT("Dummy_for_Comparison4!"&amp;ADDRESS(ROW(),COLUMN()))</formula>
    </cfRule>
  </conditionalFormatting>
  <conditionalFormatting sqref="G432:G454">
    <cfRule type="cellIs" dxfId="872" priority="3545" stopIfTrue="1" operator="notEqual">
      <formula>INDIRECT("Dummy_for_Comparison4!"&amp;ADDRESS(ROW(),COLUMN()))</formula>
    </cfRule>
  </conditionalFormatting>
  <conditionalFormatting sqref="G456:G458">
    <cfRule type="cellIs" dxfId="871" priority="3520" stopIfTrue="1" operator="notEqual">
      <formula>INDIRECT("Dummy_for_Comparison4!"&amp;ADDRESS(ROW(),COLUMN()))</formula>
    </cfRule>
  </conditionalFormatting>
  <conditionalFormatting sqref="G462:G469">
    <cfRule type="cellIs" dxfId="870" priority="3521" stopIfTrue="1" operator="notEqual">
      <formula>INDIRECT("Dummy_for_Comparison4!"&amp;ADDRESS(ROW(),COLUMN()))</formula>
    </cfRule>
  </conditionalFormatting>
  <conditionalFormatting sqref="G470:G482">
    <cfRule type="cellIs" dxfId="869" priority="3512" stopIfTrue="1" operator="notEqual">
      <formula>INDIRECT("Dummy_for_Comparison4!"&amp;ADDRESS(ROW(),COLUMN()))</formula>
    </cfRule>
  </conditionalFormatting>
  <conditionalFormatting sqref="G486:G487">
    <cfRule type="cellIs" dxfId="868" priority="3518" stopIfTrue="1" operator="notEqual">
      <formula>INDIRECT("Dummy_for_Comparison4!"&amp;ADDRESS(ROW(),COLUMN()))</formula>
    </cfRule>
  </conditionalFormatting>
  <conditionalFormatting sqref="G497:G500">
    <cfRule type="cellIs" dxfId="867" priority="3516" stopIfTrue="1" operator="notEqual">
      <formula>INDIRECT("Dummy_for_Comparison4!"&amp;ADDRESS(ROW(),COLUMN()))</formula>
    </cfRule>
  </conditionalFormatting>
  <conditionalFormatting sqref="G826:G827">
    <cfRule type="cellIs" dxfId="866" priority="1671" stopIfTrue="1" operator="notEqual">
      <formula>INDIRECT("Dummy_for_Comparison4!"&amp;ADDRESS(ROW(),COLUMN()))</formula>
    </cfRule>
  </conditionalFormatting>
  <conditionalFormatting sqref="G828:G829">
    <cfRule type="cellIs" dxfId="865" priority="1670" stopIfTrue="1" operator="notEqual">
      <formula>INDIRECT("Dummy_for_Comparison4!"&amp;ADDRESS(ROW(),COLUMN()))</formula>
    </cfRule>
  </conditionalFormatting>
  <conditionalFormatting sqref="G909:G911">
    <cfRule type="cellIs" dxfId="864" priority="1610" stopIfTrue="1" operator="notEqual">
      <formula>INDIRECT("Dummy_for_Comparison4!"&amp;ADDRESS(ROW(),COLUMN()))</formula>
    </cfRule>
  </conditionalFormatting>
  <conditionalFormatting sqref="G913:G915">
    <cfRule type="cellIs" dxfId="863" priority="1636" stopIfTrue="1" operator="notEqual">
      <formula>INDIRECT("Dummy_for_Comparison4!"&amp;ADDRESS(ROW(),COLUMN()))</formula>
    </cfRule>
  </conditionalFormatting>
  <conditionalFormatting sqref="G924:G925">
    <cfRule type="cellIs" dxfId="862" priority="1647" stopIfTrue="1" operator="notEqual">
      <formula>INDIRECT("Dummy_for_Comparison4!"&amp;ADDRESS(ROW(),COLUMN()))</formula>
    </cfRule>
  </conditionalFormatting>
  <conditionalFormatting sqref="G930:G931">
    <cfRule type="cellIs" dxfId="861" priority="1589" stopIfTrue="1" operator="notEqual">
      <formula>INDIRECT("Dummy_for_Comparison4!"&amp;ADDRESS(ROW(),COLUMN()))</formula>
    </cfRule>
  </conditionalFormatting>
  <conditionalFormatting sqref="G932:G933">
    <cfRule type="cellIs" dxfId="860" priority="1594" stopIfTrue="1" operator="notEqual">
      <formula>INDIRECT("Dummy_for_Comparison4!"&amp;ADDRESS(ROW(),COLUMN()))</formula>
    </cfRule>
  </conditionalFormatting>
  <conditionalFormatting sqref="G970:G972">
    <cfRule type="cellIs" dxfId="859" priority="2294" stopIfTrue="1" operator="notEqual">
      <formula>INDIRECT("Dummy_for_Comparison4!"&amp;ADDRESS(ROW(),COLUMN()))</formula>
    </cfRule>
  </conditionalFormatting>
  <conditionalFormatting sqref="G980:G983">
    <cfRule type="cellIs" dxfId="858" priority="2290" stopIfTrue="1" operator="notEqual">
      <formula>INDIRECT("Dummy_for_Comparison4!"&amp;ADDRESS(ROW(),COLUMN()))</formula>
    </cfRule>
  </conditionalFormatting>
  <conditionalFormatting sqref="G988:G991">
    <cfRule type="cellIs" dxfId="857" priority="2269" stopIfTrue="1" operator="notEqual">
      <formula>INDIRECT("Dummy_for_Comparison4!"&amp;ADDRESS(ROW(),COLUMN()))</formula>
    </cfRule>
  </conditionalFormatting>
  <conditionalFormatting sqref="G992:G998">
    <cfRule type="cellIs" dxfId="856" priority="2264" stopIfTrue="1" operator="notEqual">
      <formula>INDIRECT("Dummy_for_Comparison4!"&amp;ADDRESS(ROW(),COLUMN()))</formula>
    </cfRule>
  </conditionalFormatting>
  <conditionalFormatting sqref="G999:G1003">
    <cfRule type="cellIs" dxfId="855" priority="2259" stopIfTrue="1" operator="notEqual">
      <formula>INDIRECT("Dummy_for_Comparison4!"&amp;ADDRESS(ROW(),COLUMN()))</formula>
    </cfRule>
  </conditionalFormatting>
  <conditionalFormatting sqref="G1004:G1005">
    <cfRule type="cellIs" dxfId="854" priority="2146" stopIfTrue="1" operator="notEqual">
      <formula>INDIRECT("Dummy_for_Comparison4!"&amp;ADDRESS(ROW(),COLUMN()))</formula>
    </cfRule>
  </conditionalFormatting>
  <conditionalFormatting sqref="K210:K211">
    <cfRule type="cellIs" dxfId="853" priority="1551" stopIfTrue="1" operator="notEqual">
      <formula>INDIRECT("Dummy_for_Comparison4!"&amp;ADDRESS(ROW(),COLUMN()))</formula>
    </cfRule>
  </conditionalFormatting>
  <conditionalFormatting sqref="K213:K214">
    <cfRule type="cellIs" dxfId="852" priority="1356" stopIfTrue="1" operator="notEqual">
      <formula>INDIRECT("Dummy_for_Comparison4!"&amp;ADDRESS(ROW(),COLUMN()))</formula>
    </cfRule>
  </conditionalFormatting>
  <conditionalFormatting sqref="K215:K217">
    <cfRule type="cellIs" dxfId="851" priority="1560" stopIfTrue="1" operator="notEqual">
      <formula>INDIRECT("Dummy_for_Comparison4!"&amp;ADDRESS(ROW(),COLUMN()))</formula>
    </cfRule>
  </conditionalFormatting>
  <conditionalFormatting sqref="K292:K295">
    <cfRule type="cellIs" dxfId="850" priority="1451" stopIfTrue="1" operator="notEqual">
      <formula>INDIRECT("Dummy_for_Comparison4!"&amp;ADDRESS(ROW(),COLUMN()))</formula>
    </cfRule>
  </conditionalFormatting>
  <conditionalFormatting sqref="K305:K306">
    <cfRule type="cellIs" dxfId="849" priority="1447" stopIfTrue="1" operator="notEqual">
      <formula>INDIRECT("Dummy_for_Comparison4!"&amp;ADDRESS(ROW(),COLUMN()))</formula>
    </cfRule>
  </conditionalFormatting>
  <conditionalFormatting sqref="K322:K324">
    <cfRule type="cellIs" dxfId="848" priority="1444" stopIfTrue="1" operator="notEqual">
      <formula>INDIRECT("Dummy_for_Comparison4!"&amp;ADDRESS(ROW(),COLUMN()))</formula>
    </cfRule>
  </conditionalFormatting>
  <conditionalFormatting sqref="K374:K376">
    <cfRule type="cellIs" dxfId="847" priority="1514" stopIfTrue="1" operator="notEqual">
      <formula>INDIRECT("Dummy_for_Comparison4!"&amp;ADDRESS(ROW(),COLUMN()))</formula>
    </cfRule>
  </conditionalFormatting>
  <conditionalFormatting sqref="K395:K396">
    <cfRule type="cellIs" dxfId="846" priority="1354" stopIfTrue="1" operator="notEqual">
      <formula>INDIRECT("Dummy_for_Comparison4!"&amp;ADDRESS(ROW(),COLUMN()))</formula>
    </cfRule>
  </conditionalFormatting>
  <conditionalFormatting sqref="K414:K418">
    <cfRule type="cellIs" dxfId="845" priority="1468" stopIfTrue="1" operator="notEqual">
      <formula>INDIRECT("Dummy_for_Comparison4!"&amp;ADDRESS(ROW(),COLUMN()))</formula>
    </cfRule>
  </conditionalFormatting>
  <conditionalFormatting sqref="K420:K424">
    <cfRule type="cellIs" dxfId="844" priority="1466" stopIfTrue="1" operator="notEqual">
      <formula>INDIRECT("Dummy_for_Comparison4!"&amp;ADDRESS(ROW(),COLUMN()))</formula>
    </cfRule>
  </conditionalFormatting>
  <conditionalFormatting sqref="K425:K426">
    <cfRule type="cellIs" dxfId="843" priority="1465" stopIfTrue="1" operator="notEqual">
      <formula>INDIRECT("Dummy_for_Comparison4!"&amp;ADDRESS(ROW(),COLUMN()))</formula>
    </cfRule>
  </conditionalFormatting>
  <conditionalFormatting sqref="K427:K428">
    <cfRule type="cellIs" dxfId="842" priority="1464" stopIfTrue="1" operator="notEqual">
      <formula>INDIRECT("Dummy_for_Comparison4!"&amp;ADDRESS(ROW(),COLUMN()))</formula>
    </cfRule>
  </conditionalFormatting>
  <conditionalFormatting sqref="K432:K454">
    <cfRule type="cellIs" dxfId="841" priority="1484" stopIfTrue="1" operator="notEqual">
      <formula>INDIRECT("Dummy_for_Comparison4!"&amp;ADDRESS(ROW(),COLUMN()))</formula>
    </cfRule>
  </conditionalFormatting>
  <conditionalFormatting sqref="K456:K458">
    <cfRule type="cellIs" dxfId="840" priority="1459" stopIfTrue="1" operator="notEqual">
      <formula>INDIRECT("Dummy_for_Comparison4!"&amp;ADDRESS(ROW(),COLUMN()))</formula>
    </cfRule>
  </conditionalFormatting>
  <conditionalFormatting sqref="K462:K469">
    <cfRule type="cellIs" dxfId="839" priority="1460" stopIfTrue="1" operator="notEqual">
      <formula>INDIRECT("Dummy_for_Comparison4!"&amp;ADDRESS(ROW(),COLUMN()))</formula>
    </cfRule>
  </conditionalFormatting>
  <conditionalFormatting sqref="K470:K482">
    <cfRule type="cellIs" dxfId="838" priority="1452" stopIfTrue="1" operator="notEqual">
      <formula>INDIRECT("Dummy_for_Comparison4!"&amp;ADDRESS(ROW(),COLUMN()))</formula>
    </cfRule>
  </conditionalFormatting>
  <conditionalFormatting sqref="K486:K487">
    <cfRule type="cellIs" dxfId="837" priority="1457" stopIfTrue="1" operator="notEqual">
      <formula>INDIRECT("Dummy_for_Comparison4!"&amp;ADDRESS(ROW(),COLUMN()))</formula>
    </cfRule>
  </conditionalFormatting>
  <conditionalFormatting sqref="K826:K827">
    <cfRule type="cellIs" dxfId="836" priority="1328" stopIfTrue="1" operator="notEqual">
      <formula>INDIRECT("Dummy_for_Comparison4!"&amp;ADDRESS(ROW(),COLUMN()))</formula>
    </cfRule>
  </conditionalFormatting>
  <conditionalFormatting sqref="K828:K829">
    <cfRule type="cellIs" dxfId="835" priority="1327" stopIfTrue="1" operator="notEqual">
      <formula>INDIRECT("Dummy_for_Comparison4!"&amp;ADDRESS(ROW(),COLUMN()))</formula>
    </cfRule>
  </conditionalFormatting>
  <conditionalFormatting sqref="K901:K908">
    <cfRule type="cellIs" dxfId="834" priority="1308" stopIfTrue="1" operator="notEqual">
      <formula>INDIRECT("Dummy_for_Comparison4!"&amp;ADDRESS(ROW(),COLUMN()))</formula>
    </cfRule>
  </conditionalFormatting>
  <conditionalFormatting sqref="K909:K912">
    <cfRule type="cellIs" dxfId="833" priority="1309" stopIfTrue="1" operator="notEqual">
      <formula>INDIRECT("Dummy_for_Comparison4!"&amp;ADDRESS(ROW(),COLUMN()))</formula>
    </cfRule>
  </conditionalFormatting>
  <conditionalFormatting sqref="K924:K925">
    <cfRule type="cellIs" dxfId="832" priority="1315" stopIfTrue="1" operator="notEqual">
      <formula>INDIRECT("Dummy_for_Comparison4!"&amp;ADDRESS(ROW(),COLUMN()))</formula>
    </cfRule>
  </conditionalFormatting>
  <conditionalFormatting sqref="K930:K931">
    <cfRule type="cellIs" dxfId="831" priority="1305" stopIfTrue="1" operator="notEqual">
      <formula>INDIRECT("Dummy_for_Comparison4!"&amp;ADDRESS(ROW(),COLUMN()))</formula>
    </cfRule>
  </conditionalFormatting>
  <conditionalFormatting sqref="K932:K933">
    <cfRule type="cellIs" dxfId="830" priority="1306" stopIfTrue="1" operator="notEqual">
      <formula>INDIRECT("Dummy_for_Comparison4!"&amp;ADDRESS(ROW(),COLUMN()))</formula>
    </cfRule>
  </conditionalFormatting>
  <conditionalFormatting sqref="K970:K972">
    <cfRule type="cellIs" dxfId="829" priority="1386" stopIfTrue="1" operator="notEqual">
      <formula>INDIRECT("Dummy_for_Comparison4!"&amp;ADDRESS(ROW(),COLUMN()))</formula>
    </cfRule>
  </conditionalFormatting>
  <conditionalFormatting sqref="K980:K987">
    <cfRule type="cellIs" dxfId="828" priority="1385" stopIfTrue="1" operator="notEqual">
      <formula>INDIRECT("Dummy_for_Comparison4!"&amp;ADDRESS(ROW(),COLUMN()))</formula>
    </cfRule>
  </conditionalFormatting>
  <conditionalFormatting sqref="K988:K991">
    <cfRule type="cellIs" dxfId="827" priority="1381" stopIfTrue="1" operator="notEqual">
      <formula>INDIRECT("Dummy_for_Comparison4!"&amp;ADDRESS(ROW(),COLUMN()))</formula>
    </cfRule>
  </conditionalFormatting>
  <conditionalFormatting sqref="K992:K998">
    <cfRule type="cellIs" dxfId="826" priority="1380" stopIfTrue="1" operator="notEqual">
      <formula>INDIRECT("Dummy_for_Comparison4!"&amp;ADDRESS(ROW(),COLUMN()))</formula>
    </cfRule>
  </conditionalFormatting>
  <conditionalFormatting sqref="K999:K1003">
    <cfRule type="cellIs" dxfId="825" priority="1379" stopIfTrue="1" operator="notEqual">
      <formula>INDIRECT("Dummy_for_Comparison4!"&amp;ADDRESS(ROW(),COLUMN()))</formula>
    </cfRule>
  </conditionalFormatting>
  <conditionalFormatting sqref="K1004:K1005">
    <cfRule type="cellIs" dxfId="824" priority="1357" stopIfTrue="1" operator="notEqual">
      <formula>INDIRECT("Dummy_for_Comparison4!"&amp;ADDRESS(ROW(),COLUMN()))</formula>
    </cfRule>
  </conditionalFormatting>
  <conditionalFormatting sqref="L901:L908">
    <cfRule type="cellIs" dxfId="823" priority="1602" stopIfTrue="1" operator="notEqual">
      <formula>INDIRECT("Dummy_for_Comparison4!"&amp;ADDRESS(ROW(),COLUMN()))</formula>
    </cfRule>
  </conditionalFormatting>
  <conditionalFormatting sqref="M341:M343">
    <cfRule type="cellIs" dxfId="822" priority="3810" stopIfTrue="1" operator="notEqual">
      <formula>INDIRECT("Dummy_for_Comparison4!"&amp;ADDRESS(ROW(),COLUMN()))</formula>
    </cfRule>
  </conditionalFormatting>
  <conditionalFormatting sqref="M353:M355">
    <cfRule type="cellIs" dxfId="821" priority="3808" stopIfTrue="1" operator="notEqual">
      <formula>INDIRECT("Dummy_for_Comparison4!"&amp;ADDRESS(ROW(),COLUMN()))</formula>
    </cfRule>
  </conditionalFormatting>
  <conditionalFormatting sqref="M365:N365 M363:M364">
    <cfRule type="cellIs" dxfId="820" priority="3806" stopIfTrue="1" operator="notEqual">
      <formula>INDIRECT("Dummy_for_Comparison4!"&amp;ADDRESS(ROW(),COLUMN()))</formula>
    </cfRule>
  </conditionalFormatting>
  <conditionalFormatting sqref="M396:N396 M395">
    <cfRule type="cellIs" dxfId="819" priority="2035" stopIfTrue="1" operator="notEqual">
      <formula>INDIRECT("Dummy_for_Comparison4!"&amp;ADDRESS(ROW(),COLUMN()))</formula>
    </cfRule>
  </conditionalFormatting>
  <conditionalFormatting sqref="M462:N465">
    <cfRule type="cellIs" dxfId="818" priority="3784" stopIfTrue="1" operator="notEqual">
      <formula>INDIRECT("Dummy_for_Comparison4!"&amp;ADDRESS(ROW(),COLUMN()))</formula>
    </cfRule>
  </conditionalFormatting>
  <conditionalFormatting sqref="M483:M484">
    <cfRule type="cellIs" dxfId="817" priority="3783" stopIfTrue="1" operator="notEqual">
      <formula>INDIRECT("Dummy_for_Comparison4!"&amp;ADDRESS(ROW(),COLUMN()))</formula>
    </cfRule>
  </conditionalFormatting>
  <conditionalFormatting sqref="M489:N489 M490 N490:N506">
    <cfRule type="cellIs" dxfId="816" priority="3782" stopIfTrue="1" operator="notEqual">
      <formula>INDIRECT("Dummy_for_Comparison4!"&amp;ADDRESS(ROW(),COLUMN()))</formula>
    </cfRule>
  </conditionalFormatting>
  <conditionalFormatting sqref="M493:M494">
    <cfRule type="cellIs" dxfId="815" priority="3779" stopIfTrue="1" operator="notEqual">
      <formula>INDIRECT("Dummy_for_Comparison4!"&amp;ADDRESS(ROW(),COLUMN()))</formula>
    </cfRule>
  </conditionalFormatting>
  <conditionalFormatting sqref="M495:M496">
    <cfRule type="cellIs" dxfId="814" priority="3778" stopIfTrue="1" operator="notEqual">
      <formula>INDIRECT("Dummy_for_Comparison4!"&amp;ADDRESS(ROW(),COLUMN()))</formula>
    </cfRule>
  </conditionalFormatting>
  <conditionalFormatting sqref="M497:M498">
    <cfRule type="cellIs" dxfId="813" priority="3777" stopIfTrue="1" operator="notEqual">
      <formula>INDIRECT("Dummy_for_Comparison4!"&amp;ADDRESS(ROW(),COLUMN()))</formula>
    </cfRule>
  </conditionalFormatting>
  <conditionalFormatting sqref="M499:M500">
    <cfRule type="cellIs" dxfId="812" priority="3776" stopIfTrue="1" operator="notEqual">
      <formula>INDIRECT("Dummy_for_Comparison4!"&amp;ADDRESS(ROW(),COLUMN()))</formula>
    </cfRule>
  </conditionalFormatting>
  <conditionalFormatting sqref="M501:M502">
    <cfRule type="cellIs" dxfId="811" priority="3775" stopIfTrue="1" operator="notEqual">
      <formula>INDIRECT("Dummy_for_Comparison4!"&amp;ADDRESS(ROW(),COLUMN()))</formula>
    </cfRule>
  </conditionalFormatting>
  <conditionalFormatting sqref="M503:M504">
    <cfRule type="cellIs" dxfId="810" priority="3774" stopIfTrue="1" operator="notEqual">
      <formula>INDIRECT("Dummy_for_Comparison4!"&amp;ADDRESS(ROW(),COLUMN()))</formula>
    </cfRule>
  </conditionalFormatting>
  <conditionalFormatting sqref="M505:M506">
    <cfRule type="cellIs" dxfId="809" priority="3773" stopIfTrue="1" operator="notEqual">
      <formula>INDIRECT("Dummy_for_Comparison4!"&amp;ADDRESS(ROW(),COLUMN()))</formula>
    </cfRule>
  </conditionalFormatting>
  <conditionalFormatting sqref="M507:N508">
    <cfRule type="cellIs" dxfId="808" priority="3772" stopIfTrue="1" operator="notEqual">
      <formula>INDIRECT("Dummy_for_Comparison4!"&amp;ADDRESS(ROW(),COLUMN()))</formula>
    </cfRule>
  </conditionalFormatting>
  <conditionalFormatting sqref="M509:M510">
    <cfRule type="cellIs" dxfId="807" priority="3771" stopIfTrue="1" operator="notEqual">
      <formula>INDIRECT("Dummy_for_Comparison4!"&amp;ADDRESS(ROW(),COLUMN()))</formula>
    </cfRule>
  </conditionalFormatting>
  <conditionalFormatting sqref="M517:N517 M518 N518:N520">
    <cfRule type="cellIs" dxfId="806" priority="3770" stopIfTrue="1" operator="notEqual">
      <formula>INDIRECT("Dummy_for_Comparison4!"&amp;ADDRESS(ROW(),COLUMN()))</formula>
    </cfRule>
  </conditionalFormatting>
  <conditionalFormatting sqref="M519:M520">
    <cfRule type="cellIs" dxfId="805" priority="3769" stopIfTrue="1" operator="notEqual">
      <formula>INDIRECT("Dummy_for_Comparison4!"&amp;ADDRESS(ROW(),COLUMN()))</formula>
    </cfRule>
  </conditionalFormatting>
  <conditionalFormatting sqref="M529:M530">
    <cfRule type="cellIs" dxfId="804" priority="3768" stopIfTrue="1" operator="notEqual">
      <formula>INDIRECT("Dummy_for_Comparison4!"&amp;ADDRESS(ROW(),COLUMN()))</formula>
    </cfRule>
  </conditionalFormatting>
  <conditionalFormatting sqref="M531:M532">
    <cfRule type="cellIs" dxfId="803" priority="3767" stopIfTrue="1" operator="notEqual">
      <formula>INDIRECT("Dummy_for_Comparison4!"&amp;ADDRESS(ROW(),COLUMN()))</formula>
    </cfRule>
  </conditionalFormatting>
  <conditionalFormatting sqref="M534:M535">
    <cfRule type="cellIs" dxfId="802" priority="3766" stopIfTrue="1" operator="notEqual">
      <formula>INDIRECT("Dummy_for_Comparison4!"&amp;ADDRESS(ROW(),COLUMN()))</formula>
    </cfRule>
  </conditionalFormatting>
  <conditionalFormatting sqref="M536:M537">
    <cfRule type="cellIs" dxfId="801" priority="3765" stopIfTrue="1" operator="notEqual">
      <formula>INDIRECT("Dummy_for_Comparison4!"&amp;ADDRESS(ROW(),COLUMN()))</formula>
    </cfRule>
  </conditionalFormatting>
  <conditionalFormatting sqref="M545:N545 M546 N546:N551">
    <cfRule type="cellIs" dxfId="800" priority="3764" stopIfTrue="1" operator="notEqual">
      <formula>INDIRECT("Dummy_for_Comparison4!"&amp;ADDRESS(ROW(),COLUMN()))</formula>
    </cfRule>
  </conditionalFormatting>
  <conditionalFormatting sqref="M548:M549">
    <cfRule type="cellIs" dxfId="799" priority="3762" stopIfTrue="1" operator="notEqual">
      <formula>INDIRECT("Dummy_for_Comparison4!"&amp;ADDRESS(ROW(),COLUMN()))</formula>
    </cfRule>
  </conditionalFormatting>
  <conditionalFormatting sqref="M550:M551">
    <cfRule type="cellIs" dxfId="798" priority="3761" stopIfTrue="1" operator="notEqual">
      <formula>INDIRECT("Dummy_for_Comparison4!"&amp;ADDRESS(ROW(),COLUMN()))</formula>
    </cfRule>
  </conditionalFormatting>
  <conditionalFormatting sqref="M552:N553">
    <cfRule type="cellIs" dxfId="797" priority="3760" stopIfTrue="1" operator="notEqual">
      <formula>INDIRECT("Dummy_for_Comparison4!"&amp;ADDRESS(ROW(),COLUMN()))</formula>
    </cfRule>
  </conditionalFormatting>
  <conditionalFormatting sqref="M554:N555">
    <cfRule type="cellIs" dxfId="796" priority="3759" stopIfTrue="1" operator="notEqual">
      <formula>INDIRECT("Dummy_for_Comparison4!"&amp;ADDRESS(ROW(),COLUMN()))</formula>
    </cfRule>
  </conditionalFormatting>
  <conditionalFormatting sqref="M557:M558">
    <cfRule type="cellIs" dxfId="795" priority="3758" stopIfTrue="1" operator="notEqual">
      <formula>INDIRECT("Dummy_for_Comparison4!"&amp;ADDRESS(ROW(),COLUMN()))</formula>
    </cfRule>
  </conditionalFormatting>
  <conditionalFormatting sqref="M559:M560">
    <cfRule type="cellIs" dxfId="794" priority="3757" stopIfTrue="1" operator="notEqual">
      <formula>INDIRECT("Dummy_for_Comparison4!"&amp;ADDRESS(ROW(),COLUMN()))</formula>
    </cfRule>
  </conditionalFormatting>
  <conditionalFormatting sqref="M901:N933">
    <cfRule type="cellIs" dxfId="793" priority="1155" stopIfTrue="1" operator="notEqual">
      <formula>INDIRECT("Dummy_for_Comparison4!"&amp;ADDRESS(ROW(),COLUMN()))</formula>
    </cfRule>
  </conditionalFormatting>
  <conditionalFormatting sqref="M1000:N1003 M988:M999">
    <cfRule type="cellIs" dxfId="792" priority="976" stopIfTrue="1" operator="notEqual">
      <formula>INDIRECT("Dummy_for_Comparison4!"&amp;ADDRESS(ROW(),COLUMN()))</formula>
    </cfRule>
  </conditionalFormatting>
  <conditionalFormatting sqref="O158:O159">
    <cfRule type="cellIs" dxfId="791" priority="4317" stopIfTrue="1" operator="notEqual">
      <formula>INDIRECT("Dummy_for_Comparison4!"&amp;ADDRESS(ROW(),COLUMN()))</formula>
    </cfRule>
  </conditionalFormatting>
  <conditionalFormatting sqref="O293:O295">
    <cfRule type="cellIs" dxfId="790" priority="3674" stopIfTrue="1" operator="notEqual">
      <formula>INDIRECT("Dummy_for_Comparison4!"&amp;ADDRESS(ROW(),COLUMN()))</formula>
    </cfRule>
  </conditionalFormatting>
  <conditionalFormatting sqref="O313:O314">
    <cfRule type="cellIs" dxfId="789" priority="3691" stopIfTrue="1" operator="notEqual">
      <formula>INDIRECT("Dummy_for_Comparison4!"&amp;ADDRESS(ROW(),COLUMN()))</formula>
    </cfRule>
  </conditionalFormatting>
  <conditionalFormatting sqref="O319:O320">
    <cfRule type="cellIs" dxfId="788" priority="3665" stopIfTrue="1" operator="notEqual">
      <formula>INDIRECT("Dummy_for_Comparison4!"&amp;ADDRESS(ROW(),COLUMN()))</formula>
    </cfRule>
  </conditionalFormatting>
  <conditionalFormatting sqref="O456:O458">
    <cfRule type="cellIs" dxfId="787" priority="3826" stopIfTrue="1" operator="notEqual">
      <formula>INDIRECT("Dummy_for_Comparison4!"&amp;ADDRESS(ROW(),COLUMN()))</formula>
    </cfRule>
  </conditionalFormatting>
  <conditionalFormatting sqref="O905:O907">
    <cfRule type="cellIs" dxfId="786" priority="1583" stopIfTrue="1" operator="notEqual">
      <formula>INDIRECT("Dummy_for_Comparison4!"&amp;ADDRESS(ROW(),COLUMN()))</formula>
    </cfRule>
  </conditionalFormatting>
  <conditionalFormatting sqref="O913:O916">
    <cfRule type="cellIs" dxfId="785" priority="1631" stopIfTrue="1" operator="notEqual">
      <formula>INDIRECT("Dummy_for_Comparison4!"&amp;ADDRESS(ROW(),COLUMN()))</formula>
    </cfRule>
  </conditionalFormatting>
  <conditionalFormatting sqref="O930:O931">
    <cfRule type="cellIs" dxfId="784" priority="1585" stopIfTrue="1" operator="notEqual">
      <formula>INDIRECT("Dummy_for_Comparison4!"&amp;ADDRESS(ROW(),COLUMN()))</formula>
    </cfRule>
  </conditionalFormatting>
  <conditionalFormatting sqref="O932:O933">
    <cfRule type="cellIs" dxfId="783" priority="1591" stopIfTrue="1" operator="notEqual">
      <formula>INDIRECT("Dummy_for_Comparison4!"&amp;ADDRESS(ROW(),COLUMN()))</formula>
    </cfRule>
  </conditionalFormatting>
  <conditionalFormatting sqref="O980:O987">
    <cfRule type="cellIs" dxfId="782" priority="2287" stopIfTrue="1" operator="notEqual">
      <formula>INDIRECT("Dummy_for_Comparison4!"&amp;ADDRESS(ROW(),COLUMN()))</formula>
    </cfRule>
  </conditionalFormatting>
  <conditionalFormatting sqref="O988:O991">
    <cfRule type="cellIs" dxfId="781" priority="2266" stopIfTrue="1" operator="notEqual">
      <formula>INDIRECT("Dummy_for_Comparison4!"&amp;ADDRESS(ROW(),COLUMN()))</formula>
    </cfRule>
  </conditionalFormatting>
  <conditionalFormatting sqref="O992:O998">
    <cfRule type="cellIs" dxfId="780" priority="2261" stopIfTrue="1" operator="notEqual">
      <formula>INDIRECT("Dummy_for_Comparison4!"&amp;ADDRESS(ROW(),COLUMN()))</formula>
    </cfRule>
  </conditionalFormatting>
  <conditionalFormatting sqref="O999:O1003">
    <cfRule type="cellIs" dxfId="779" priority="2256" stopIfTrue="1" operator="notEqual">
      <formula>INDIRECT("Dummy_for_Comparison4!"&amp;ADDRESS(ROW(),COLUMN()))</formula>
    </cfRule>
  </conditionalFormatting>
  <conditionalFormatting sqref="O1004:O1005">
    <cfRule type="cellIs" dxfId="778" priority="2143" stopIfTrue="1" operator="notEqual">
      <formula>INDIRECT("Dummy_for_Comparison4!"&amp;ADDRESS(ROW(),COLUMN()))</formula>
    </cfRule>
  </conditionalFormatting>
  <conditionalFormatting sqref="Q353:Q356">
    <cfRule type="cellIs" dxfId="777" priority="3472" stopIfTrue="1" operator="notEqual">
      <formula>INDIRECT("Dummy_for_Comparison4!"&amp;ADDRESS(ROW(),COLUMN()))</formula>
    </cfRule>
  </conditionalFormatting>
  <conditionalFormatting sqref="Q374:Q376">
    <cfRule type="cellIs" dxfId="776" priority="3497" stopIfTrue="1" operator="notEqual">
      <formula>INDIRECT("Dummy_for_Comparison4!"&amp;ADDRESS(ROW(),COLUMN()))</formula>
    </cfRule>
  </conditionalFormatting>
  <conditionalFormatting sqref="Q395:Q396">
    <cfRule type="cellIs" dxfId="775" priority="2028" stopIfTrue="1" operator="notEqual">
      <formula>INDIRECT("Dummy_for_Comparison4!"&amp;ADDRESS(ROW(),COLUMN()))</formula>
    </cfRule>
  </conditionalFormatting>
  <conditionalFormatting sqref="Q417:Q420">
    <cfRule type="cellIs" dxfId="774" priority="667" stopIfTrue="1" operator="notEqual">
      <formula>INDIRECT("Dummy_for_Comparison4!"&amp;ADDRESS(ROW(),COLUMN()))</formula>
    </cfRule>
  </conditionalFormatting>
  <conditionalFormatting sqref="Q421:Q424">
    <cfRule type="cellIs" dxfId="773" priority="3477" stopIfTrue="1" operator="notEqual">
      <formula>INDIRECT("Dummy_for_Comparison4!"&amp;ADDRESS(ROW(),COLUMN()))</formula>
    </cfRule>
  </conditionalFormatting>
  <conditionalFormatting sqref="Q427:Q428">
    <cfRule type="cellIs" dxfId="772" priority="3475" stopIfTrue="1" operator="notEqual">
      <formula>INDIRECT("Dummy_for_Comparison4!"&amp;ADDRESS(ROW(),COLUMN()))</formula>
    </cfRule>
  </conditionalFormatting>
  <conditionalFormatting sqref="Q651:Q654">
    <cfRule type="cellIs" dxfId="771" priority="3391" stopIfTrue="1" operator="notEqual">
      <formula>INDIRECT("Dummy_for_Comparison4!"&amp;ADDRESS(ROW(),COLUMN()))</formula>
    </cfRule>
  </conditionalFormatting>
  <conditionalFormatting sqref="R417:R420">
    <cfRule type="cellIs" dxfId="770" priority="668" stopIfTrue="1" operator="notEqual">
      <formula>INDIRECT("Dummy_for_Comparison4!"&amp;ADDRESS(ROW(),COLUMN()))</formula>
    </cfRule>
  </conditionalFormatting>
  <conditionalFormatting sqref="R1036:R1043">
    <cfRule type="cellIs" dxfId="769" priority="696" stopIfTrue="1" operator="notEqual">
      <formula>INDIRECT("Dummy_for_Comparison4!"&amp;ADDRESS(ROW(),COLUMN()))</formula>
    </cfRule>
  </conditionalFormatting>
  <conditionalFormatting sqref="S405:S412">
    <cfRule type="cellIs" dxfId="768" priority="3465" stopIfTrue="1" operator="notEqual">
      <formula>INDIRECT("Dummy_for_Comparison4!"&amp;ADDRESS(ROW(),COLUMN()))</formula>
    </cfRule>
  </conditionalFormatting>
  <conditionalFormatting sqref="S413:S416">
    <cfRule type="cellIs" dxfId="767" priority="3464" stopIfTrue="1" operator="notEqual">
      <formula>INDIRECT("Dummy_for_Comparison4!"&amp;ADDRESS(ROW(),COLUMN()))</formula>
    </cfRule>
  </conditionalFormatting>
  <conditionalFormatting sqref="S647:S654">
    <cfRule type="cellIs" dxfId="766" priority="3394" stopIfTrue="1" operator="notEqual">
      <formula>INDIRECT("Dummy_for_Comparison4!"&amp;ADDRESS(ROW(),COLUMN()))</formula>
    </cfRule>
  </conditionalFormatting>
  <conditionalFormatting sqref="S735:S738">
    <cfRule type="cellIs" dxfId="765" priority="2059" stopIfTrue="1" operator="notEqual">
      <formula>INDIRECT("Dummy_for_Comparison4!"&amp;ADDRESS(ROW(),COLUMN()))</formula>
    </cfRule>
  </conditionalFormatting>
  <conditionalFormatting sqref="S739:S742">
    <cfRule type="cellIs" dxfId="764" priority="2052" stopIfTrue="1" operator="notEqual">
      <formula>INDIRECT("Dummy_for_Comparison4!"&amp;ADDRESS(ROW(),COLUMN()))</formula>
    </cfRule>
  </conditionalFormatting>
  <conditionalFormatting sqref="S1036:S1043">
    <cfRule type="cellIs" dxfId="763" priority="691" stopIfTrue="1" operator="notEqual">
      <formula>INDIRECT("Dummy_for_Comparison4!"&amp;ADDRESS(ROW(),COLUMN()))</formula>
    </cfRule>
  </conditionalFormatting>
  <conditionalFormatting sqref="U751:U754">
    <cfRule type="cellIs" dxfId="762" priority="2050" stopIfTrue="1" operator="notEqual">
      <formula>INDIRECT("Dummy_for_Comparison4!"&amp;ADDRESS(ROW(),COLUMN()))</formula>
    </cfRule>
  </conditionalFormatting>
  <conditionalFormatting sqref="Y417:Y420">
    <cfRule type="cellIs" dxfId="761" priority="3463" stopIfTrue="1" operator="notEqual">
      <formula>INDIRECT("Dummy_for_Comparison4!"&amp;ADDRESS(ROW(),COLUMN()))</formula>
    </cfRule>
  </conditionalFormatting>
  <conditionalFormatting sqref="AJ427:AJ428">
    <cfRule type="cellIs" dxfId="760" priority="3832" stopIfTrue="1" operator="notEqual">
      <formula>INDIRECT("Dummy_for_Comparison4!"&amp;ADDRESS(ROW(),COLUMN()))</formula>
    </cfRule>
  </conditionalFormatting>
  <conditionalFormatting sqref="B3:B4 C3:D6 C2:F2 O2:O6 H2:J2 L2:N2 C172:F175 E196:F197 E201:F201 C203:F203 E204:F204 C180:F181 D195:F195 C198:F198 D178:F179 C184:F185 C187:F187 C177:F177 H187:J187 H203:J204 H201:J201 H177:J181 L187:O187 H194:J198 H172:J175 E194:F194 L172:O175 L194:O198 L177:O181 L203:O204 L201:O201 D183:F183 H183:J183 L183:O183">
    <cfRule type="cellIs" dxfId="759" priority="4675" stopIfTrue="1" operator="notEqual">
      <formula>INDIRECT("Dummy_for_Comparison4!"&amp;ADDRESS(ROW(),COLUMN()))</formula>
    </cfRule>
  </conditionalFormatting>
  <conditionalFormatting sqref="G2 G172:G175 G201 G203:G204 G194:G198 G187 G177:G181 G183">
    <cfRule type="cellIs" dxfId="758" priority="3629" stopIfTrue="1" operator="notEqual">
      <formula>INDIRECT("Dummy_for_Comparison4!"&amp;ADDRESS(ROW(),COLUMN()))</formula>
    </cfRule>
  </conditionalFormatting>
  <conditionalFormatting sqref="K2 K172:K175 K177:K181 K194:K198 K201 K203:K204 K187 K183">
    <cfRule type="cellIs" dxfId="757" priority="1563" stopIfTrue="1" operator="notEqual">
      <formula>INDIRECT("Dummy_for_Comparison4!"&amp;ADDRESS(ROW(),COLUMN()))</formula>
    </cfRule>
  </conditionalFormatting>
  <conditionalFormatting sqref="O54 C54:D54">
    <cfRule type="cellIs" dxfId="756" priority="680" stopIfTrue="1" operator="notEqual">
      <formula>INDIRECT("Dummy_for_Comparison4!"&amp;ADDRESS(ROW(),COLUMN()))</formula>
    </cfRule>
  </conditionalFormatting>
  <conditionalFormatting sqref="O55 C55:D55">
    <cfRule type="cellIs" dxfId="755" priority="679" stopIfTrue="1" operator="notEqual">
      <formula>INDIRECT("Dummy_for_Comparison4!"&amp;ADDRESS(ROW(),COLUMN()))</formula>
    </cfRule>
  </conditionalFormatting>
  <conditionalFormatting sqref="C56 C309:F309 G307:O309 C226:O229">
    <cfRule type="cellIs" dxfId="754" priority="677" stopIfTrue="1" operator="notEqual">
      <formula>INDIRECT("Dummy_for_Comparison4!"&amp;ADDRESS(ROW(),COLUMN()))</formula>
    </cfRule>
  </conditionalFormatting>
  <conditionalFormatting sqref="O56 D56">
    <cfRule type="cellIs" dxfId="753" priority="678" stopIfTrue="1" operator="notEqual">
      <formula>INDIRECT("Dummy_for_Comparison4!"&amp;ADDRESS(ROW(),COLUMN()))</formula>
    </cfRule>
  </conditionalFormatting>
  <conditionalFormatting sqref="D58 O58">
    <cfRule type="cellIs" dxfId="752" priority="676" stopIfTrue="1" operator="notEqual">
      <formula>INDIRECT("Dummy_for_Comparison4!"&amp;ADDRESS(ROW(),COLUMN()))</formula>
    </cfRule>
  </conditionalFormatting>
  <conditionalFormatting sqref="D59 O59">
    <cfRule type="cellIs" dxfId="751" priority="3156" stopIfTrue="1" operator="notEqual">
      <formula>INDIRECT("Dummy_for_Comparison4!"&amp;ADDRESS(ROW(),COLUMN()))</formula>
    </cfRule>
  </conditionalFormatting>
  <conditionalFormatting sqref="D60:D61 O60:O61">
    <cfRule type="cellIs" dxfId="750" priority="3154" stopIfTrue="1" operator="notEqual">
      <formula>INDIRECT("Dummy_for_Comparison4!"&amp;ADDRESS(ROW(),COLUMN()))</formula>
    </cfRule>
  </conditionalFormatting>
  <conditionalFormatting sqref="O62 C62:D62">
    <cfRule type="cellIs" dxfId="749" priority="4003" stopIfTrue="1" operator="notEqual">
      <formula>INDIRECT("Dummy_for_Comparison4!"&amp;ADDRESS(ROW(),COLUMN()))</formula>
    </cfRule>
  </conditionalFormatting>
  <conditionalFormatting sqref="C63 R362:AD362 R363 R403:AD404 R405:R416 S417:X417 S418:V420 R421:AD424 R427:AD428 R647:R654 AV418:BY420 AJ417:BY417 L397:AW397 S395:AW395 AE396:AW396 S398:AW398 AM418:AQ420 R348:BY353 R357:BY361 R365:BY368 R374:BY377 R391:BY393 R402:BY402 V354:BY356 AF362:BY362 T363:BY364 O394:BY394 AF403:BY416 AF421:BY424 AK425:BY428 AZ395:BY397 BF398:BY398 R735:R742 Q743:T746">
    <cfRule type="cellIs" dxfId="748" priority="4001" stopIfTrue="1" operator="notEqual">
      <formula>INDIRECT("Dummy_for_Comparison4!"&amp;ADDRESS(ROW(),COLUMN()))</formula>
    </cfRule>
  </conditionalFormatting>
  <conditionalFormatting sqref="O63 D63">
    <cfRule type="cellIs" dxfId="747" priority="4002" stopIfTrue="1" operator="notEqual">
      <formula>INDIRECT("Dummy_for_Comparison4!"&amp;ADDRESS(ROW(),COLUMN()))</formula>
    </cfRule>
  </conditionalFormatting>
  <conditionalFormatting sqref="D65 O65">
    <cfRule type="cellIs" dxfId="746" priority="4000" stopIfTrue="1" operator="notEqual">
      <formula>INDIRECT("Dummy_for_Comparison4!"&amp;ADDRESS(ROW(),COLUMN()))</formula>
    </cfRule>
  </conditionalFormatting>
  <conditionalFormatting sqref="O66 D66">
    <cfRule type="cellIs" dxfId="745" priority="3720" stopIfTrue="1" operator="notEqual">
      <formula>INDIRECT("Dummy_for_Comparison4!"&amp;ADDRESS(ROW(),COLUMN()))</formula>
    </cfRule>
  </conditionalFormatting>
  <conditionalFormatting sqref="O67:O68 D67:D68">
    <cfRule type="cellIs" dxfId="744" priority="3718" stopIfTrue="1" operator="notEqual">
      <formula>INDIRECT("Dummy_for_Comparison4!"&amp;ADDRESS(ROW(),COLUMN()))</formula>
    </cfRule>
  </conditionalFormatting>
  <conditionalFormatting sqref="C69 C260:F263 C189:F193 H189:J193 H260:J263 G184:J185 C156:D157 L184:O185 L260:O263 L189:O193 L265:O265 H265:J265 C265:F265">
    <cfRule type="cellIs" dxfId="743" priority="4614" stopIfTrue="1" operator="notEqual">
      <formula>INDIRECT("Dummy_for_Comparison4!"&amp;ADDRESS(ROW(),COLUMN()))</formula>
    </cfRule>
  </conditionalFormatting>
  <conditionalFormatting sqref="D69 O69">
    <cfRule type="cellIs" dxfId="742" priority="4615" stopIfTrue="1" operator="notEqual">
      <formula>INDIRECT("Dummy_for_Comparison4!"&amp;ADDRESS(ROW(),COLUMN()))</formula>
    </cfRule>
  </conditionalFormatting>
  <conditionalFormatting sqref="D70 O70">
    <cfRule type="cellIs" dxfId="741" priority="3426" stopIfTrue="1" operator="notEqual">
      <formula>INDIRECT("Dummy_for_Comparison4!"&amp;ADDRESS(ROW(),COLUMN()))</formula>
    </cfRule>
  </conditionalFormatting>
  <conditionalFormatting sqref="D71 O71">
    <cfRule type="cellIs" dxfId="740" priority="3424" stopIfTrue="1" operator="notEqual">
      <formula>INDIRECT("Dummy_for_Comparison4!"&amp;ADDRESS(ROW(),COLUMN()))</formula>
    </cfRule>
  </conditionalFormatting>
  <conditionalFormatting sqref="D73 O73">
    <cfRule type="cellIs" dxfId="739" priority="4401" stopIfTrue="1" operator="notEqual">
      <formula>INDIRECT("Dummy_for_Comparison4!"&amp;ADDRESS(ROW(),COLUMN()))</formula>
    </cfRule>
  </conditionalFormatting>
  <conditionalFormatting sqref="D74 O74">
    <cfRule type="cellIs" dxfId="738" priority="4393" stopIfTrue="1" operator="notEqual">
      <formula>INDIRECT("Dummy_for_Comparison4!"&amp;ADDRESS(ROW(),COLUMN()))</formula>
    </cfRule>
  </conditionalFormatting>
  <conditionalFormatting sqref="D78 O78">
    <cfRule type="cellIs" dxfId="737" priority="4389" stopIfTrue="1" operator="notEqual">
      <formula>INDIRECT("Dummy_for_Comparison4!"&amp;ADDRESS(ROW(),COLUMN()))</formula>
    </cfRule>
  </conditionalFormatting>
  <conditionalFormatting sqref="C128:D128 O128">
    <cfRule type="cellIs" dxfId="736" priority="4591" stopIfTrue="1" operator="notEqual">
      <formula>INDIRECT("Dummy_for_Comparison4!"&amp;ADDRESS(ROW(),COLUMN()))</formula>
    </cfRule>
  </conditionalFormatting>
  <conditionalFormatting sqref="C129:D129 O129">
    <cfRule type="cellIs" dxfId="735" priority="4590" stopIfTrue="1" operator="notEqual">
      <formula>INDIRECT("Dummy_for_Comparison4!"&amp;ADDRESS(ROW(),COLUMN()))</formula>
    </cfRule>
  </conditionalFormatting>
  <conditionalFormatting sqref="C130:D130 O130">
    <cfRule type="cellIs" dxfId="734" priority="4589" stopIfTrue="1" operator="notEqual">
      <formula>INDIRECT("Dummy_for_Comparison4!"&amp;ADDRESS(ROW(),COLUMN()))</formula>
    </cfRule>
  </conditionalFormatting>
  <conditionalFormatting sqref="C131:D131 O131">
    <cfRule type="cellIs" dxfId="733" priority="4588" stopIfTrue="1" operator="notEqual">
      <formula>INDIRECT("Dummy_for_Comparison4!"&amp;ADDRESS(ROW(),COLUMN()))</formula>
    </cfRule>
  </conditionalFormatting>
  <conditionalFormatting sqref="C133:D133 O133">
    <cfRule type="cellIs" dxfId="732" priority="4587" stopIfTrue="1" operator="notEqual">
      <formula>INDIRECT("Dummy_for_Comparison4!"&amp;ADDRESS(ROW(),COLUMN()))</formula>
    </cfRule>
  </conditionalFormatting>
  <conditionalFormatting sqref="C134:D134 O134">
    <cfRule type="cellIs" dxfId="731" priority="4628" stopIfTrue="1" operator="notEqual">
      <formula>INDIRECT("Dummy_for_Comparison4!"&amp;ADDRESS(ROW(),COLUMN()))</formula>
    </cfRule>
  </conditionalFormatting>
  <conditionalFormatting sqref="C135:D136">
    <cfRule type="cellIs" dxfId="730" priority="4379" stopIfTrue="1" operator="notEqual">
      <formula>INDIRECT("Dummy_for_Comparison4!"&amp;ADDRESS(ROW(),COLUMN()))</formula>
    </cfRule>
  </conditionalFormatting>
  <conditionalFormatting sqref="C138:D138 O138">
    <cfRule type="cellIs" dxfId="729" priority="4543" stopIfTrue="1" operator="notEqual">
      <formula>INDIRECT("Dummy_for_Comparison4!"&amp;ADDRESS(ROW(),COLUMN()))</formula>
    </cfRule>
  </conditionalFormatting>
  <conditionalFormatting sqref="C139:D139 O139">
    <cfRule type="cellIs" dxfId="728" priority="4541" stopIfTrue="1" operator="notEqual">
      <formula>INDIRECT("Dummy_for_Comparison4!"&amp;ADDRESS(ROW(),COLUMN()))</formula>
    </cfRule>
  </conditionalFormatting>
  <conditionalFormatting sqref="C140:D140 O140">
    <cfRule type="cellIs" dxfId="727" priority="4542" stopIfTrue="1" operator="notEqual">
      <formula>INDIRECT("Dummy_for_Comparison4!"&amp;ADDRESS(ROW(),COLUMN()))</formula>
    </cfRule>
  </conditionalFormatting>
  <conditionalFormatting sqref="C141:D141 O141">
    <cfRule type="cellIs" dxfId="726" priority="4538" stopIfTrue="1" operator="notEqual">
      <formula>INDIRECT("Dummy_for_Comparison4!"&amp;ADDRESS(ROW(),COLUMN()))</formula>
    </cfRule>
  </conditionalFormatting>
  <conditionalFormatting sqref="C142:D142 O142">
    <cfRule type="cellIs" dxfId="725" priority="4540" stopIfTrue="1" operator="notEqual">
      <formula>INDIRECT("Dummy_for_Comparison4!"&amp;ADDRESS(ROW(),COLUMN()))</formula>
    </cfRule>
  </conditionalFormatting>
  <conditionalFormatting sqref="C144:D144 O144">
    <cfRule type="cellIs" dxfId="724" priority="4539" stopIfTrue="1" operator="notEqual">
      <formula>INDIRECT("Dummy_for_Comparison4!"&amp;ADDRESS(ROW(),COLUMN()))</formula>
    </cfRule>
  </conditionalFormatting>
  <conditionalFormatting sqref="C146:D146 O146">
    <cfRule type="cellIs" dxfId="723" priority="4544" stopIfTrue="1" operator="notEqual">
      <formula>INDIRECT("Dummy_for_Comparison4!"&amp;ADDRESS(ROW(),COLUMN()))</formula>
    </cfRule>
  </conditionalFormatting>
  <conditionalFormatting sqref="O147 C147:D147 C149:D149 O149">
    <cfRule type="cellIs" dxfId="722" priority="4386" stopIfTrue="1" operator="notEqual">
      <formula>INDIRECT("Dummy_for_Comparison4!"&amp;ADDRESS(ROW(),COLUMN()))</formula>
    </cfRule>
  </conditionalFormatting>
  <conditionalFormatting sqref="O150 D150">
    <cfRule type="cellIs" dxfId="721" priority="4383" stopIfTrue="1" operator="notEqual">
      <formula>INDIRECT("Dummy_for_Comparison4!"&amp;ADDRESS(ROW(),COLUMN()))</formula>
    </cfRule>
  </conditionalFormatting>
  <conditionalFormatting sqref="D152 O152">
    <cfRule type="cellIs" dxfId="720" priority="3113" stopIfTrue="1" operator="notEqual">
      <formula>INDIRECT("Dummy_for_Comparison4!"&amp;ADDRESS(ROW(),COLUMN()))</formula>
    </cfRule>
  </conditionalFormatting>
  <conditionalFormatting sqref="O153 C153:D153">
    <cfRule type="cellIs" dxfId="719" priority="3114" stopIfTrue="1" operator="notEqual">
      <formula>INDIRECT("Dummy_for_Comparison4!"&amp;ADDRESS(ROW(),COLUMN()))</formula>
    </cfRule>
  </conditionalFormatting>
  <conditionalFormatting sqref="D154 O154">
    <cfRule type="cellIs" dxfId="718" priority="3655" stopIfTrue="1" operator="notEqual">
      <formula>INDIRECT("Dummy_for_Comparison4!"&amp;ADDRESS(ROW(),COLUMN()))</formula>
    </cfRule>
  </conditionalFormatting>
  <conditionalFormatting sqref="D155 O155">
    <cfRule type="cellIs" dxfId="717" priority="3653" stopIfTrue="1" operator="notEqual">
      <formula>INDIRECT("Dummy_for_Comparison4!"&amp;ADDRESS(ROW(),COLUMN()))</formula>
    </cfRule>
  </conditionalFormatting>
  <conditionalFormatting sqref="C161:D161 O161">
    <cfRule type="cellIs" dxfId="716" priority="4277" stopIfTrue="1" operator="notEqual">
      <formula>INDIRECT("Dummy_for_Comparison4!"&amp;ADDRESS(ROW(),COLUMN()))</formula>
    </cfRule>
  </conditionalFormatting>
  <conditionalFormatting sqref="O162 C162:D162">
    <cfRule type="cellIs" dxfId="715" priority="4276" stopIfTrue="1" operator="notEqual">
      <formula>INDIRECT("Dummy_for_Comparison4!"&amp;ADDRESS(ROW(),COLUMN()))</formula>
    </cfRule>
  </conditionalFormatting>
  <conditionalFormatting sqref="C163:D163 O163">
    <cfRule type="cellIs" dxfId="714" priority="4275" stopIfTrue="1" operator="notEqual">
      <formula>INDIRECT("Dummy_for_Comparison4!"&amp;ADDRESS(ROW(),COLUMN()))</formula>
    </cfRule>
  </conditionalFormatting>
  <conditionalFormatting sqref="O164 D164">
    <cfRule type="cellIs" dxfId="713" priority="4274" stopIfTrue="1" operator="notEqual">
      <formula>INDIRECT("Dummy_for_Comparison4!"&amp;ADDRESS(ROW(),COLUMN()))</formula>
    </cfRule>
  </conditionalFormatting>
  <conditionalFormatting sqref="D166 O166">
    <cfRule type="cellIs" dxfId="712" priority="4272" stopIfTrue="1" operator="notEqual">
      <formula>INDIRECT("Dummy_for_Comparison4!"&amp;ADDRESS(ROW(),COLUMN()))</formula>
    </cfRule>
  </conditionalFormatting>
  <conditionalFormatting sqref="O167 D167">
    <cfRule type="cellIs" dxfId="711" priority="3725" stopIfTrue="1" operator="notEqual">
      <formula>INDIRECT("Dummy_for_Comparison4!"&amp;ADDRESS(ROW(),COLUMN()))</formula>
    </cfRule>
  </conditionalFormatting>
  <conditionalFormatting sqref="O168:O169 D168:D169">
    <cfRule type="cellIs" dxfId="710" priority="3723" stopIfTrue="1" operator="notEqual">
      <formula>INDIRECT("Dummy_for_Comparison4!"&amp;ADDRESS(ROW(),COLUMN()))</formula>
    </cfRule>
  </conditionalFormatting>
  <conditionalFormatting sqref="D170 O170">
    <cfRule type="cellIs" dxfId="709" priority="3159" stopIfTrue="1" operator="notEqual">
      <formula>INDIRECT("Dummy_for_Comparison4!"&amp;ADDRESS(ROW(),COLUMN()))</formula>
    </cfRule>
  </conditionalFormatting>
  <conditionalFormatting sqref="D171 O171">
    <cfRule type="cellIs" dxfId="708" priority="3157" stopIfTrue="1" operator="notEqual">
      <formula>INDIRECT("Dummy_for_Comparison4!"&amp;ADDRESS(ROW(),COLUMN()))</formula>
    </cfRule>
  </conditionalFormatting>
  <conditionalFormatting sqref="C176:F176 H176:J176 L176:O176">
    <cfRule type="cellIs" dxfId="707" priority="4080" stopIfTrue="1" operator="notEqual">
      <formula>INDIRECT("Dummy_for_Comparison4!"&amp;ADDRESS(ROW(),COLUMN()))</formula>
    </cfRule>
  </conditionalFormatting>
  <conditionalFormatting sqref="D182 L182:N182 H182:J182 F182">
    <cfRule type="cellIs" dxfId="706" priority="3441" stopIfTrue="1" operator="notEqual">
      <formula>INDIRECT("Dummy_for_Comparison4!"&amp;ADDRESS(ROW(),COLUMN()))</formula>
    </cfRule>
  </conditionalFormatting>
  <conditionalFormatting sqref="K184:K185 K260:K263 K189:K193 K265">
    <cfRule type="cellIs" dxfId="705" priority="1562" stopIfTrue="1" operator="notEqual">
      <formula>INDIRECT("Dummy_for_Comparison4!"&amp;ADDRESS(ROW(),COLUMN()))</formula>
    </cfRule>
  </conditionalFormatting>
  <conditionalFormatting sqref="C186:F186 H186:J186 L186:O186">
    <cfRule type="cellIs" dxfId="704" priority="4082" stopIfTrue="1" operator="notEqual">
      <formula>INDIRECT("Dummy_for_Comparison4!"&amp;ADDRESS(ROW(),COLUMN()))</formula>
    </cfRule>
  </conditionalFormatting>
  <conditionalFormatting sqref="C188:F188 H188:J188 L188:N188">
    <cfRule type="cellIs" dxfId="703" priority="4100" stopIfTrue="1" operator="notEqual">
      <formula>INDIRECT("Dummy_for_Comparison4!"&amp;ADDRESS(ROW(),COLUMN()))</formula>
    </cfRule>
  </conditionalFormatting>
  <conditionalFormatting sqref="G260:G263 G189:G193 G265">
    <cfRule type="cellIs" dxfId="702" priority="3628" stopIfTrue="1" operator="notEqual">
      <formula>INDIRECT("Dummy_for_Comparison4!"&amp;ADDRESS(ROW(),COLUMN()))</formula>
    </cfRule>
  </conditionalFormatting>
  <conditionalFormatting sqref="C199 O199">
    <cfRule type="cellIs" dxfId="701" priority="4640" stopIfTrue="1" operator="notEqual">
      <formula>INDIRECT("Dummy_for_Comparison4!"&amp;ADDRESS(ROW(),COLUMN()))</formula>
    </cfRule>
  </conditionalFormatting>
  <conditionalFormatting sqref="E202:F202 H202:J202 L202:O202">
    <cfRule type="cellIs" dxfId="700" priority="4399" stopIfTrue="1" operator="notEqual">
      <formula>INDIRECT("Dummy_for_Comparison4!"&amp;ADDRESS(ROW(),COLUMN()))</formula>
    </cfRule>
  </conditionalFormatting>
  <conditionalFormatting sqref="C205:D205 O205">
    <cfRule type="cellIs" dxfId="699" priority="4612" stopIfTrue="1" operator="notEqual">
      <formula>INDIRECT("Dummy_for_Comparison4!"&amp;ADDRESS(ROW(),COLUMN()))</formula>
    </cfRule>
  </conditionalFormatting>
  <conditionalFormatting sqref="O206 C206:D206">
    <cfRule type="cellIs" dxfId="698" priority="4613" stopIfTrue="1" operator="notEqual">
      <formula>INDIRECT("Dummy_for_Comparison4!"&amp;ADDRESS(ROW(),COLUMN()))</formula>
    </cfRule>
  </conditionalFormatting>
  <conditionalFormatting sqref="C208:F208 H208:J208 L208:O208">
    <cfRule type="cellIs" dxfId="697" priority="4496" stopIfTrue="1" operator="notEqual">
      <formula>INDIRECT("Dummy_for_Comparison4!"&amp;ADDRESS(ROW(),COLUMN()))</formula>
    </cfRule>
  </conditionalFormatting>
  <conditionalFormatting sqref="C209:F209 H209:J209 L209:O209">
    <cfRule type="cellIs" dxfId="696" priority="4527" stopIfTrue="1" operator="notEqual">
      <formula>INDIRECT("Dummy_for_Comparison4!"&amp;ADDRESS(ROW(),COLUMN()))</formula>
    </cfRule>
  </conditionalFormatting>
  <conditionalFormatting sqref="C210:F210 H210:J211 L210:O210 L211:N211">
    <cfRule type="cellIs" dxfId="695" priority="4495" stopIfTrue="1" operator="notEqual">
      <formula>INDIRECT("Dummy_for_Comparison4!"&amp;ADDRESS(ROW(),COLUMN()))</formula>
    </cfRule>
  </conditionalFormatting>
  <conditionalFormatting sqref="C211:F211 O211">
    <cfRule type="cellIs" dxfId="694" priority="4525" stopIfTrue="1" operator="notEqual">
      <formula>INDIRECT("Dummy_for_Comparison4!"&amp;ADDRESS(ROW(),COLUMN()))</formula>
    </cfRule>
  </conditionalFormatting>
  <conditionalFormatting sqref="C212:F212 H212:J212 L212:O212">
    <cfRule type="cellIs" dxfId="693" priority="4494" stopIfTrue="1" operator="notEqual">
      <formula>INDIRECT("Dummy_for_Comparison4!"&amp;ADDRESS(ROW(),COLUMN()))</formula>
    </cfRule>
  </conditionalFormatting>
  <conditionalFormatting sqref="H213:J214 C213:F214 L213:O214">
    <cfRule type="cellIs" dxfId="692" priority="2049" stopIfTrue="1" operator="notEqual">
      <formula>INDIRECT("Dummy_for_Comparison4!"&amp;ADDRESS(ROW(),COLUMN()))</formula>
    </cfRule>
  </conditionalFormatting>
  <conditionalFormatting sqref="D215:F217 H215:J217 L216:N217 L215:O215">
    <cfRule type="cellIs" dxfId="691" priority="4523" stopIfTrue="1" operator="notEqual">
      <formula>INDIRECT("Dummy_for_Comparison4!"&amp;ADDRESS(ROW(),COLUMN()))</formula>
    </cfRule>
  </conditionalFormatting>
  <conditionalFormatting sqref="C218:F218 H218:J218 L218:O218">
    <cfRule type="cellIs" dxfId="690" priority="4493" stopIfTrue="1" operator="notEqual">
      <formula>INDIRECT("Dummy_for_Comparison4!"&amp;ADDRESS(ROW(),COLUMN()))</formula>
    </cfRule>
  </conditionalFormatting>
  <conditionalFormatting sqref="D219:F219 H219:J219 L219:O219">
    <cfRule type="cellIs" dxfId="689" priority="4521" stopIfTrue="1" operator="notEqual">
      <formula>INDIRECT("Dummy_for_Comparison4!"&amp;ADDRESS(ROW(),COLUMN()))</formula>
    </cfRule>
  </conditionalFormatting>
  <conditionalFormatting sqref="C220:E220 H220:J220 L220:O220">
    <cfRule type="cellIs" dxfId="688" priority="4519" stopIfTrue="1" operator="notEqual">
      <formula>INDIRECT("Dummy_for_Comparison4!"&amp;ADDRESS(ROW(),COLUMN()))</formula>
    </cfRule>
  </conditionalFormatting>
  <conditionalFormatting sqref="C221:F221 H221:J221 L221:O221">
    <cfRule type="cellIs" dxfId="687" priority="4444" stopIfTrue="1" operator="notEqual">
      <formula>INDIRECT("Dummy_for_Comparison4!"&amp;ADDRESS(ROW(),COLUMN()))</formula>
    </cfRule>
  </conditionalFormatting>
  <conditionalFormatting sqref="C222:E222 H222:J222 L222:O222">
    <cfRule type="cellIs" dxfId="686" priority="4440" stopIfTrue="1" operator="notEqual">
      <formula>INDIRECT("Dummy_for_Comparison4!"&amp;ADDRESS(ROW(),COLUMN()))</formula>
    </cfRule>
  </conditionalFormatting>
  <conditionalFormatting sqref="C223:F223 H223:J223 L223:O223">
    <cfRule type="cellIs" dxfId="685" priority="4437" stopIfTrue="1" operator="notEqual">
      <formula>INDIRECT("Dummy_for_Comparison4!"&amp;ADDRESS(ROW(),COLUMN()))</formula>
    </cfRule>
  </conditionalFormatting>
  <conditionalFormatting sqref="C224:E224 H224:J224 L224:O224">
    <cfRule type="cellIs" dxfId="684" priority="4416" stopIfTrue="1" operator="notEqual">
      <formula>INDIRECT("Dummy_for_Comparison4!"&amp;ADDRESS(ROW(),COLUMN()))</formula>
    </cfRule>
  </conditionalFormatting>
  <conditionalFormatting sqref="E225:F225 H225:J225 L225:N225">
    <cfRule type="cellIs" dxfId="683" priority="4492" stopIfTrue="1" operator="notEqual">
      <formula>INDIRECT("Dummy_for_Comparison4!"&amp;ADDRESS(ROW(),COLUMN()))</formula>
    </cfRule>
  </conditionalFormatting>
  <conditionalFormatting sqref="C230:F230 H230:J230 L230:O230">
    <cfRule type="cellIs" dxfId="682" priority="4489" stopIfTrue="1" operator="notEqual">
      <formula>INDIRECT("Dummy_for_Comparison4!"&amp;ADDRESS(ROW(),COLUMN()))</formula>
    </cfRule>
  </conditionalFormatting>
  <conditionalFormatting sqref="C231 O231">
    <cfRule type="cellIs" dxfId="681" priority="4515" stopIfTrue="1" operator="notEqual">
      <formula>INDIRECT("Dummy_for_Comparison4!"&amp;ADDRESS(ROW(),COLUMN()))</formula>
    </cfRule>
  </conditionalFormatting>
  <conditionalFormatting sqref="C232 O232">
    <cfRule type="cellIs" dxfId="680" priority="4513" stopIfTrue="1" operator="notEqual">
      <formula>INDIRECT("Dummy_for_Comparison4!"&amp;ADDRESS(ROW(),COLUMN()))</formula>
    </cfRule>
  </conditionalFormatting>
  <conditionalFormatting sqref="C233:F233 H233:J233 L233:O233">
    <cfRule type="cellIs" dxfId="679" priority="4488" stopIfTrue="1" operator="notEqual">
      <formula>INDIRECT("Dummy_for_Comparison4!"&amp;ADDRESS(ROW(),COLUMN()))</formula>
    </cfRule>
  </conditionalFormatting>
  <conditionalFormatting sqref="E236:F236 H236:J236 L236:O236">
    <cfRule type="cellIs" dxfId="678" priority="4487" stopIfTrue="1" operator="notEqual">
      <formula>INDIRECT("Dummy_for_Comparison4!"&amp;ADDRESS(ROW(),COLUMN()))</formula>
    </cfRule>
  </conditionalFormatting>
  <conditionalFormatting sqref="E237:F237 H237:J237 L237:O237">
    <cfRule type="cellIs" dxfId="677" priority="664" stopIfTrue="1" operator="notEqual">
      <formula>INDIRECT("Dummy_for_Comparison4!"&amp;ADDRESS(ROW(),COLUMN()))</formula>
    </cfRule>
  </conditionalFormatting>
  <conditionalFormatting sqref="E238:F238 H238:J238 L238:O238">
    <cfRule type="cellIs" dxfId="676" priority="4502" stopIfTrue="1" operator="notEqual">
      <formula>INDIRECT("Dummy_for_Comparison4!"&amp;ADDRESS(ROW(),COLUMN()))</formula>
    </cfRule>
  </conditionalFormatting>
  <conditionalFormatting sqref="E239:F239 H239:J239 L239:O239">
    <cfRule type="cellIs" dxfId="675" priority="4499" stopIfTrue="1" operator="notEqual">
      <formula>INDIRECT("Dummy_for_Comparison4!"&amp;ADDRESS(ROW(),COLUMN()))</formula>
    </cfRule>
  </conditionalFormatting>
  <conditionalFormatting sqref="E241:F241 H241:J241 L241:O241">
    <cfRule type="cellIs" dxfId="674" priority="4505" stopIfTrue="1" operator="notEqual">
      <formula>INDIRECT("Dummy_for_Comparison4!"&amp;ADDRESS(ROW(),COLUMN()))</formula>
    </cfRule>
  </conditionalFormatting>
  <conditionalFormatting sqref="E242:F242 H242:J242 L242:O242">
    <cfRule type="cellIs" dxfId="673" priority="4508" stopIfTrue="1" operator="notEqual">
      <formula>INDIRECT("Dummy_for_Comparison4!"&amp;ADDRESS(ROW(),COLUMN()))</formula>
    </cfRule>
  </conditionalFormatting>
  <conditionalFormatting sqref="E244:F244 H244:J244 L244:O244">
    <cfRule type="cellIs" dxfId="672" priority="4484" stopIfTrue="1" operator="notEqual">
      <formula>INDIRECT("Dummy_for_Comparison4!"&amp;ADDRESS(ROW(),COLUMN()))</formula>
    </cfRule>
  </conditionalFormatting>
  <conditionalFormatting sqref="E245:F245 H245:J245 L245:O245">
    <cfRule type="cellIs" dxfId="671" priority="4396" stopIfTrue="1" operator="notEqual">
      <formula>INDIRECT("Dummy_for_Comparison4!"&amp;ADDRESS(ROW(),COLUMN()))</formula>
    </cfRule>
  </conditionalFormatting>
  <conditionalFormatting sqref="C246:F246 H246:J246 L246:O246">
    <cfRule type="cellIs" dxfId="670" priority="4481" stopIfTrue="1" operator="notEqual">
      <formula>INDIRECT("Dummy_for_Comparison4!"&amp;ADDRESS(ROW(),COLUMN()))</formula>
    </cfRule>
  </conditionalFormatting>
  <conditionalFormatting sqref="C247:D247 O247">
    <cfRule type="cellIs" dxfId="669" priority="4480" stopIfTrue="1" operator="notEqual">
      <formula>INDIRECT("Dummy_for_Comparison4!"&amp;ADDRESS(ROW(),COLUMN()))</formula>
    </cfRule>
  </conditionalFormatting>
  <conditionalFormatting sqref="O248 C248:D248">
    <cfRule type="cellIs" dxfId="668" priority="4479" stopIfTrue="1" operator="notEqual">
      <formula>INDIRECT("Dummy_for_Comparison4!"&amp;ADDRESS(ROW(),COLUMN()))</formula>
    </cfRule>
  </conditionalFormatting>
  <conditionalFormatting sqref="C249:F249 H249:J249 L249:O249">
    <cfRule type="cellIs" dxfId="667" priority="4477" stopIfTrue="1" operator="notEqual">
      <formula>INDIRECT("Dummy_for_Comparison4!"&amp;ADDRESS(ROW(),COLUMN()))</formula>
    </cfRule>
  </conditionalFormatting>
  <conditionalFormatting sqref="C250 C330">
    <cfRule type="cellIs" dxfId="666" priority="4355" stopIfTrue="1" operator="notEqual">
      <formula>INDIRECT("Dummy_for_Comparison4!"&amp;ADDRESS(ROW(),COLUMN()))</formula>
    </cfRule>
  </conditionalFormatting>
  <conditionalFormatting sqref="E250 E330">
    <cfRule type="cellIs" dxfId="665" priority="4352" stopIfTrue="1" operator="notEqual">
      <formula>INDIRECT("Dummy_for_Comparison4!"&amp;ADDRESS(ROW(),COLUMN()))</formula>
    </cfRule>
  </conditionalFormatting>
  <conditionalFormatting sqref="O250:Q250 O330:Q330">
    <cfRule type="cellIs" dxfId="664" priority="4354" stopIfTrue="1" operator="notEqual">
      <formula>INDIRECT("Dummy_for_Comparison4!"&amp;ADDRESS(ROW(),COLUMN()))</formula>
    </cfRule>
  </conditionalFormatting>
  <conditionalFormatting sqref="O251:Q252">
    <cfRule type="cellIs" dxfId="663" priority="4300" stopIfTrue="1" operator="notEqual">
      <formula>INDIRECT("Dummy_for_Comparison4!"&amp;ADDRESS(ROW(),COLUMN()))</formula>
    </cfRule>
  </conditionalFormatting>
  <conditionalFormatting sqref="E272:F274 C253:F253 C255:F255 C257:F257 C267:F267 H267:J267 H257:J257 H255:J255 H253:J253 H272:J274 L272:O274 L253:O253 L255:O255 L257:O257 L267:O267 L269:N269 H269:J269 C269:F269">
    <cfRule type="cellIs" dxfId="662" priority="4263" stopIfTrue="1" operator="notEqual">
      <formula>INDIRECT("Dummy_for_Comparison4!"&amp;ADDRESS(ROW(),COLUMN()))</formula>
    </cfRule>
  </conditionalFormatting>
  <conditionalFormatting sqref="G272:G274 G253 G255 G257 G267 G269">
    <cfRule type="cellIs" dxfId="661" priority="3599" stopIfTrue="1" operator="notEqual">
      <formula>INDIRECT("Dummy_for_Comparison4!"&amp;ADDRESS(ROW(),COLUMN()))</formula>
    </cfRule>
  </conditionalFormatting>
  <conditionalFormatting sqref="K272:K274 K253 K255 K257 K267 K269">
    <cfRule type="cellIs" dxfId="660" priority="1535" stopIfTrue="1" operator="notEqual">
      <formula>INDIRECT("Dummy_for_Comparison4!"&amp;ADDRESS(ROW(),COLUMN()))</formula>
    </cfRule>
  </conditionalFormatting>
  <conditionalFormatting sqref="D256:F256 H256:J256 L256:O256">
    <cfRule type="cellIs" dxfId="659" priority="4255" stopIfTrue="1" operator="notEqual">
      <formula>INDIRECT("Dummy_for_Comparison4!"&amp;ADDRESS(ROW(),COLUMN()))</formula>
    </cfRule>
  </conditionalFormatting>
  <conditionalFormatting sqref="D258:F258 H258:J258 L258:O258">
    <cfRule type="cellIs" dxfId="658" priority="4253" stopIfTrue="1" operator="notEqual">
      <formula>INDIRECT("Dummy_for_Comparison4!"&amp;ADDRESS(ROW(),COLUMN()))</formula>
    </cfRule>
  </conditionalFormatting>
  <conditionalFormatting sqref="D259:F259 H259:J259 L259:O259">
    <cfRule type="cellIs" dxfId="657" priority="4250" stopIfTrue="1" operator="notEqual">
      <formula>INDIRECT("Dummy_for_Comparison4!"&amp;ADDRESS(ROW(),COLUMN()))</formula>
    </cfRule>
  </conditionalFormatting>
  <conditionalFormatting sqref="D264 F264 H264:J264 L264:N264">
    <cfRule type="cellIs" dxfId="656" priority="641" stopIfTrue="1" operator="notEqual">
      <formula>INDIRECT("Dummy_for_Comparison4!"&amp;ADDRESS(ROW(),COLUMN()))</formula>
    </cfRule>
  </conditionalFormatting>
  <conditionalFormatting sqref="C266:F266 H266:J266 L266:O266">
    <cfRule type="cellIs" dxfId="655" priority="4241" stopIfTrue="1" operator="notEqual">
      <formula>INDIRECT("Dummy_for_Comparison4!"&amp;ADDRESS(ROW(),COLUMN()))</formula>
    </cfRule>
  </conditionalFormatting>
  <conditionalFormatting sqref="C268:F268 H268:J268 L268:O268">
    <cfRule type="cellIs" dxfId="654" priority="656" stopIfTrue="1" operator="notEqual">
      <formula>INDIRECT("Dummy_for_Comparison4!"&amp;ADDRESS(ROW(),COLUMN()))</formula>
    </cfRule>
  </conditionalFormatting>
  <conditionalFormatting sqref="C270:F270 H270:J270 L270:O270">
    <cfRule type="cellIs" dxfId="653" priority="4247" stopIfTrue="1" operator="notEqual">
      <formula>INDIRECT("Dummy_for_Comparison4!"&amp;ADDRESS(ROW(),COLUMN()))</formula>
    </cfRule>
  </conditionalFormatting>
  <conditionalFormatting sqref="C275 O275">
    <cfRule type="cellIs" dxfId="652" priority="4246" stopIfTrue="1" operator="notEqual">
      <formula>INDIRECT("Dummy_for_Comparison4!"&amp;ADDRESS(ROW(),COLUMN()))</formula>
    </cfRule>
  </conditionalFormatting>
  <conditionalFormatting sqref="C276:C277 O276:O277">
    <cfRule type="cellIs" dxfId="651" priority="4244" stopIfTrue="1" operator="notEqual">
      <formula>INDIRECT("Dummy_for_Comparison4!"&amp;ADDRESS(ROW(),COLUMN()))</formula>
    </cfRule>
  </conditionalFormatting>
  <conditionalFormatting sqref="C278:C280 O278:O279">
    <cfRule type="cellIs" dxfId="650" priority="4257" stopIfTrue="1" operator="notEqual">
      <formula>INDIRECT("Dummy_for_Comparison4!"&amp;ADDRESS(ROW(),COLUMN()))</formula>
    </cfRule>
  </conditionalFormatting>
  <conditionalFormatting sqref="C281:F281 H281:J281 H283:J283 C283:D283 F283 L283:O283 L281:O281">
    <cfRule type="cellIs" dxfId="649" priority="4239" stopIfTrue="1" operator="notEqual">
      <formula>INDIRECT("Dummy_for_Comparison4!"&amp;ADDRESS(ROW(),COLUMN()))</formula>
    </cfRule>
  </conditionalFormatting>
  <conditionalFormatting sqref="G281 G283">
    <cfRule type="cellIs" dxfId="648" priority="3592" stopIfTrue="1" operator="notEqual">
      <formula>INDIRECT("Dummy_for_Comparison4!"&amp;ADDRESS(ROW(),COLUMN()))</formula>
    </cfRule>
  </conditionalFormatting>
  <conditionalFormatting sqref="K283 K281">
    <cfRule type="cellIs" dxfId="647" priority="1528" stopIfTrue="1" operator="notEqual">
      <formula>INDIRECT("Dummy_for_Comparison4!"&amp;ADDRESS(ROW(),COLUMN()))</formula>
    </cfRule>
  </conditionalFormatting>
  <conditionalFormatting sqref="D282 F282 H282:J282 L282:N282">
    <cfRule type="cellIs" dxfId="646" priority="3448" stopIfTrue="1" operator="notEqual">
      <formula>INDIRECT("Dummy_for_Comparison4!"&amp;ADDRESS(ROW(),COLUMN()))</formula>
    </cfRule>
  </conditionalFormatting>
  <conditionalFormatting sqref="E284:F284 C286:F286 H286:J286 H284:J284 L284:O284 L286:O286">
    <cfRule type="cellIs" dxfId="645" priority="4237" stopIfTrue="1" operator="notEqual">
      <formula>INDIRECT("Dummy_for_Comparison4!"&amp;ADDRESS(ROW(),COLUMN()))</formula>
    </cfRule>
  </conditionalFormatting>
  <conditionalFormatting sqref="G284 G286">
    <cfRule type="cellIs" dxfId="644" priority="3591" stopIfTrue="1" operator="notEqual">
      <formula>INDIRECT("Dummy_for_Comparison4!"&amp;ADDRESS(ROW(),COLUMN()))</formula>
    </cfRule>
  </conditionalFormatting>
  <conditionalFormatting sqref="K284 K286">
    <cfRule type="cellIs" dxfId="643" priority="1527" stopIfTrue="1" operator="notEqual">
      <formula>INDIRECT("Dummy_for_Comparison4!"&amp;ADDRESS(ROW(),COLUMN()))</formula>
    </cfRule>
  </conditionalFormatting>
  <conditionalFormatting sqref="E285:F285 H285:J285 L285:O285">
    <cfRule type="cellIs" dxfId="642" priority="4230" stopIfTrue="1" operator="notEqual">
      <formula>INDIRECT("Dummy_for_Comparison4!"&amp;ADDRESS(ROW(),COLUMN()))</formula>
    </cfRule>
  </conditionalFormatting>
  <conditionalFormatting sqref="C287:D287 O287">
    <cfRule type="cellIs" dxfId="641" priority="4233" stopIfTrue="1" operator="notEqual">
      <formula>INDIRECT("Dummy_for_Comparison4!"&amp;ADDRESS(ROW(),COLUMN()))</formula>
    </cfRule>
  </conditionalFormatting>
  <conditionalFormatting sqref="O288 C288:D288">
    <cfRule type="cellIs" dxfId="640" priority="4234" stopIfTrue="1" operator="notEqual">
      <formula>INDIRECT("Dummy_for_Comparison4!"&amp;ADDRESS(ROW(),COLUMN()))</formula>
    </cfRule>
  </conditionalFormatting>
  <conditionalFormatting sqref="C289:F289 H289:J289 L289:O289">
    <cfRule type="cellIs" dxfId="639" priority="4227" stopIfTrue="1" operator="notEqual">
      <formula>INDIRECT("Dummy_for_Comparison4!"&amp;ADDRESS(ROW(),COLUMN()))</formula>
    </cfRule>
  </conditionalFormatting>
  <conditionalFormatting sqref="C290:F290 H290:I290 M290:O290 L297 J297">
    <cfRule type="cellIs" dxfId="638" priority="4226" stopIfTrue="1" operator="notEqual">
      <formula>INDIRECT("Dummy_for_Comparison4!"&amp;ADDRESS(ROW(),COLUMN()))</formula>
    </cfRule>
  </conditionalFormatting>
  <conditionalFormatting sqref="J290 L290">
    <cfRule type="cellIs" dxfId="637" priority="666" stopIfTrue="1" operator="notEqual">
      <formula>INDIRECT("Dummy_for_Comparison4!"&amp;ADDRESS(ROW(),COLUMN()))</formula>
    </cfRule>
  </conditionalFormatting>
  <conditionalFormatting sqref="C291:F291 H291:J291 L291:O291">
    <cfRule type="cellIs" dxfId="636" priority="4225" stopIfTrue="1" operator="notEqual">
      <formula>INDIRECT("Dummy_for_Comparison4!"&amp;ADDRESS(ROW(),COLUMN()))</formula>
    </cfRule>
  </conditionalFormatting>
  <conditionalFormatting sqref="C292:F292 F293:F295 H292:J295 C293:D295 L292:O292 L293:N295">
    <cfRule type="cellIs" dxfId="635" priority="3716" stopIfTrue="1" operator="notEqual">
      <formula>INDIRECT("Dummy_for_Comparison4!"&amp;ADDRESS(ROW(),COLUMN()))</formula>
    </cfRule>
  </conditionalFormatting>
  <conditionalFormatting sqref="C296:F296 C297:D297 F297 D299:D300 F299:F300 C302:F303 D307 F307 D308:F308 D311:F311 D312:D314 F312:F314 D315:F315 D321 F321 H318:J321 H311:J316 H302:J303 H299:J300 H296:I297 J296 L318:N321 D316 L296:O296 M297:N297 L311:N316 L299:N300 L302:N303 D318:F320">
    <cfRule type="cellIs" dxfId="634" priority="3715" stopIfTrue="1" operator="notEqual">
      <formula>INDIRECT("Dummy_for_Comparison4!"&amp;ADDRESS(ROW(),COLUMN()))</formula>
    </cfRule>
  </conditionalFormatting>
  <conditionalFormatting sqref="G296:G297 G299:G300 G311:G315 G302:G303 G318:G321">
    <cfRule type="cellIs" dxfId="633" priority="3510" stopIfTrue="1" operator="notEqual">
      <formula>INDIRECT("Dummy_for_Comparison4!"&amp;ADDRESS(ROW(),COLUMN()))</formula>
    </cfRule>
  </conditionalFormatting>
  <conditionalFormatting sqref="K296 K318:K321 K299:K300 K302:K303 K311:K316">
    <cfRule type="cellIs" dxfId="632" priority="1450" stopIfTrue="1" operator="notEqual">
      <formula>INDIRECT("Dummy_for_Comparison4!"&amp;ADDRESS(ROW(),COLUMN()))</formula>
    </cfRule>
  </conditionalFormatting>
  <conditionalFormatting sqref="C298:F298 H298:J298 L298:O298">
    <cfRule type="cellIs" dxfId="631" priority="3713" stopIfTrue="1" operator="notEqual">
      <formula>INDIRECT("Dummy_for_Comparison4!"&amp;ADDRESS(ROW(),COLUMN()))</formula>
    </cfRule>
  </conditionalFormatting>
  <conditionalFormatting sqref="C301:F301 H301:J301 L301:O301">
    <cfRule type="cellIs" dxfId="630" priority="3706" stopIfTrue="1" operator="notEqual">
      <formula>INDIRECT("Dummy_for_Comparison4!"&amp;ADDRESS(ROW(),COLUMN()))</formula>
    </cfRule>
  </conditionalFormatting>
  <conditionalFormatting sqref="O302 O311 O318">
    <cfRule type="cellIs" dxfId="629" priority="3705" stopIfTrue="1" operator="notEqual">
      <formula>INDIRECT("Dummy_for_Comparison4!"&amp;ADDRESS(ROW(),COLUMN()))</formula>
    </cfRule>
  </conditionalFormatting>
  <conditionalFormatting sqref="D304:F304 H304:J304 L304:N304">
    <cfRule type="cellIs" dxfId="628" priority="2308" stopIfTrue="1" operator="notEqual">
      <formula>INDIRECT("Dummy_for_Comparison4!"&amp;ADDRESS(ROW(),COLUMN()))</formula>
    </cfRule>
  </conditionalFormatting>
  <conditionalFormatting sqref="C305:F306 H305:J306 L305:O306">
    <cfRule type="cellIs" dxfId="627" priority="3703" stopIfTrue="1" operator="notEqual">
      <formula>INDIRECT("Dummy_for_Comparison4!"&amp;ADDRESS(ROW(),COLUMN()))</formula>
    </cfRule>
  </conditionalFormatting>
  <conditionalFormatting sqref="C308 C311">
    <cfRule type="cellIs" dxfId="626" priority="3700" stopIfTrue="1" operator="notEqual">
      <formula>INDIRECT("Dummy_for_Comparison4!"&amp;ADDRESS(ROW(),COLUMN()))</formula>
    </cfRule>
  </conditionalFormatting>
  <conditionalFormatting sqref="C310:F310 H310:J310 L310:O310">
    <cfRule type="cellIs" dxfId="625" priority="3697" stopIfTrue="1" operator="notEqual">
      <formula>INDIRECT("Dummy_for_Comparison4!"&amp;ADDRESS(ROW(),COLUMN()))</formula>
    </cfRule>
  </conditionalFormatting>
  <conditionalFormatting sqref="C317:F317 H317:J317 L317:O317">
    <cfRule type="cellIs" dxfId="624" priority="3690" stopIfTrue="1" operator="notEqual">
      <formula>INDIRECT("Dummy_for_Comparison4!"&amp;ADDRESS(ROW(),COLUMN()))</formula>
    </cfRule>
  </conditionalFormatting>
  <conditionalFormatting sqref="D322:F323 C324:F324 H322:J324 L322:O323 L324:N324">
    <cfRule type="cellIs" dxfId="623" priority="3688" stopIfTrue="1" operator="notEqual">
      <formula>INDIRECT("Dummy_for_Comparison4!"&amp;ADDRESS(ROW(),COLUMN()))</formula>
    </cfRule>
  </conditionalFormatting>
  <conditionalFormatting sqref="E325:F325 C327:F327 H327:J327 H325:J325 L325:O325 L327:O327">
    <cfRule type="cellIs" dxfId="622" priority="3685" stopIfTrue="1" operator="notEqual">
      <formula>INDIRECT("Dummy_for_Comparison4!"&amp;ADDRESS(ROW(),COLUMN()))</formula>
    </cfRule>
  </conditionalFormatting>
  <conditionalFormatting sqref="G325 G327">
    <cfRule type="cellIs" dxfId="621" priority="3503" stopIfTrue="1" operator="notEqual">
      <formula>INDIRECT("Dummy_for_Comparison4!"&amp;ADDRESS(ROW(),COLUMN()))</formula>
    </cfRule>
  </conditionalFormatting>
  <conditionalFormatting sqref="K325 K327">
    <cfRule type="cellIs" dxfId="620" priority="1443" stopIfTrue="1" operator="notEqual">
      <formula>INDIRECT("Dummy_for_Comparison4!"&amp;ADDRESS(ROW(),COLUMN()))</formula>
    </cfRule>
  </conditionalFormatting>
  <conditionalFormatting sqref="E326:F326 H326:J326 L326:O326">
    <cfRule type="cellIs" dxfId="619" priority="3680" stopIfTrue="1" operator="notEqual">
      <formula>INDIRECT("Dummy_for_Comparison4!"&amp;ADDRESS(ROW(),COLUMN()))</formula>
    </cfRule>
  </conditionalFormatting>
  <conditionalFormatting sqref="C328:D328 O328">
    <cfRule type="cellIs" dxfId="618" priority="3682" stopIfTrue="1" operator="notEqual">
      <formula>INDIRECT("Dummy_for_Comparison4!"&amp;ADDRESS(ROW(),COLUMN()))</formula>
    </cfRule>
  </conditionalFormatting>
  <conditionalFormatting sqref="O329 C329:D329">
    <cfRule type="cellIs" dxfId="617" priority="3683" stopIfTrue="1" operator="notEqual">
      <formula>INDIRECT("Dummy_for_Comparison4!"&amp;ADDRESS(ROW(),COLUMN()))</formula>
    </cfRule>
  </conditionalFormatting>
  <conditionalFormatting sqref="C341:F343 C332:F334 A348:F351 A357:F359 A353:B355 C337:F337 D353:F355 C345:F345 C347:F347 O341:O343 O353:P355 A365:F367 O365:P366 H365:J367 H345:J345 H353:J355 H337:J339 H357:J359 H347:J351 H332:J334 H341:J343 T354:T355 U354:U356 L341:L343 L332:O334 L348:P351 L357:P359 L345:O345 L347:O347 L367:P367 L365:L366 L353:L356 L337:O339">
    <cfRule type="cellIs" dxfId="616" priority="3965" stopIfTrue="1" operator="notEqual">
      <formula>INDIRECT("Dummy_for_Comparison4!"&amp;ADDRESS(ROW(),COLUMN()))</formula>
    </cfRule>
  </conditionalFormatting>
  <conditionalFormatting sqref="G341:G343 G332:G334 G357:G359 G337 G353:G355 G345 G347:G351 G365:G367">
    <cfRule type="cellIs" dxfId="615" priority="3582" stopIfTrue="1" operator="notEqual">
      <formula>INDIRECT("Dummy_for_Comparison4!"&amp;ADDRESS(ROW(),COLUMN()))</formula>
    </cfRule>
  </conditionalFormatting>
  <conditionalFormatting sqref="K341:K343 K332:K334 K337:K339 K345 K347:K351 K365:K367 K353:K359">
    <cfRule type="cellIs" dxfId="614" priority="1518" stopIfTrue="1" operator="notEqual">
      <formula>INDIRECT("Dummy_for_Comparison4!"&amp;ADDRESS(ROW(),COLUMN()))</formula>
    </cfRule>
  </conditionalFormatting>
  <conditionalFormatting sqref="D335:F335 H335:J335 L335:N335">
    <cfRule type="cellIs" dxfId="613" priority="3879" stopIfTrue="1" operator="notEqual">
      <formula>INDIRECT("Dummy_for_Comparison4!"&amp;ADDRESS(ROW(),COLUMN()))</formula>
    </cfRule>
  </conditionalFormatting>
  <conditionalFormatting sqref="C336:F336 H336:J336 L336:O336">
    <cfRule type="cellIs" dxfId="612" priority="3915" stopIfTrue="1" operator="notEqual">
      <formula>INDIRECT("Dummy_for_Comparison4!"&amp;ADDRESS(ROW(),COLUMN()))</formula>
    </cfRule>
  </conditionalFormatting>
  <conditionalFormatting sqref="H340:J340 O340 L340">
    <cfRule type="cellIs" dxfId="611" priority="3910" stopIfTrue="1" operator="notEqual">
      <formula>INDIRECT("Dummy_for_Comparison4!"&amp;ADDRESS(ROW(),COLUMN()))</formula>
    </cfRule>
  </conditionalFormatting>
  <conditionalFormatting sqref="C344:F344 O344 H344:J344 L344">
    <cfRule type="cellIs" dxfId="610" priority="3906" stopIfTrue="1" operator="notEqual">
      <formula>INDIRECT("Dummy_for_Comparison4!"&amp;ADDRESS(ROW(),COLUMN()))</formula>
    </cfRule>
  </conditionalFormatting>
  <conditionalFormatting sqref="C346:F346 H346:J346 L346:O346">
    <cfRule type="cellIs" dxfId="609" priority="3905" stopIfTrue="1" operator="notEqual">
      <formula>INDIRECT("Dummy_for_Comparison4!"&amp;ADDRESS(ROW(),COLUMN()))</formula>
    </cfRule>
  </conditionalFormatting>
  <conditionalFormatting sqref="Q348:Q351 Q357:Q359 Q365:Q367">
    <cfRule type="cellIs" dxfId="608" priority="3501" stopIfTrue="1" operator="notEqual">
      <formula>INDIRECT("Dummy_for_Comparison4!"&amp;ADDRESS(ROW(),COLUMN()))</formula>
    </cfRule>
  </conditionalFormatting>
  <conditionalFormatting sqref="A352:F352 H352:J352 L352:P352">
    <cfRule type="cellIs" dxfId="607" priority="3904" stopIfTrue="1" operator="notEqual">
      <formula>INDIRECT("Dummy_for_Comparison4!"&amp;ADDRESS(ROW(),COLUMN()))</formula>
    </cfRule>
  </conditionalFormatting>
  <conditionalFormatting sqref="R354:R355 S354:S356">
    <cfRule type="cellIs" dxfId="606" priority="3754" stopIfTrue="1" operator="notEqual">
      <formula>INDIRECT("Dummy_for_Comparison4!"&amp;ADDRESS(ROW(),COLUMN()))</formula>
    </cfRule>
  </conditionalFormatting>
  <conditionalFormatting sqref="A356:B356 D356:F356 O356:P356 T356 H356:J356">
    <cfRule type="cellIs" dxfId="605" priority="3903" stopIfTrue="1" operator="notEqual">
      <formula>INDIRECT("Dummy_for_Comparison4!"&amp;ADDRESS(ROW(),COLUMN()))</formula>
    </cfRule>
  </conditionalFormatting>
  <conditionalFormatting sqref="A360:F360 H360:J360 L360:P360">
    <cfRule type="cellIs" dxfId="604" priority="3901" stopIfTrue="1" operator="notEqual">
      <formula>INDIRECT("Dummy_for_Comparison4!"&amp;ADDRESS(ROW(),COLUMN()))</formula>
    </cfRule>
  </conditionalFormatting>
  <conditionalFormatting sqref="A361:F361 H361:J361 L361:P361">
    <cfRule type="cellIs" dxfId="603" priority="3958" stopIfTrue="1" operator="notEqual">
      <formula>INDIRECT("Dummy_for_Comparison4!"&amp;ADDRESS(ROW(),COLUMN()))</formula>
    </cfRule>
  </conditionalFormatting>
  <conditionalFormatting sqref="A362:F362 H362:J362 L362:P362">
    <cfRule type="cellIs" dxfId="602" priority="3900" stopIfTrue="1" operator="notEqual">
      <formula>INDIRECT("Dummy_for_Comparison4!"&amp;ADDRESS(ROW(),COLUMN()))</formula>
    </cfRule>
  </conditionalFormatting>
  <conditionalFormatting sqref="A363:F363 O363:P363 H363:J363 L363">
    <cfRule type="cellIs" dxfId="601" priority="3957" stopIfTrue="1" operator="notEqual">
      <formula>INDIRECT("Dummy_for_Comparison4!"&amp;ADDRESS(ROW(),COLUMN()))</formula>
    </cfRule>
  </conditionalFormatting>
  <conditionalFormatting sqref="A364:F364 O364:P364 H364:J364 L364">
    <cfRule type="cellIs" dxfId="600" priority="3899" stopIfTrue="1" operator="notEqual">
      <formula>INDIRECT("Dummy_for_Comparison4!"&amp;ADDRESS(ROW(),COLUMN()))</formula>
    </cfRule>
  </conditionalFormatting>
  <conditionalFormatting sqref="A368:F368 H368:J368 L368:P368">
    <cfRule type="cellIs" dxfId="599" priority="3956" stopIfTrue="1" operator="notEqual">
      <formula>INDIRECT("Dummy_for_Comparison4!"&amp;ADDRESS(ROW(),COLUMN()))</formula>
    </cfRule>
  </conditionalFormatting>
  <conditionalFormatting sqref="Q369 Q371:Q372">
    <cfRule type="cellIs" dxfId="598" priority="3495" stopIfTrue="1" operator="notEqual">
      <formula>INDIRECT("Dummy_for_Comparison4!"&amp;ADDRESS(ROW(),COLUMN()))</formula>
    </cfRule>
  </conditionalFormatting>
  <conditionalFormatting sqref="A374:F376 H374:J376 L374:P376">
    <cfRule type="cellIs" dxfId="597" priority="3955" stopIfTrue="1" operator="notEqual">
      <formula>INDIRECT("Dummy_for_Comparison4!"&amp;ADDRESS(ROW(),COLUMN()))</formula>
    </cfRule>
  </conditionalFormatting>
  <conditionalFormatting sqref="A377:F377 H377:J377 L377:P377">
    <cfRule type="cellIs" dxfId="596" priority="3893" stopIfTrue="1" operator="notEqual">
      <formula>INDIRECT("Dummy_for_Comparison4!"&amp;ADDRESS(ROW(),COLUMN()))</formula>
    </cfRule>
  </conditionalFormatting>
  <conditionalFormatting sqref="C378:F378 H378:J378 L378:O378">
    <cfRule type="cellIs" dxfId="595" priority="3911" stopIfTrue="1" operator="notEqual">
      <formula>INDIRECT("Dummy_for_Comparison4!"&amp;ADDRESS(ROW(),COLUMN()))</formula>
    </cfRule>
  </conditionalFormatting>
  <conditionalFormatting sqref="C379:F379 H379:J379 L379:O379">
    <cfRule type="cellIs" dxfId="594" priority="3894" stopIfTrue="1" operator="notEqual">
      <formula>INDIRECT("Dummy_for_Comparison4!"&amp;ADDRESS(ROW(),COLUMN()))</formula>
    </cfRule>
  </conditionalFormatting>
  <conditionalFormatting sqref="C380:F380 D383:F383 L383:N383 F384:F386 H380:J380 L380:O380">
    <cfRule type="cellIs" dxfId="593" priority="3954" stopIfTrue="1" operator="notEqual">
      <formula>INDIRECT("Dummy_for_Comparison4!"&amp;ADDRESS(ROW(),COLUMN()))</formula>
    </cfRule>
  </conditionalFormatting>
  <conditionalFormatting sqref="G380 G383:G386">
    <cfRule type="cellIs" dxfId="592" priority="3576" stopIfTrue="1" operator="notEqual">
      <formula>INDIRECT("Dummy_for_Comparison4!"&amp;ADDRESS(ROW(),COLUMN()))</formula>
    </cfRule>
  </conditionalFormatting>
  <conditionalFormatting sqref="K383 K380">
    <cfRule type="cellIs" dxfId="591" priority="1513" stopIfTrue="1" operator="notEqual">
      <formula>INDIRECT("Dummy_for_Comparison4!"&amp;ADDRESS(ROW(),COLUMN()))</formula>
    </cfRule>
  </conditionalFormatting>
  <conditionalFormatting sqref="C381:F381 H381:J381 L381:O381">
    <cfRule type="cellIs" dxfId="590" priority="3944" stopIfTrue="1" operator="notEqual">
      <formula>INDIRECT("Dummy_for_Comparison4!"&amp;ADDRESS(ROW(),COLUMN()))</formula>
    </cfRule>
  </conditionalFormatting>
  <conditionalFormatting sqref="C382:F382 H382:J382 L382:O382">
    <cfRule type="cellIs" dxfId="589" priority="3914" stopIfTrue="1" operator="notEqual">
      <formula>INDIRECT("Dummy_for_Comparison4!"&amp;ADDRESS(ROW(),COLUMN()))</formula>
    </cfRule>
  </conditionalFormatting>
  <conditionalFormatting sqref="V383 V387">
    <cfRule type="cellIs" dxfId="588" priority="3950" stopIfTrue="1" operator="notEqual">
      <formula>INDIRECT("Dummy_for_Comparison4!"&amp;ADDRESS(ROW(),COLUMN()))</formula>
    </cfRule>
  </conditionalFormatting>
  <conditionalFormatting sqref="D384:E384 L384">
    <cfRule type="cellIs" dxfId="587" priority="3935" stopIfTrue="1" operator="notEqual">
      <formula>INDIRECT("Dummy_for_Comparison4!"&amp;ADDRESS(ROW(),COLUMN()))</formula>
    </cfRule>
  </conditionalFormatting>
  <conditionalFormatting sqref="D385:E385 H385:J385 L385">
    <cfRule type="cellIs" dxfId="586" priority="3932" stopIfTrue="1" operator="notEqual">
      <formula>INDIRECT("Dummy_for_Comparison4!"&amp;ADDRESS(ROW(),COLUMN()))</formula>
    </cfRule>
  </conditionalFormatting>
  <conditionalFormatting sqref="D386:E386 H386:J386 L386">
    <cfRule type="cellIs" dxfId="585" priority="3892" stopIfTrue="1" operator="notEqual">
      <formula>INDIRECT("Dummy_for_Comparison4!"&amp;ADDRESS(ROW(),COLUMN()))</formula>
    </cfRule>
  </conditionalFormatting>
  <conditionalFormatting sqref="C387:F387 O387 H387:J387 L387">
    <cfRule type="cellIs" dxfId="584" priority="3953" stopIfTrue="1" operator="notEqual">
      <formula>INDIRECT("Dummy_for_Comparison4!"&amp;ADDRESS(ROW(),COLUMN()))</formula>
    </cfRule>
  </conditionalFormatting>
  <conditionalFormatting sqref="C388:F388 O388 H388:J388 L388">
    <cfRule type="cellIs" dxfId="583" priority="3929" stopIfTrue="1" operator="notEqual">
      <formula>INDIRECT("Dummy_for_Comparison4!"&amp;ADDRESS(ROW(),COLUMN()))</formula>
    </cfRule>
  </conditionalFormatting>
  <conditionalFormatting sqref="C389:F389 O389 H389:J389 L389">
    <cfRule type="cellIs" dxfId="582" priority="3927" stopIfTrue="1" operator="notEqual">
      <formula>INDIRECT("Dummy_for_Comparison4!"&amp;ADDRESS(ROW(),COLUMN()))</formula>
    </cfRule>
  </conditionalFormatting>
  <conditionalFormatting sqref="C390:F390 O390 H390:J390 L390">
    <cfRule type="cellIs" dxfId="581" priority="3888" stopIfTrue="1" operator="notEqual">
      <formula>INDIRECT("Dummy_for_Comparison4!"&amp;ADDRESS(ROW(),COLUMN()))</formula>
    </cfRule>
  </conditionalFormatting>
  <conditionalFormatting sqref="A391:F391 H391:J391 L391:P391">
    <cfRule type="cellIs" dxfId="580" priority="3952" stopIfTrue="1" operator="notEqual">
      <formula>INDIRECT("Dummy_for_Comparison4!"&amp;ADDRESS(ROW(),COLUMN()))</formula>
    </cfRule>
  </conditionalFormatting>
  <conditionalFormatting sqref="A392:F392 H392:J392 L392:P392">
    <cfRule type="cellIs" dxfId="579" priority="3937" stopIfTrue="1" operator="notEqual">
      <formula>INDIRECT("Dummy_for_Comparison4!"&amp;ADDRESS(ROW(),COLUMN()))</formula>
    </cfRule>
  </conditionalFormatting>
  <conditionalFormatting sqref="A393:F393 H393:J393 L393:P393">
    <cfRule type="cellIs" dxfId="578" priority="3936" stopIfTrue="1" operator="notEqual">
      <formula>INDIRECT("Dummy_for_Comparison4!"&amp;ADDRESS(ROW(),COLUMN()))</formula>
    </cfRule>
  </conditionalFormatting>
  <conditionalFormatting sqref="A394:B394 D394:F394 H394:J394 L394:N394">
    <cfRule type="cellIs" dxfId="577" priority="2047" stopIfTrue="1" operator="notEqual">
      <formula>INDIRECT("Dummy_for_Comparison4!"&amp;ADDRESS(ROW(),COLUMN()))</formula>
    </cfRule>
  </conditionalFormatting>
  <conditionalFormatting sqref="A395:B396 D395:D396 O395:P395 H395:J396 F395:F396 P396 S396:AB396 L395:L396">
    <cfRule type="cellIs" dxfId="576" priority="2045" stopIfTrue="1" operator="notEqual">
      <formula>INDIRECT("Dummy_for_Comparison4!"&amp;ADDRESS(ROW(),COLUMN()))</formula>
    </cfRule>
  </conditionalFormatting>
  <conditionalFormatting sqref="R395:R396 R398">
    <cfRule type="cellIs" dxfId="575" priority="2029" stopIfTrue="1" operator="notEqual">
      <formula>INDIRECT("Dummy_for_Comparison4!"&amp;ADDRESS(ROW(),COLUMN()))</formula>
    </cfRule>
  </conditionalFormatting>
  <conditionalFormatting sqref="AX395:AY396">
    <cfRule type="cellIs" dxfId="574" priority="2043" stopIfTrue="1" operator="notEqual">
      <formula>INDIRECT("Dummy_for_Comparison4!"&amp;ADDRESS(ROW(),COLUMN()))</formula>
    </cfRule>
  </conditionalFormatting>
  <conditionalFormatting sqref="A397:B397 D397:F397 H397:J397">
    <cfRule type="cellIs" dxfId="573" priority="2042" stopIfTrue="1" operator="notEqual">
      <formula>INDIRECT("Dummy_for_Comparison4!"&amp;ADDRESS(ROW(),COLUMN()))</formula>
    </cfRule>
  </conditionalFormatting>
  <conditionalFormatting sqref="A398:B398 D398 AZ398:BD398 O398:P398 H398:J398 L398">
    <cfRule type="cellIs" dxfId="572" priority="2040" stopIfTrue="1" operator="notEqual">
      <formula>INDIRECT("Dummy_for_Comparison4!"&amp;ADDRESS(ROW(),COLUMN()))</formula>
    </cfRule>
  </conditionalFormatting>
  <conditionalFormatting sqref="C399:F399 H399:J399 L399:O399">
    <cfRule type="cellIs" dxfId="571" priority="3870" stopIfTrue="1" operator="notEqual">
      <formula>INDIRECT("Dummy_for_Comparison4!"&amp;ADDRESS(ROW(),COLUMN()))</formula>
    </cfRule>
  </conditionalFormatting>
  <conditionalFormatting sqref="C400:F400 H400:J400 L400:O400">
    <cfRule type="cellIs" dxfId="570" priority="3869" stopIfTrue="1" operator="notEqual">
      <formula>INDIRECT("Dummy_for_Comparison4!"&amp;ADDRESS(ROW(),COLUMN()))</formula>
    </cfRule>
  </conditionalFormatting>
  <conditionalFormatting sqref="C401:F401 H401:J401 L401:O401">
    <cfRule type="cellIs" dxfId="569" priority="3868" stopIfTrue="1" operator="notEqual">
      <formula>INDIRECT("Dummy_for_Comparison4!"&amp;ADDRESS(ROW(),COLUMN()))</formula>
    </cfRule>
  </conditionalFormatting>
  <conditionalFormatting sqref="A402:F402 AE403:AE404 A403:B404 H402:J402 L402:P402">
    <cfRule type="cellIs" dxfId="568" priority="3867" stopIfTrue="1" operator="notEqual">
      <formula>INDIRECT("Dummy_for_Comparison4!"&amp;ADDRESS(ROW(),COLUMN()))</formula>
    </cfRule>
  </conditionalFormatting>
  <conditionalFormatting sqref="C403:F403 H403:J403 L403:P403">
    <cfRule type="cellIs" dxfId="567" priority="3866" stopIfTrue="1" operator="notEqual">
      <formula>INDIRECT("Dummy_for_Comparison4!"&amp;ADDRESS(ROW(),COLUMN()))</formula>
    </cfRule>
  </conditionalFormatting>
  <conditionalFormatting sqref="C404:F404 H404:J404 L404:P404">
    <cfRule type="cellIs" dxfId="566" priority="3865" stopIfTrue="1" operator="notEqual">
      <formula>INDIRECT("Dummy_for_Comparison4!"&amp;ADDRESS(ROW(),COLUMN()))</formula>
    </cfRule>
  </conditionalFormatting>
  <conditionalFormatting sqref="AE405 A405:B405 A409:B409 AE409 B406:B408 B410:B412">
    <cfRule type="cellIs" dxfId="565" priority="3864" stopIfTrue="1" operator="notEqual">
      <formula>INDIRECT("Dummy_for_Comparison4!"&amp;ADDRESS(ROW(),COLUMN()))</formula>
    </cfRule>
  </conditionalFormatting>
  <conditionalFormatting sqref="C405:F405 C409:F409 T409:AD409 O409:P409 H409:J409 H405:J405 T405:AD405 U406:U408 L405:P405 L409 N406:N408">
    <cfRule type="cellIs" dxfId="564" priority="3863" stopIfTrue="1" operator="notEqual">
      <formula>INDIRECT("Dummy_for_Comparison4!"&amp;ADDRESS(ROW(),COLUMN()))</formula>
    </cfRule>
  </conditionalFormatting>
  <conditionalFormatting sqref="G405 G409">
    <cfRule type="cellIs" dxfId="563" priority="3537" stopIfTrue="1" operator="notEqual">
      <formula>INDIRECT("Dummy_for_Comparison4!"&amp;ADDRESS(ROW(),COLUMN()))</formula>
    </cfRule>
  </conditionalFormatting>
  <conditionalFormatting sqref="K405 K409">
    <cfRule type="cellIs" dxfId="562" priority="1476" stopIfTrue="1" operator="notEqual">
      <formula>INDIRECT("Dummy_for_Comparison4!"&amp;ADDRESS(ROW(),COLUMN()))</formula>
    </cfRule>
  </conditionalFormatting>
  <conditionalFormatting sqref="Q405 Q407">
    <cfRule type="cellIs" dxfId="561" priority="3474" stopIfTrue="1" operator="notEqual">
      <formula>INDIRECT("Dummy_for_Comparison4!"&amp;ADDRESS(ROW(),COLUMN()))</formula>
    </cfRule>
  </conditionalFormatting>
  <conditionalFormatting sqref="AE406 A406">
    <cfRule type="cellIs" dxfId="560" priority="3862" stopIfTrue="1" operator="notEqual">
      <formula>INDIRECT("Dummy_for_Comparison4!"&amp;ADDRESS(ROW(),COLUMN()))</formula>
    </cfRule>
  </conditionalFormatting>
  <conditionalFormatting sqref="C406:F406 T406 O406:P406 H406:J406 V406:AD406 L406">
    <cfRule type="cellIs" dxfId="559" priority="3861" stopIfTrue="1" operator="notEqual">
      <formula>INDIRECT("Dummy_for_Comparison4!"&amp;ADDRESS(ROW(),COLUMN()))</formula>
    </cfRule>
  </conditionalFormatting>
  <conditionalFormatting sqref="Q406 Q408">
    <cfRule type="cellIs" dxfId="558" priority="3473" stopIfTrue="1" operator="notEqual">
      <formula>INDIRECT("Dummy_for_Comparison4!"&amp;ADDRESS(ROW(),COLUMN()))</formula>
    </cfRule>
  </conditionalFormatting>
  <conditionalFormatting sqref="AE407 A407">
    <cfRule type="cellIs" dxfId="557" priority="3860" stopIfTrue="1" operator="notEqual">
      <formula>INDIRECT("Dummy_for_Comparison4!"&amp;ADDRESS(ROW(),COLUMN()))</formula>
    </cfRule>
  </conditionalFormatting>
  <conditionalFormatting sqref="C407:F407 T407 O407:P407 H407:J407 V407:AD407 L407">
    <cfRule type="cellIs" dxfId="556" priority="3859" stopIfTrue="1" operator="notEqual">
      <formula>INDIRECT("Dummy_for_Comparison4!"&amp;ADDRESS(ROW(),COLUMN()))</formula>
    </cfRule>
  </conditionalFormatting>
  <conditionalFormatting sqref="AE408 A408">
    <cfRule type="cellIs" dxfId="555" priority="3858" stopIfTrue="1" operator="notEqual">
      <formula>INDIRECT("Dummy_for_Comparison4!"&amp;ADDRESS(ROW(),COLUMN()))</formula>
    </cfRule>
  </conditionalFormatting>
  <conditionalFormatting sqref="C408:F408 T408 O408:P408 H408:J408 V408:AD408 L408">
    <cfRule type="cellIs" dxfId="554" priority="3857" stopIfTrue="1" operator="notEqual">
      <formula>INDIRECT("Dummy_for_Comparison4!"&amp;ADDRESS(ROW(),COLUMN()))</formula>
    </cfRule>
  </conditionalFormatting>
  <conditionalFormatting sqref="Q409 Q411">
    <cfRule type="cellIs" dxfId="553" priority="3471" stopIfTrue="1" operator="notEqual">
      <formula>INDIRECT("Dummy_for_Comparison4!"&amp;ADDRESS(ROW(),COLUMN()))</formula>
    </cfRule>
  </conditionalFormatting>
  <conditionalFormatting sqref="A410 AE410">
    <cfRule type="cellIs" dxfId="552" priority="3856" stopIfTrue="1" operator="notEqual">
      <formula>INDIRECT("Dummy_for_Comparison4!"&amp;ADDRESS(ROW(),COLUMN()))</formula>
    </cfRule>
  </conditionalFormatting>
  <conditionalFormatting sqref="C410:F410 T410:AD410 O410:P410 H410:J410 L410">
    <cfRule type="cellIs" dxfId="551" priority="3855" stopIfTrue="1" operator="notEqual">
      <formula>INDIRECT("Dummy_for_Comparison4!"&amp;ADDRESS(ROW(),COLUMN()))</formula>
    </cfRule>
  </conditionalFormatting>
  <conditionalFormatting sqref="Q410 Q412">
    <cfRule type="cellIs" dxfId="550" priority="3470" stopIfTrue="1" operator="notEqual">
      <formula>INDIRECT("Dummy_for_Comparison4!"&amp;ADDRESS(ROW(),COLUMN()))</formula>
    </cfRule>
  </conditionalFormatting>
  <conditionalFormatting sqref="A411 AE411">
    <cfRule type="cellIs" dxfId="549" priority="3854" stopIfTrue="1" operator="notEqual">
      <formula>INDIRECT("Dummy_for_Comparison4!"&amp;ADDRESS(ROW(),COLUMN()))</formula>
    </cfRule>
  </conditionalFormatting>
  <conditionalFormatting sqref="C411:F411 T411:AD411 O411:P411 H411:J411 L411">
    <cfRule type="cellIs" dxfId="548" priority="3853" stopIfTrue="1" operator="notEqual">
      <formula>INDIRECT("Dummy_for_Comparison4!"&amp;ADDRESS(ROW(),COLUMN()))</formula>
    </cfRule>
  </conditionalFormatting>
  <conditionalFormatting sqref="A412 AE412">
    <cfRule type="cellIs" dxfId="547" priority="3852" stopIfTrue="1" operator="notEqual">
      <formula>INDIRECT("Dummy_for_Comparison4!"&amp;ADDRESS(ROW(),COLUMN()))</formula>
    </cfRule>
  </conditionalFormatting>
  <conditionalFormatting sqref="C412:F412 T412:AD412 O412:P412 H412:J412 L412">
    <cfRule type="cellIs" dxfId="546" priority="3851" stopIfTrue="1" operator="notEqual">
      <formula>INDIRECT("Dummy_for_Comparison4!"&amp;ADDRESS(ROW(),COLUMN()))</formula>
    </cfRule>
  </conditionalFormatting>
  <conditionalFormatting sqref="A413 AE413">
    <cfRule type="cellIs" dxfId="545" priority="3849" stopIfTrue="1" operator="notEqual">
      <formula>INDIRECT("Dummy_for_Comparison4!"&amp;ADDRESS(ROW(),COLUMN()))</formula>
    </cfRule>
  </conditionalFormatting>
  <conditionalFormatting sqref="C413:F413 F414:F416 H413:J413 T413:AD413 U414:U416 L413:M413 O413:P413">
    <cfRule type="cellIs" dxfId="544" priority="3848" stopIfTrue="1" operator="notEqual">
      <formula>INDIRECT("Dummy_for_Comparison4!"&amp;ADDRESS(ROW(),COLUMN()))</formula>
    </cfRule>
  </conditionalFormatting>
  <conditionalFormatting sqref="Q413 Q415">
    <cfRule type="cellIs" dxfId="543" priority="3479" stopIfTrue="1" operator="notEqual">
      <formula>INDIRECT("Dummy_for_Comparison4!"&amp;ADDRESS(ROW(),COLUMN()))</formula>
    </cfRule>
  </conditionalFormatting>
  <conditionalFormatting sqref="A414:A418 AE414:AE418">
    <cfRule type="cellIs" dxfId="542" priority="3846" stopIfTrue="1" operator="notEqual">
      <formula>INDIRECT("Dummy_for_Comparison4!"&amp;ADDRESS(ROW(),COLUMN()))</formula>
    </cfRule>
  </conditionalFormatting>
  <conditionalFormatting sqref="C414:E416 C417:F418 T414:T416 W418:X420 AF417:AI418 Z417:AD417 H414:J418 AA418:AD418 Z418:Z420 AU418:AU420 V414:AD416 L417:P418 L414:M416 O414:P416">
    <cfRule type="cellIs" dxfId="541" priority="3845" stopIfTrue="1" operator="notEqual">
      <formula>INDIRECT("Dummy_for_Comparison4!"&amp;ADDRESS(ROW(),COLUMN()))</formula>
    </cfRule>
  </conditionalFormatting>
  <conditionalFormatting sqref="Q414 Q416">
    <cfRule type="cellIs" dxfId="540" priority="3478" stopIfTrue="1" operator="notEqual">
      <formula>INDIRECT("Dummy_for_Comparison4!"&amp;ADDRESS(ROW(),COLUMN()))</formula>
    </cfRule>
  </conditionalFormatting>
  <conditionalFormatting sqref="AJ418:AK418 AL418:AL420 AR418:AT420">
    <cfRule type="cellIs" dxfId="539" priority="3819" stopIfTrue="1" operator="notEqual">
      <formula>INDIRECT("Dummy_for_Comparison4!"&amp;ADDRESS(ROW(),COLUMN()))</formula>
    </cfRule>
  </conditionalFormatting>
  <conditionalFormatting sqref="A419 AE419">
    <cfRule type="cellIs" dxfId="538" priority="3844" stopIfTrue="1" operator="notEqual">
      <formula>INDIRECT("Dummy_for_Comparison4!"&amp;ADDRESS(ROW(),COLUMN()))</formula>
    </cfRule>
  </conditionalFormatting>
  <conditionalFormatting sqref="AF419:AI419 C419:F419 AA419:AD419 H419:J419 L419:P419">
    <cfRule type="cellIs" dxfId="537" priority="3843" stopIfTrue="1" operator="notEqual">
      <formula>INDIRECT("Dummy_for_Comparison4!"&amp;ADDRESS(ROW(),COLUMN()))</formula>
    </cfRule>
  </conditionalFormatting>
  <conditionalFormatting sqref="A420:A424 AE420:AE424">
    <cfRule type="cellIs" dxfId="536" priority="3842" stopIfTrue="1" operator="notEqual">
      <formula>INDIRECT("Dummy_for_Comparison4!"&amp;ADDRESS(ROW(),COLUMN()))</formula>
    </cfRule>
  </conditionalFormatting>
  <conditionalFormatting sqref="C420:F424 AA420:AD420 AF420:AI420 H420:J424 L420:P424">
    <cfRule type="cellIs" dxfId="535" priority="3841" stopIfTrue="1" operator="notEqual">
      <formula>INDIRECT("Dummy_for_Comparison4!"&amp;ADDRESS(ROW(),COLUMN()))</formula>
    </cfRule>
  </conditionalFormatting>
  <conditionalFormatting sqref="A425:A426 AE425:AE426">
    <cfRule type="cellIs" dxfId="534" priority="3839" stopIfTrue="1" operator="notEqual">
      <formula>INDIRECT("Dummy_for_Comparison4!"&amp;ADDRESS(ROW(),COLUMN()))</formula>
    </cfRule>
  </conditionalFormatting>
  <conditionalFormatting sqref="AF425:AI426 C425:F426 O425:P426 T425:AD426 H425:J426 L425:L426">
    <cfRule type="cellIs" dxfId="533" priority="3838" stopIfTrue="1" operator="notEqual">
      <formula>INDIRECT("Dummy_for_Comparison4!"&amp;ADDRESS(ROW(),COLUMN()))</formula>
    </cfRule>
  </conditionalFormatting>
  <conditionalFormatting sqref="Q425:S426">
    <cfRule type="cellIs" dxfId="532" priority="3462" stopIfTrue="1" operator="notEqual">
      <formula>INDIRECT("Dummy_for_Comparison4!"&amp;ADDRESS(ROW(),COLUMN()))</formula>
    </cfRule>
  </conditionalFormatting>
  <conditionalFormatting sqref="A427:A428 AE427:AE428">
    <cfRule type="cellIs" dxfId="531" priority="3834" stopIfTrue="1" operator="notEqual">
      <formula>INDIRECT("Dummy_for_Comparison4!"&amp;ADDRESS(ROW(),COLUMN()))</formula>
    </cfRule>
  </conditionalFormatting>
  <conditionalFormatting sqref="C427:F428 AF427:AI428 O427:P428 H427:J428 L427:L428">
    <cfRule type="cellIs" dxfId="530" priority="3833" stopIfTrue="1" operator="notEqual">
      <formula>INDIRECT("Dummy_for_Comparison4!"&amp;ADDRESS(ROW(),COLUMN()))</formula>
    </cfRule>
  </conditionalFormatting>
  <conditionalFormatting sqref="C429:F429 H429:J429 L429:O429">
    <cfRule type="cellIs" dxfId="529" priority="3876" stopIfTrue="1" operator="notEqual">
      <formula>INDIRECT("Dummy_for_Comparison4!"&amp;ADDRESS(ROW(),COLUMN()))</formula>
    </cfRule>
  </conditionalFormatting>
  <conditionalFormatting sqref="C430:F430 H430:J430 L430:O430">
    <cfRule type="cellIs" dxfId="528" priority="3875" stopIfTrue="1" operator="notEqual">
      <formula>INDIRECT("Dummy_for_Comparison4!"&amp;ADDRESS(ROW(),COLUMN()))</formula>
    </cfRule>
  </conditionalFormatting>
  <conditionalFormatting sqref="C431:F431 H431:J431 L431:O431">
    <cfRule type="cellIs" dxfId="527" priority="3874" stopIfTrue="1" operator="notEqual">
      <formula>INDIRECT("Dummy_for_Comparison4!"&amp;ADDRESS(ROW(),COLUMN()))</formula>
    </cfRule>
  </conditionalFormatting>
  <conditionalFormatting sqref="H432:J454 L432:O454 C432:F454">
    <cfRule type="cellIs" dxfId="526" priority="3873" stopIfTrue="1" operator="notEqual">
      <formula>INDIRECT("Dummy_for_Comparison4!"&amp;ADDRESS(ROW(),COLUMN()))</formula>
    </cfRule>
  </conditionalFormatting>
  <conditionalFormatting sqref="C455:F455 H455:J455 L455:N455">
    <cfRule type="cellIs" dxfId="525" priority="3872" stopIfTrue="1" operator="notEqual">
      <formula>INDIRECT("Dummy_for_Comparison4!"&amp;ADDRESS(ROW(),COLUMN()))</formula>
    </cfRule>
  </conditionalFormatting>
  <conditionalFormatting sqref="C456:F458 H456:J458 L456:N458">
    <cfRule type="cellIs" dxfId="524" priority="3827" stopIfTrue="1" operator="notEqual">
      <formula>INDIRECT("Dummy_for_Comparison4!"&amp;ADDRESS(ROW(),COLUMN()))</formula>
    </cfRule>
  </conditionalFormatting>
  <conditionalFormatting sqref="C459:F459 H459:J459 L459:O459">
    <cfRule type="cellIs" dxfId="523" priority="3831" stopIfTrue="1" operator="notEqual">
      <formula>INDIRECT("Dummy_for_Comparison4!"&amp;ADDRESS(ROW(),COLUMN()))</formula>
    </cfRule>
  </conditionalFormatting>
  <conditionalFormatting sqref="C460:F460 H460:J460 L460:O460">
    <cfRule type="cellIs" dxfId="522" priority="3830" stopIfTrue="1" operator="notEqual">
      <formula>INDIRECT("Dummy_for_Comparison4!"&amp;ADDRESS(ROW(),COLUMN()))</formula>
    </cfRule>
  </conditionalFormatting>
  <conditionalFormatting sqref="C461:F461 H461:J461 L461:O461">
    <cfRule type="cellIs" dxfId="521" priority="3829" stopIfTrue="1" operator="notEqual">
      <formula>INDIRECT("Dummy_for_Comparison4!"&amp;ADDRESS(ROW(),COLUMN()))</formula>
    </cfRule>
  </conditionalFormatting>
  <conditionalFormatting sqref="C462:F469 O462:O465 H462:J469 L462:L465 L466:O469">
    <cfRule type="cellIs" dxfId="520" priority="3828" stopIfTrue="1" operator="notEqual">
      <formula>INDIRECT("Dummy_for_Comparison4!"&amp;ADDRESS(ROW(),COLUMN()))</formula>
    </cfRule>
  </conditionalFormatting>
  <conditionalFormatting sqref="C470:F482 H470:J482 L470:N473 L474:O477 L482:O482 L478:M481 O478:O481">
    <cfRule type="cellIs" dxfId="519" priority="3812" stopIfTrue="1" operator="notEqual">
      <formula>INDIRECT("Dummy_for_Comparison4!"&amp;ADDRESS(ROW(),COLUMN()))</formula>
    </cfRule>
  </conditionalFormatting>
  <conditionalFormatting sqref="C483:F484 O483:O484 C489:F496 O489:O496 C501:F510 O501:O510 H483:J484 H489:J496 H501:J510 L483:L484 L489:L510">
    <cfRule type="cellIs" dxfId="518" priority="3966" stopIfTrue="1" operator="notEqual">
      <formula>INDIRECT("Dummy_for_Comparison4!"&amp;ADDRESS(ROW(),COLUMN()))</formula>
    </cfRule>
  </conditionalFormatting>
  <conditionalFormatting sqref="G483:G484 G489:G496 G501:G510">
    <cfRule type="cellIs" dxfId="517" priority="3583" stopIfTrue="1" operator="notEqual">
      <formula>INDIRECT("Dummy_for_Comparison4!"&amp;ADDRESS(ROW(),COLUMN()))</formula>
    </cfRule>
  </conditionalFormatting>
  <conditionalFormatting sqref="K483:K484 K489:K510">
    <cfRule type="cellIs" dxfId="516" priority="1519" stopIfTrue="1" operator="notEqual">
      <formula>INDIRECT("Dummy_for_Comparison4!"&amp;ADDRESS(ROW(),COLUMN()))</formula>
    </cfRule>
  </conditionalFormatting>
  <conditionalFormatting sqref="D485:F485 H485:J485 L485:O485">
    <cfRule type="cellIs" dxfId="515" priority="3825" stopIfTrue="1" operator="notEqual">
      <formula>INDIRECT("Dummy_for_Comparison4!"&amp;ADDRESS(ROW(),COLUMN()))</formula>
    </cfRule>
  </conditionalFormatting>
  <conditionalFormatting sqref="D486:F487 H486:J487 L486:O487">
    <cfRule type="cellIs" dxfId="514" priority="3823" stopIfTrue="1" operator="notEqual">
      <formula>INDIRECT("Dummy_for_Comparison4!"&amp;ADDRESS(ROW(),COLUMN()))</formula>
    </cfRule>
  </conditionalFormatting>
  <conditionalFormatting sqref="D488:F488 H488:J488 L488:O488">
    <cfRule type="cellIs" dxfId="513" priority="3821" stopIfTrue="1" operator="notEqual">
      <formula>INDIRECT("Dummy_for_Comparison4!"&amp;ADDRESS(ROW(),COLUMN()))</formula>
    </cfRule>
  </conditionalFormatting>
  <conditionalFormatting sqref="C497:F500 O497:O500 H497:J500">
    <cfRule type="cellIs" dxfId="512" priority="3816" stopIfTrue="1" operator="notEqual">
      <formula>INDIRECT("Dummy_for_Comparison4!"&amp;ADDRESS(ROW(),COLUMN()))</formula>
    </cfRule>
  </conditionalFormatting>
  <conditionalFormatting sqref="C511:F511 H511:J511 L511:O511">
    <cfRule type="cellIs" dxfId="511" priority="3815" stopIfTrue="1" operator="notEqual">
      <formula>INDIRECT("Dummy_for_Comparison4!"&amp;ADDRESS(ROW(),COLUMN()))</formula>
    </cfRule>
  </conditionalFormatting>
  <conditionalFormatting sqref="C512:F512 H512:J512 L512:O512">
    <cfRule type="cellIs" dxfId="510" priority="3814" stopIfTrue="1" operator="notEqual">
      <formula>INDIRECT("Dummy_for_Comparison4!"&amp;ADDRESS(ROW(),COLUMN()))</formula>
    </cfRule>
  </conditionalFormatting>
  <conditionalFormatting sqref="C513:F513 H513:J513 L513:O513">
    <cfRule type="cellIs" dxfId="509" priority="3813" stopIfTrue="1" operator="notEqual">
      <formula>INDIRECT("Dummy_for_Comparison4!"&amp;ADDRESS(ROW(),COLUMN()))</formula>
    </cfRule>
  </conditionalFormatting>
  <conditionalFormatting sqref="Q647 Q649">
    <cfRule type="cellIs" dxfId="508" priority="3398" stopIfTrue="1" operator="notEqual">
      <formula>INDIRECT("Dummy_for_Comparison4!"&amp;ADDRESS(ROW(),COLUMN()))</formula>
    </cfRule>
  </conditionalFormatting>
  <conditionalFormatting sqref="T651:U651 T647:U647 U648:U650">
    <cfRule type="cellIs" dxfId="507" priority="3405" stopIfTrue="1" operator="notEqual">
      <formula>INDIRECT("Dummy_for_Comparison4!"&amp;ADDRESS(ROW(),COLUMN()))</formula>
    </cfRule>
  </conditionalFormatting>
  <conditionalFormatting sqref="Q648 Q650">
    <cfRule type="cellIs" dxfId="506" priority="3397" stopIfTrue="1" operator="notEqual">
      <formula>INDIRECT("Dummy_for_Comparison4!"&amp;ADDRESS(ROW(),COLUMN()))</formula>
    </cfRule>
  </conditionalFormatting>
  <conditionalFormatting sqref="E707:F707 L707 H707:J707 O707">
    <cfRule type="cellIs" dxfId="505" priority="3421" stopIfTrue="1" operator="notEqual">
      <formula>INDIRECT("Dummy_for_Comparison4!"&amp;ADDRESS(ROW(),COLUMN()))</formula>
    </cfRule>
  </conditionalFormatting>
  <conditionalFormatting sqref="E708:F708 L708 H708:J708 O708">
    <cfRule type="cellIs" dxfId="504" priority="3418" stopIfTrue="1" operator="notEqual">
      <formula>INDIRECT("Dummy_for_Comparison4!"&amp;ADDRESS(ROW(),COLUMN()))</formula>
    </cfRule>
  </conditionalFormatting>
  <conditionalFormatting sqref="E709:F709 L709 H709:J709 O709">
    <cfRule type="cellIs" dxfId="503" priority="3415" stopIfTrue="1" operator="notEqual">
      <formula>INDIRECT("Dummy_for_Comparison4!"&amp;ADDRESS(ROW(),COLUMN()))</formula>
    </cfRule>
  </conditionalFormatting>
  <conditionalFormatting sqref="E710:F710 L710 H710:J710 O710">
    <cfRule type="cellIs" dxfId="502" priority="3409" stopIfTrue="1" operator="notEqual">
      <formula>INDIRECT("Dummy_for_Comparison4!"&amp;ADDRESS(ROW(),COLUMN()))</formula>
    </cfRule>
  </conditionalFormatting>
  <conditionalFormatting sqref="Q717 Q719">
    <cfRule type="cellIs" dxfId="501" priority="3295" stopIfTrue="1" operator="notEqual">
      <formula>INDIRECT("Dummy_for_Comparison4!"&amp;ADDRESS(ROW(),COLUMN()))</formula>
    </cfRule>
  </conditionalFormatting>
  <conditionalFormatting sqref="Q718 Q720">
    <cfRule type="cellIs" dxfId="500" priority="3294" stopIfTrue="1" operator="notEqual">
      <formula>INDIRECT("Dummy_for_Comparison4!"&amp;ADDRESS(ROW(),COLUMN()))</formula>
    </cfRule>
  </conditionalFormatting>
  <conditionalFormatting sqref="Q721 Q723">
    <cfRule type="cellIs" dxfId="499" priority="3291" stopIfTrue="1" operator="notEqual">
      <formula>INDIRECT("Dummy_for_Comparison4!"&amp;ADDRESS(ROW(),COLUMN()))</formula>
    </cfRule>
  </conditionalFormatting>
  <conditionalFormatting sqref="Q722 Q724">
    <cfRule type="cellIs" dxfId="498" priority="3290" stopIfTrue="1" operator="notEqual">
      <formula>INDIRECT("Dummy_for_Comparison4!"&amp;ADDRESS(ROW(),COLUMN()))</formula>
    </cfRule>
  </conditionalFormatting>
  <conditionalFormatting sqref="Q735 Q737">
    <cfRule type="cellIs" dxfId="497" priority="2061" stopIfTrue="1" operator="notEqual">
      <formula>INDIRECT("Dummy_for_Comparison4!"&amp;ADDRESS(ROW(),COLUMN()))</formula>
    </cfRule>
  </conditionalFormatting>
  <conditionalFormatting sqref="T735:U735 U736:U738">
    <cfRule type="cellIs" dxfId="496" priority="2065" stopIfTrue="1" operator="notEqual">
      <formula>INDIRECT("Dummy_for_Comparison4!"&amp;ADDRESS(ROW(),COLUMN()))</formula>
    </cfRule>
  </conditionalFormatting>
  <conditionalFormatting sqref="Q736 Q738">
    <cfRule type="cellIs" dxfId="495" priority="2060" stopIfTrue="1" operator="notEqual">
      <formula>INDIRECT("Dummy_for_Comparison4!"&amp;ADDRESS(ROW(),COLUMN()))</formula>
    </cfRule>
  </conditionalFormatting>
  <conditionalFormatting sqref="Q739 Q741">
    <cfRule type="cellIs" dxfId="494" priority="2054" stopIfTrue="1" operator="notEqual">
      <formula>INDIRECT("Dummy_for_Comparison4!"&amp;ADDRESS(ROW(),COLUMN()))</formula>
    </cfRule>
  </conditionalFormatting>
  <conditionalFormatting sqref="T739:U739 U740:U746">
    <cfRule type="cellIs" dxfId="493" priority="2058" stopIfTrue="1" operator="notEqual">
      <formula>INDIRECT("Dummy_for_Comparison4!"&amp;ADDRESS(ROW(),COLUMN()))</formula>
    </cfRule>
  </conditionalFormatting>
  <conditionalFormatting sqref="Q740 Q742">
    <cfRule type="cellIs" dxfId="492" priority="2053" stopIfTrue="1" operator="notEqual">
      <formula>INDIRECT("Dummy_for_Comparison4!"&amp;ADDRESS(ROW(),COLUMN()))</formula>
    </cfRule>
  </conditionalFormatting>
  <conditionalFormatting sqref="C806:F806 H806:J806 L806:O806">
    <cfRule type="cellIs" dxfId="491" priority="1718" stopIfTrue="1" operator="notEqual">
      <formula>INDIRECT("Dummy_for_Comparison4!"&amp;ADDRESS(ROW(),COLUMN()))</formula>
    </cfRule>
  </conditionalFormatting>
  <conditionalFormatting sqref="C807:F807 H807:J807 L807:M807 O807">
    <cfRule type="cellIs" dxfId="490" priority="1717" stopIfTrue="1" operator="notEqual">
      <formula>INDIRECT("Dummy_for_Comparison4!"&amp;ADDRESS(ROW(),COLUMN()))</formula>
    </cfRule>
  </conditionalFormatting>
  <conditionalFormatting sqref="C808:F808 H808:J808 L808:M808 O808">
    <cfRule type="cellIs" dxfId="489" priority="1716" stopIfTrue="1" operator="notEqual">
      <formula>INDIRECT("Dummy_for_Comparison4!"&amp;ADDRESS(ROW(),COLUMN()))</formula>
    </cfRule>
  </conditionalFormatting>
  <conditionalFormatting sqref="C809:F809 H809:J809 L809:M809 O809">
    <cfRule type="cellIs" dxfId="488" priority="1715" stopIfTrue="1" operator="notEqual">
      <formula>INDIRECT("Dummy_for_Comparison4!"&amp;ADDRESS(ROW(),COLUMN()))</formula>
    </cfRule>
  </conditionalFormatting>
  <conditionalFormatting sqref="C810:F810 H810:J810 L810:O810">
    <cfRule type="cellIs" dxfId="487" priority="1714" stopIfTrue="1" operator="notEqual">
      <formula>INDIRECT("Dummy_for_Comparison4!"&amp;ADDRESS(ROW(),COLUMN()))</formula>
    </cfRule>
  </conditionalFormatting>
  <conditionalFormatting sqref="C811:F811 L811:O811 H811:J811">
    <cfRule type="cellIs" dxfId="486" priority="1711" stopIfTrue="1" operator="notEqual">
      <formula>INDIRECT("Dummy_for_Comparison4!"&amp;ADDRESS(ROW(),COLUMN()))</formula>
    </cfRule>
  </conditionalFormatting>
  <conditionalFormatting sqref="C812:F812 L812:O812 H812:J812">
    <cfRule type="cellIs" dxfId="485" priority="1662" stopIfTrue="1" operator="notEqual">
      <formula>INDIRECT("Dummy_for_Comparison4!"&amp;ADDRESS(ROW(),COLUMN()))</formula>
    </cfRule>
  </conditionalFormatting>
  <conditionalFormatting sqref="C813:F813 L813:O813 H813:J813">
    <cfRule type="cellIs" dxfId="484" priority="1661" stopIfTrue="1" operator="notEqual">
      <formula>INDIRECT("Dummy_for_Comparison4!"&amp;ADDRESS(ROW(),COLUMN()))</formula>
    </cfRule>
  </conditionalFormatting>
  <conditionalFormatting sqref="C814:F814 L814:O814 H814:J814">
    <cfRule type="cellIs" dxfId="483" priority="1660" stopIfTrue="1" operator="notEqual">
      <formula>INDIRECT("Dummy_for_Comparison4!"&amp;ADDRESS(ROW(),COLUMN()))</formula>
    </cfRule>
  </conditionalFormatting>
  <conditionalFormatting sqref="C815:F815 L815:O815 H815:J815">
    <cfRule type="cellIs" dxfId="482" priority="1659" stopIfTrue="1" operator="notEqual">
      <formula>INDIRECT("Dummy_for_Comparison4!"&amp;ADDRESS(ROW(),COLUMN()))</formula>
    </cfRule>
  </conditionalFormatting>
  <conditionalFormatting sqref="C816:F816 L816:O816 H816:J816">
    <cfRule type="cellIs" dxfId="481" priority="1707" stopIfTrue="1" operator="notEqual">
      <formula>INDIRECT("Dummy_for_Comparison4!"&amp;ADDRESS(ROW(),COLUMN()))</formula>
    </cfRule>
  </conditionalFormatting>
  <conditionalFormatting sqref="C817:F817 L817:O817 H817:J817 N818:N820">
    <cfRule type="cellIs" dxfId="480" priority="1706" stopIfTrue="1" operator="notEqual">
      <formula>INDIRECT("Dummy_for_Comparison4!"&amp;ADDRESS(ROW(),COLUMN()))</formula>
    </cfRule>
  </conditionalFormatting>
  <conditionalFormatting sqref="C818:F818 L818:M818 H818:J818 O818">
    <cfRule type="cellIs" dxfId="479" priority="1705" stopIfTrue="1" operator="notEqual">
      <formula>INDIRECT("Dummy_for_Comparison4!"&amp;ADDRESS(ROW(),COLUMN()))</formula>
    </cfRule>
  </conditionalFormatting>
  <conditionalFormatting sqref="C819:F819 L819:M819 H819:J819 O819">
    <cfRule type="cellIs" dxfId="478" priority="1704" stopIfTrue="1" operator="notEqual">
      <formula>INDIRECT("Dummy_for_Comparison4!"&amp;ADDRESS(ROW(),COLUMN()))</formula>
    </cfRule>
  </conditionalFormatting>
  <conditionalFormatting sqref="C820:F820 L820:M820 H820:J820 O820">
    <cfRule type="cellIs" dxfId="477" priority="1703" stopIfTrue="1" operator="notEqual">
      <formula>INDIRECT("Dummy_for_Comparison4!"&amp;ADDRESS(ROW(),COLUMN()))</formula>
    </cfRule>
  </conditionalFormatting>
  <conditionalFormatting sqref="C821:F821 L821:M821 H821:J821 O821">
    <cfRule type="cellIs" dxfId="476" priority="1702" stopIfTrue="1" operator="notEqual">
      <formula>INDIRECT("Dummy_for_Comparison4!"&amp;ADDRESS(ROW(),COLUMN()))</formula>
    </cfRule>
  </conditionalFormatting>
  <conditionalFormatting sqref="C822:F822 L822:O822 H822:J822">
    <cfRule type="cellIs" dxfId="475" priority="1701" stopIfTrue="1" operator="notEqual">
      <formula>INDIRECT("Dummy_for_Comparison4!"&amp;ADDRESS(ROW(),COLUMN()))</formula>
    </cfRule>
  </conditionalFormatting>
  <conditionalFormatting sqref="C823:F823 L823:M823 H823:J823 O823">
    <cfRule type="cellIs" dxfId="474" priority="1700" stopIfTrue="1" operator="notEqual">
      <formula>INDIRECT("Dummy_for_Comparison4!"&amp;ADDRESS(ROW(),COLUMN()))</formula>
    </cfRule>
  </conditionalFormatting>
  <conditionalFormatting sqref="C824:F824 L824:M824 H824:J824 O824">
    <cfRule type="cellIs" dxfId="473" priority="1699" stopIfTrue="1" operator="notEqual">
      <formula>INDIRECT("Dummy_for_Comparison4!"&amp;ADDRESS(ROW(),COLUMN()))</formula>
    </cfRule>
  </conditionalFormatting>
  <conditionalFormatting sqref="C825:F825 L825:M825 H825:J825 O825">
    <cfRule type="cellIs" dxfId="472" priority="1698" stopIfTrue="1" operator="notEqual">
      <formula>INDIRECT("Dummy_for_Comparison4!"&amp;ADDRESS(ROW(),COLUMN()))</formula>
    </cfRule>
  </conditionalFormatting>
  <conditionalFormatting sqref="C826:F827 L827 L826:M826 H826:J827 O826">
    <cfRule type="cellIs" dxfId="471" priority="1697" stopIfTrue="1" operator="notEqual">
      <formula>INDIRECT("Dummy_for_Comparison4!"&amp;ADDRESS(ROW(),COLUMN()))</formula>
    </cfRule>
  </conditionalFormatting>
  <conditionalFormatting sqref="C828:F829 L828:O829 H828:J829">
    <cfRule type="cellIs" dxfId="470" priority="1696" stopIfTrue="1" operator="notEqual">
      <formula>INDIRECT("Dummy_for_Comparison4!"&amp;ADDRESS(ROW(),COLUMN()))</formula>
    </cfRule>
  </conditionalFormatting>
  <conditionalFormatting sqref="C830:D830 L830:O830 F830 H830:J830">
    <cfRule type="cellIs" dxfId="469" priority="1695" stopIfTrue="1" operator="notEqual">
      <formula>INDIRECT("Dummy_for_Comparison4!"&amp;ADDRESS(ROW(),COLUMN()))</formula>
    </cfRule>
  </conditionalFormatting>
  <conditionalFormatting sqref="C831:F831 L831:O831 H831:J831">
    <cfRule type="cellIs" dxfId="468" priority="1694" stopIfTrue="1" operator="notEqual">
      <formula>INDIRECT("Dummy_for_Comparison4!"&amp;ADDRESS(ROW(),COLUMN()))</formula>
    </cfRule>
  </conditionalFormatting>
  <conditionalFormatting sqref="C832:F832 L832:O832 H832:J832">
    <cfRule type="cellIs" dxfId="467" priority="1693" stopIfTrue="1" operator="notEqual">
      <formula>INDIRECT("Dummy_for_Comparison4!"&amp;ADDRESS(ROW(),COLUMN()))</formula>
    </cfRule>
  </conditionalFormatting>
  <conditionalFormatting sqref="C833:F833 L833:O833 H833:J833">
    <cfRule type="cellIs" dxfId="466" priority="1654" stopIfTrue="1" operator="notEqual">
      <formula>INDIRECT("Dummy_for_Comparison4!"&amp;ADDRESS(ROW(),COLUMN()))</formula>
    </cfRule>
  </conditionalFormatting>
  <conditionalFormatting sqref="C834:F834 L834:O834 H834:J834">
    <cfRule type="cellIs" dxfId="465" priority="1185" stopIfTrue="1" operator="notEqual">
      <formula>INDIRECT("Dummy_for_Comparison4!"&amp;ADDRESS(ROW(),COLUMN()))</formula>
    </cfRule>
  </conditionalFormatting>
  <conditionalFormatting sqref="C835:F835 L835:O835 H835:J835">
    <cfRule type="cellIs" dxfId="464" priority="1182" stopIfTrue="1" operator="notEqual">
      <formula>INDIRECT("Dummy_for_Comparison4!"&amp;ADDRESS(ROW(),COLUMN()))</formula>
    </cfRule>
  </conditionalFormatting>
  <conditionalFormatting sqref="C836:F836 L836:O836 H836:J836">
    <cfRule type="cellIs" dxfId="463" priority="1179" stopIfTrue="1" operator="notEqual">
      <formula>INDIRECT("Dummy_for_Comparison4!"&amp;ADDRESS(ROW(),COLUMN()))</formula>
    </cfRule>
  </conditionalFormatting>
  <conditionalFormatting sqref="C844:F844 L844 O844 H844:J844">
    <cfRule type="cellIs" dxfId="462" priority="3360" stopIfTrue="1" operator="notEqual">
      <formula>INDIRECT("Dummy_for_Comparison4!"&amp;ADDRESS(ROW(),COLUMN()))</formula>
    </cfRule>
  </conditionalFormatting>
  <conditionalFormatting sqref="C845:F845 L845 O845 H845:J845">
    <cfRule type="cellIs" dxfId="461" priority="3355" stopIfTrue="1" operator="notEqual">
      <formula>INDIRECT("Dummy_for_Comparison4!"&amp;ADDRESS(ROW(),COLUMN()))</formula>
    </cfRule>
  </conditionalFormatting>
  <conditionalFormatting sqref="C846:F846 L846 O846 H846:J846">
    <cfRule type="cellIs" dxfId="460" priority="3352" stopIfTrue="1" operator="notEqual">
      <formula>INDIRECT("Dummy_for_Comparison4!"&amp;ADDRESS(ROW(),COLUMN()))</formula>
    </cfRule>
  </conditionalFormatting>
  <conditionalFormatting sqref="C847:F847 L847 O847 H847:J847">
    <cfRule type="cellIs" dxfId="459" priority="3349" stopIfTrue="1" operator="notEqual">
      <formula>INDIRECT("Dummy_for_Comparison4!"&amp;ADDRESS(ROW(),COLUMN()))</formula>
    </cfRule>
  </conditionalFormatting>
  <conditionalFormatting sqref="H848:J848 L848 O848 C848:F848">
    <cfRule type="cellIs" dxfId="458" priority="3346" stopIfTrue="1" operator="notEqual">
      <formula>INDIRECT("Dummy_for_Comparison4!"&amp;ADDRESS(ROW(),COLUMN()))</formula>
    </cfRule>
  </conditionalFormatting>
  <conditionalFormatting sqref="H849:J849 L849 O849 C849:F849">
    <cfRule type="cellIs" dxfId="457" priority="3343" stopIfTrue="1" operator="notEqual">
      <formula>INDIRECT("Dummy_for_Comparison4!"&amp;ADDRESS(ROW(),COLUMN()))</formula>
    </cfRule>
  </conditionalFormatting>
  <conditionalFormatting sqref="H850:J850 L850 O850 C850:F850">
    <cfRule type="cellIs" dxfId="456" priority="3340" stopIfTrue="1" operator="notEqual">
      <formula>INDIRECT("Dummy_for_Comparison4!"&amp;ADDRESS(ROW(),COLUMN()))</formula>
    </cfRule>
  </conditionalFormatting>
  <conditionalFormatting sqref="H851:J851 L851 O851 C851:F851">
    <cfRule type="cellIs" dxfId="455" priority="3337" stopIfTrue="1" operator="notEqual">
      <formula>INDIRECT("Dummy_for_Comparison4!"&amp;ADDRESS(ROW(),COLUMN()))</formula>
    </cfRule>
  </conditionalFormatting>
  <conditionalFormatting sqref="H852:J852 L852 O852 C852:F852">
    <cfRule type="cellIs" dxfId="454" priority="3328" stopIfTrue="1" operator="notEqual">
      <formula>INDIRECT("Dummy_for_Comparison4!"&amp;ADDRESS(ROW(),COLUMN()))</formula>
    </cfRule>
  </conditionalFormatting>
  <conditionalFormatting sqref="H853:J853 L853 O853 C853:E853">
    <cfRule type="cellIs" dxfId="453" priority="3325" stopIfTrue="1" operator="notEqual">
      <formula>INDIRECT("Dummy_for_Comparison4!"&amp;ADDRESS(ROW(),COLUMN()))</formula>
    </cfRule>
  </conditionalFormatting>
  <conditionalFormatting sqref="H854:J854 L854 O854 C854:E854">
    <cfRule type="cellIs" dxfId="452" priority="3322" stopIfTrue="1" operator="notEqual">
      <formula>INDIRECT("Dummy_for_Comparison4!"&amp;ADDRESS(ROW(),COLUMN()))</formula>
    </cfRule>
  </conditionalFormatting>
  <conditionalFormatting sqref="H855:J855 L855 O855 C855:E855">
    <cfRule type="cellIs" dxfId="451" priority="3316" stopIfTrue="1" operator="notEqual">
      <formula>INDIRECT("Dummy_for_Comparison4!"&amp;ADDRESS(ROW(),COLUMN()))</formula>
    </cfRule>
  </conditionalFormatting>
  <conditionalFormatting sqref="H856:J856 L856 O856 C856:F856">
    <cfRule type="cellIs" dxfId="450" priority="3313" stopIfTrue="1" operator="notEqual">
      <formula>INDIRECT("Dummy_for_Comparison4!"&amp;ADDRESS(ROW(),COLUMN()))</formula>
    </cfRule>
  </conditionalFormatting>
  <conditionalFormatting sqref="H857:J857 L857 O857 C857:E857">
    <cfRule type="cellIs" dxfId="449" priority="3310" stopIfTrue="1" operator="notEqual">
      <formula>INDIRECT("Dummy_for_Comparison4!"&amp;ADDRESS(ROW(),COLUMN()))</formula>
    </cfRule>
  </conditionalFormatting>
  <conditionalFormatting sqref="H858:J858 L858 O858 C858:E858">
    <cfRule type="cellIs" dxfId="448" priority="3307" stopIfTrue="1" operator="notEqual">
      <formula>INDIRECT("Dummy_for_Comparison4!"&amp;ADDRESS(ROW(),COLUMN()))</formula>
    </cfRule>
  </conditionalFormatting>
  <conditionalFormatting sqref="H859:J859 L859 O859 C859:E859">
    <cfRule type="cellIs" dxfId="447" priority="3304" stopIfTrue="1" operator="notEqual">
      <formula>INDIRECT("Dummy_for_Comparison4!"&amp;ADDRESS(ROW(),COLUMN()))</formula>
    </cfRule>
  </conditionalFormatting>
  <conditionalFormatting sqref="H860:J860 L860 O860 C860:F860">
    <cfRule type="cellIs" dxfId="446" priority="3301" stopIfTrue="1" operator="notEqual">
      <formula>INDIRECT("Dummy_for_Comparison4!"&amp;ADDRESS(ROW(),COLUMN()))</formula>
    </cfRule>
  </conditionalFormatting>
  <conditionalFormatting sqref="H861:J861 L861 O861 C861:F861">
    <cfRule type="cellIs" dxfId="445" priority="3268" stopIfTrue="1" operator="notEqual">
      <formula>INDIRECT("Dummy_for_Comparison4!"&amp;ADDRESS(ROW(),COLUMN()))</formula>
    </cfRule>
  </conditionalFormatting>
  <conditionalFormatting sqref="C862:F862 L862:O862 H862:J862">
    <cfRule type="cellIs" dxfId="444" priority="2880" stopIfTrue="1" operator="notEqual">
      <formula>INDIRECT("Dummy_for_Comparison4!"&amp;ADDRESS(ROW(),COLUMN()))</formula>
    </cfRule>
  </conditionalFormatting>
  <conditionalFormatting sqref="C863:F863 L863:O863 H863:J863">
    <cfRule type="cellIs" dxfId="443" priority="2879" stopIfTrue="1" operator="notEqual">
      <formula>INDIRECT("Dummy_for_Comparison4!"&amp;ADDRESS(ROW(),COLUMN()))</formula>
    </cfRule>
  </conditionalFormatting>
  <conditionalFormatting sqref="C864:F864 L864:O864 H864:J864">
    <cfRule type="cellIs" dxfId="442" priority="2878" stopIfTrue="1" operator="notEqual">
      <formula>INDIRECT("Dummy_for_Comparison4!"&amp;ADDRESS(ROW(),COLUMN()))</formula>
    </cfRule>
  </conditionalFormatting>
  <conditionalFormatting sqref="C865:F865 L865:O865 H865:J865">
    <cfRule type="cellIs" dxfId="441" priority="2877" stopIfTrue="1" operator="notEqual">
      <formula>INDIRECT("Dummy_for_Comparison4!"&amp;ADDRESS(ROW(),COLUMN()))</formula>
    </cfRule>
  </conditionalFormatting>
  <conditionalFormatting sqref="C866:F866 L866:O866 H866:J866">
    <cfRule type="cellIs" dxfId="440" priority="2876" stopIfTrue="1" operator="notEqual">
      <formula>INDIRECT("Dummy_for_Comparison4!"&amp;ADDRESS(ROW(),COLUMN()))</formula>
    </cfRule>
  </conditionalFormatting>
  <conditionalFormatting sqref="C867:F867 L867:O867 H867:J867">
    <cfRule type="cellIs" dxfId="439" priority="2875" stopIfTrue="1" operator="notEqual">
      <formula>INDIRECT("Dummy_for_Comparison4!"&amp;ADDRESS(ROW(),COLUMN()))</formula>
    </cfRule>
  </conditionalFormatting>
  <conditionalFormatting sqref="C868:F868 L868:O868 H868:J868">
    <cfRule type="cellIs" dxfId="438" priority="2874" stopIfTrue="1" operator="notEqual">
      <formula>INDIRECT("Dummy_for_Comparison4!"&amp;ADDRESS(ROW(),COLUMN()))</formula>
    </cfRule>
  </conditionalFormatting>
  <conditionalFormatting sqref="C869:F869 L869:O869 H869:J869 N870:N872">
    <cfRule type="cellIs" dxfId="437" priority="2873" stopIfTrue="1" operator="notEqual">
      <formula>INDIRECT("Dummy_for_Comparison4!"&amp;ADDRESS(ROW(),COLUMN()))</formula>
    </cfRule>
  </conditionalFormatting>
  <conditionalFormatting sqref="C870:F870 L870:M870 H870:J870 O870">
    <cfRule type="cellIs" dxfId="436" priority="2872" stopIfTrue="1" operator="notEqual">
      <formula>INDIRECT("Dummy_for_Comparison4!"&amp;ADDRESS(ROW(),COLUMN()))</formula>
    </cfRule>
  </conditionalFormatting>
  <conditionalFormatting sqref="C871:F871 L871:M871 H871:J871 O871">
    <cfRule type="cellIs" dxfId="435" priority="2871" stopIfTrue="1" operator="notEqual">
      <formula>INDIRECT("Dummy_for_Comparison4!"&amp;ADDRESS(ROW(),COLUMN()))</formula>
    </cfRule>
  </conditionalFormatting>
  <conditionalFormatting sqref="C872:F872 L872:M872 H872:J872 O872">
    <cfRule type="cellIs" dxfId="434" priority="2870" stopIfTrue="1" operator="notEqual">
      <formula>INDIRECT("Dummy_for_Comparison4!"&amp;ADDRESS(ROW(),COLUMN()))</formula>
    </cfRule>
  </conditionalFormatting>
  <conditionalFormatting sqref="C873:F873 L873:O873 H873:J873">
    <cfRule type="cellIs" dxfId="433" priority="2869" stopIfTrue="1" operator="notEqual">
      <formula>INDIRECT("Dummy_for_Comparison4!"&amp;ADDRESS(ROW(),COLUMN()))</formula>
    </cfRule>
  </conditionalFormatting>
  <conditionalFormatting sqref="C874:F874 L874:O874 H874:J874">
    <cfRule type="cellIs" dxfId="432" priority="2868" stopIfTrue="1" operator="notEqual">
      <formula>INDIRECT("Dummy_for_Comparison4!"&amp;ADDRESS(ROW(),COLUMN()))</formula>
    </cfRule>
  </conditionalFormatting>
  <conditionalFormatting sqref="C875:F875 L875:O875 H875:J875">
    <cfRule type="cellIs" dxfId="431" priority="2867" stopIfTrue="1" operator="notEqual">
      <formula>INDIRECT("Dummy_for_Comparison4!"&amp;ADDRESS(ROW(),COLUMN()))</formula>
    </cfRule>
  </conditionalFormatting>
  <conditionalFormatting sqref="C876:F876 L876:O876 H876:J876">
    <cfRule type="cellIs" dxfId="430" priority="2866" stopIfTrue="1" operator="notEqual">
      <formula>INDIRECT("Dummy_for_Comparison4!"&amp;ADDRESS(ROW(),COLUMN()))</formula>
    </cfRule>
  </conditionalFormatting>
  <conditionalFormatting sqref="H877:J877 D877 F877 L877:N877">
    <cfRule type="cellIs" dxfId="429" priority="625" stopIfTrue="1" operator="notEqual">
      <formula>INDIRECT("Dummy_for_Comparison4!"&amp;ADDRESS(ROW(),COLUMN()))</formula>
    </cfRule>
  </conditionalFormatting>
  <conditionalFormatting sqref="H878:J878 D878 F878 L878:N878">
    <cfRule type="cellIs" dxfId="428" priority="619" stopIfTrue="1" operator="notEqual">
      <formula>INDIRECT("Dummy_for_Comparison4!"&amp;ADDRESS(ROW(),COLUMN()))</formula>
    </cfRule>
  </conditionalFormatting>
  <conditionalFormatting sqref="H879:J879 D879 F879 L879:N879">
    <cfRule type="cellIs" dxfId="427" priority="613" stopIfTrue="1" operator="notEqual">
      <formula>INDIRECT("Dummy_for_Comparison4!"&amp;ADDRESS(ROW(),COLUMN()))</formula>
    </cfRule>
  </conditionalFormatting>
  <conditionalFormatting sqref="H880:J880 D880 F880 L880:N880">
    <cfRule type="cellIs" dxfId="426" priority="607" stopIfTrue="1" operator="notEqual">
      <formula>INDIRECT("Dummy_for_Comparison4!"&amp;ADDRESS(ROW(),COLUMN()))</formula>
    </cfRule>
  </conditionalFormatting>
  <conditionalFormatting sqref="H881:J881 D881 F881 L881:N881">
    <cfRule type="cellIs" dxfId="425" priority="601" stopIfTrue="1" operator="notEqual">
      <formula>INDIRECT("Dummy_for_Comparison4!"&amp;ADDRESS(ROW(),COLUMN()))</formula>
    </cfRule>
  </conditionalFormatting>
  <conditionalFormatting sqref="H882:J882 D882 F882 L882:N882">
    <cfRule type="cellIs" dxfId="424" priority="595" stopIfTrue="1" operator="notEqual">
      <formula>INDIRECT("Dummy_for_Comparison4!"&amp;ADDRESS(ROW(),COLUMN()))</formula>
    </cfRule>
  </conditionalFormatting>
  <conditionalFormatting sqref="H883:J883 D883 F883 L883:N883">
    <cfRule type="cellIs" dxfId="423" priority="589" stopIfTrue="1" operator="notEqual">
      <formula>INDIRECT("Dummy_for_Comparison4!"&amp;ADDRESS(ROW(),COLUMN()))</formula>
    </cfRule>
  </conditionalFormatting>
  <conditionalFormatting sqref="H884:J884 D884 F884 L884:N884">
    <cfRule type="cellIs" dxfId="422" priority="583" stopIfTrue="1" operator="notEqual">
      <formula>INDIRECT("Dummy_for_Comparison4!"&amp;ADDRESS(ROW(),COLUMN()))</formula>
    </cfRule>
  </conditionalFormatting>
  <conditionalFormatting sqref="C885:F885 L885:O885 H885:J885">
    <cfRule type="cellIs" dxfId="421" priority="2865" stopIfTrue="1" operator="notEqual">
      <formula>INDIRECT("Dummy_for_Comparison4!"&amp;ADDRESS(ROW(),COLUMN()))</formula>
    </cfRule>
  </conditionalFormatting>
  <conditionalFormatting sqref="C886:F886 L886:O886 H886:J886">
    <cfRule type="cellIs" dxfId="420" priority="2864" stopIfTrue="1" operator="notEqual">
      <formula>INDIRECT("Dummy_for_Comparison4!"&amp;ADDRESS(ROW(),COLUMN()))</formula>
    </cfRule>
  </conditionalFormatting>
  <conditionalFormatting sqref="C887:F887 L887:O887 H887:J887">
    <cfRule type="cellIs" dxfId="419" priority="2863" stopIfTrue="1" operator="notEqual">
      <formula>INDIRECT("Dummy_for_Comparison4!"&amp;ADDRESS(ROW(),COLUMN()))</formula>
    </cfRule>
  </conditionalFormatting>
  <conditionalFormatting sqref="C888:F888 L888:O888 H888:J888">
    <cfRule type="cellIs" dxfId="418" priority="2862" stopIfTrue="1" operator="notEqual">
      <formula>INDIRECT("Dummy_for_Comparison4!"&amp;ADDRESS(ROW(),COLUMN()))</formula>
    </cfRule>
  </conditionalFormatting>
  <conditionalFormatting sqref="C889:F889 L889:O889 H889:J889">
    <cfRule type="cellIs" dxfId="417" priority="2861" stopIfTrue="1" operator="notEqual">
      <formula>INDIRECT("Dummy_for_Comparison4!"&amp;ADDRESS(ROW(),COLUMN()))</formula>
    </cfRule>
  </conditionalFormatting>
  <conditionalFormatting sqref="C890:F890 L890:O890 H890:J890">
    <cfRule type="cellIs" dxfId="416" priority="2860" stopIfTrue="1" operator="notEqual">
      <formula>INDIRECT("Dummy_for_Comparison4!"&amp;ADDRESS(ROW(),COLUMN()))</formula>
    </cfRule>
  </conditionalFormatting>
  <conditionalFormatting sqref="C891:F891 L891:O891 H891:J891">
    <cfRule type="cellIs" dxfId="415" priority="2859" stopIfTrue="1" operator="notEqual">
      <formula>INDIRECT("Dummy_for_Comparison4!"&amp;ADDRESS(ROW(),COLUMN()))</formula>
    </cfRule>
  </conditionalFormatting>
  <conditionalFormatting sqref="C892:F892 L892:O892 H892:J892">
    <cfRule type="cellIs" dxfId="414" priority="2858" stopIfTrue="1" operator="notEqual">
      <formula>INDIRECT("Dummy_for_Comparison4!"&amp;ADDRESS(ROW(),COLUMN()))</formula>
    </cfRule>
  </conditionalFormatting>
  <conditionalFormatting sqref="C893:F893 L893:O893 H893:J893">
    <cfRule type="cellIs" dxfId="413" priority="2857" stopIfTrue="1" operator="notEqual">
      <formula>INDIRECT("Dummy_for_Comparison4!"&amp;ADDRESS(ROW(),COLUMN()))</formula>
    </cfRule>
  </conditionalFormatting>
  <conditionalFormatting sqref="C894:F894 L894:O894 H894:J894">
    <cfRule type="cellIs" dxfId="412" priority="2856" stopIfTrue="1" operator="notEqual">
      <formula>INDIRECT("Dummy_for_Comparison4!"&amp;ADDRESS(ROW(),COLUMN()))</formula>
    </cfRule>
  </conditionalFormatting>
  <conditionalFormatting sqref="C895:F895 L895:O895 H895:J895">
    <cfRule type="cellIs" dxfId="411" priority="2855" stopIfTrue="1" operator="notEqual">
      <formula>INDIRECT("Dummy_for_Comparison4!"&amp;ADDRESS(ROW(),COLUMN()))</formula>
    </cfRule>
  </conditionalFormatting>
  <conditionalFormatting sqref="C896:F896 L896:O896 H896:J896">
    <cfRule type="cellIs" dxfId="410" priority="2854" stopIfTrue="1" operator="notEqual">
      <formula>INDIRECT("Dummy_for_Comparison4!"&amp;ADDRESS(ROW(),COLUMN()))</formula>
    </cfRule>
  </conditionalFormatting>
  <conditionalFormatting sqref="C897:F898 C923:D923 H923:J923 L923 H897:J898 L897:O898">
    <cfRule type="cellIs" dxfId="409" priority="1652" stopIfTrue="1" operator="notEqual">
      <formula>INDIRECT("Dummy_for_Comparison4!"&amp;ADDRESS(ROW(),COLUMN()))</formula>
    </cfRule>
  </conditionalFormatting>
  <conditionalFormatting sqref="G897:G898 G923">
    <cfRule type="cellIs" dxfId="408" priority="1649" stopIfTrue="1" operator="notEqual">
      <formula>INDIRECT("Dummy_for_Comparison4!"&amp;ADDRESS(ROW(),COLUMN()))</formula>
    </cfRule>
  </conditionalFormatting>
  <conditionalFormatting sqref="K897:K898 K923">
    <cfRule type="cellIs" dxfId="407" priority="1317" stopIfTrue="1" operator="notEqual">
      <formula>INDIRECT("Dummy_for_Comparison4!"&amp;ADDRESS(ROW(),COLUMN()))</formula>
    </cfRule>
  </conditionalFormatting>
  <conditionalFormatting sqref="C899:F899 L899:O899 H899:J899">
    <cfRule type="cellIs" dxfId="406" priority="1651" stopIfTrue="1" operator="notEqual">
      <formula>INDIRECT("Dummy_for_Comparison4!"&amp;ADDRESS(ROW(),COLUMN()))</formula>
    </cfRule>
  </conditionalFormatting>
  <conditionalFormatting sqref="C900:F900 L900:O900 H900:J900">
    <cfRule type="cellIs" dxfId="405" priority="1599" stopIfTrue="1" operator="notEqual">
      <formula>INDIRECT("Dummy_for_Comparison4!"&amp;ADDRESS(ROW(),COLUMN()))</formula>
    </cfRule>
  </conditionalFormatting>
  <conditionalFormatting sqref="C901:D901 O901:O903 C902:C904 H901:J903">
    <cfRule type="cellIs" dxfId="404" priority="1608" stopIfTrue="1" operator="notEqual">
      <formula>INDIRECT("Dummy_for_Comparison4!"&amp;ADDRESS(ROW(),COLUMN()))</formula>
    </cfRule>
  </conditionalFormatting>
  <conditionalFormatting sqref="E901:G908">
    <cfRule type="cellIs" dxfId="403" priority="1601" stopIfTrue="1" operator="notEqual">
      <formula>INDIRECT("Dummy_for_Comparison4!"&amp;ADDRESS(ROW(),COLUMN()))</formula>
    </cfRule>
  </conditionalFormatting>
  <conditionalFormatting sqref="H904:J908 O904">
    <cfRule type="cellIs" dxfId="402" priority="1605" stopIfTrue="1" operator="notEqual">
      <formula>INDIRECT("Dummy_for_Comparison4!"&amp;ADDRESS(ROW(),COLUMN()))</formula>
    </cfRule>
  </conditionalFormatting>
  <conditionalFormatting sqref="C909:E909 O909:O911">
    <cfRule type="cellIs" dxfId="401" priority="1619" stopIfTrue="1" operator="notEqual">
      <formula>INDIRECT("Dummy_for_Comparison4!"&amp;ADDRESS(ROW(),COLUMN()))</formula>
    </cfRule>
  </conditionalFormatting>
  <conditionalFormatting sqref="H909:J911 F909:F912 L909:L912">
    <cfRule type="cellIs" dxfId="400" priority="1614" stopIfTrue="1" operator="notEqual">
      <formula>INDIRECT("Dummy_for_Comparison4!"&amp;ADDRESS(ROW(),COLUMN()))</formula>
    </cfRule>
  </conditionalFormatting>
  <conditionalFormatting sqref="C913:F916">
    <cfRule type="cellIs" dxfId="399" priority="1632" stopIfTrue="1" operator="notEqual">
      <formula>INDIRECT("Dummy_for_Comparison4!"&amp;ADDRESS(ROW(),COLUMN()))</formula>
    </cfRule>
  </conditionalFormatting>
  <conditionalFormatting sqref="L921 H913:J915 L913">
    <cfRule type="cellIs" dxfId="398" priority="1640" stopIfTrue="1" operator="notEqual">
      <formula>INDIRECT("Dummy_for_Comparison4!"&amp;ADDRESS(ROW(),COLUMN()))</formula>
    </cfRule>
  </conditionalFormatting>
  <conditionalFormatting sqref="K921 K913">
    <cfRule type="cellIs" dxfId="397" priority="1313" stopIfTrue="1" operator="notEqual">
      <formula>INDIRECT("Dummy_for_Comparison4!"&amp;ADDRESS(ROW(),COLUMN()))</formula>
    </cfRule>
  </conditionalFormatting>
  <conditionalFormatting sqref="L914:L920 C922 C917:C920 E922:F922 E917:F920 L922">
    <cfRule type="cellIs" dxfId="396" priority="1641" stopIfTrue="1" operator="notEqual">
      <formula>INDIRECT("Dummy_for_Comparison4!"&amp;ADDRESS(ROW(),COLUMN()))</formula>
    </cfRule>
  </conditionalFormatting>
  <conditionalFormatting sqref="K914:K920 K922">
    <cfRule type="cellIs" dxfId="395" priority="1314" stopIfTrue="1" operator="notEqual">
      <formula>INDIRECT("Dummy_for_Comparison4!"&amp;ADDRESS(ROW(),COLUMN()))</formula>
    </cfRule>
  </conditionalFormatting>
  <conditionalFormatting sqref="H916:J916 E921">
    <cfRule type="cellIs" dxfId="394" priority="1639" stopIfTrue="1" operator="notEqual">
      <formula>INDIRECT("Dummy_for_Comparison4!"&amp;ADDRESS(ROW(),COLUMN()))</formula>
    </cfRule>
  </conditionalFormatting>
  <conditionalFormatting sqref="C924:D925 H924:J925 L924:L925">
    <cfRule type="cellIs" dxfId="393" priority="1650" stopIfTrue="1" operator="notEqual">
      <formula>INDIRECT("Dummy_for_Comparison4!"&amp;ADDRESS(ROW(),COLUMN()))</formula>
    </cfRule>
  </conditionalFormatting>
  <conditionalFormatting sqref="C926:D926 H926:J926 L926">
    <cfRule type="cellIs" dxfId="392" priority="1581" stopIfTrue="1" operator="notEqual">
      <formula>INDIRECT("Dummy_for_Comparison4!"&amp;ADDRESS(ROW(),COLUMN()))</formula>
    </cfRule>
  </conditionalFormatting>
  <conditionalFormatting sqref="C927:D927 H927:J927 L927">
    <cfRule type="cellIs" dxfId="391" priority="1580" stopIfTrue="1" operator="notEqual">
      <formula>INDIRECT("Dummy_for_Comparison4!"&amp;ADDRESS(ROW(),COLUMN()))</formula>
    </cfRule>
  </conditionalFormatting>
  <conditionalFormatting sqref="H928:J928 D928 L928">
    <cfRule type="cellIs" dxfId="390" priority="1568" stopIfTrue="1" operator="notEqual">
      <formula>INDIRECT("Dummy_for_Comparison4!"&amp;ADDRESS(ROW(),COLUMN()))</formula>
    </cfRule>
  </conditionalFormatting>
  <conditionalFormatting sqref="H929:J929 C929:D929 L929">
    <cfRule type="cellIs" dxfId="389" priority="1630" stopIfTrue="1" operator="notEqual">
      <formula>INDIRECT("Dummy_for_Comparison4!"&amp;ADDRESS(ROW(),COLUMN()))</formula>
    </cfRule>
  </conditionalFormatting>
  <conditionalFormatting sqref="D930 H930:J931 L930:L931">
    <cfRule type="cellIs" dxfId="388" priority="1590" stopIfTrue="1" operator="notEqual">
      <formula>INDIRECT("Dummy_for_Comparison4!"&amp;ADDRESS(ROW(),COLUMN()))</formula>
    </cfRule>
  </conditionalFormatting>
  <conditionalFormatting sqref="C932:D933 H932:J933 L932:L933">
    <cfRule type="cellIs" dxfId="387" priority="1595" stopIfTrue="1" operator="notEqual">
      <formula>INDIRECT("Dummy_for_Comparison4!"&amp;ADDRESS(ROW(),COLUMN()))</formula>
    </cfRule>
  </conditionalFormatting>
  <conditionalFormatting sqref="C934:D934 H934:J934 L934">
    <cfRule type="cellIs" dxfId="386" priority="563" stopIfTrue="1" operator="notEqual">
      <formula>INDIRECT("Dummy_for_Comparison4!"&amp;ADDRESS(ROW(),COLUMN()))</formula>
    </cfRule>
  </conditionalFormatting>
  <conditionalFormatting sqref="C935:D935 H935:J935 L935">
    <cfRule type="cellIs" dxfId="385" priority="562" stopIfTrue="1" operator="notEqual">
      <formula>INDIRECT("Dummy_for_Comparison4!"&amp;ADDRESS(ROW(),COLUMN()))</formula>
    </cfRule>
  </conditionalFormatting>
  <conditionalFormatting sqref="C936:D936 H936:J936 L936">
    <cfRule type="cellIs" dxfId="384" priority="561" stopIfTrue="1" operator="notEqual">
      <formula>INDIRECT("Dummy_for_Comparison4!"&amp;ADDRESS(ROW(),COLUMN()))</formula>
    </cfRule>
  </conditionalFormatting>
  <conditionalFormatting sqref="C937:D937 H937:J937 L937:N937">
    <cfRule type="cellIs" dxfId="383" priority="2255" stopIfTrue="1" operator="notEqual">
      <formula>INDIRECT("Dummy_for_Comparison4!"&amp;ADDRESS(ROW(),COLUMN()))</formula>
    </cfRule>
  </conditionalFormatting>
  <conditionalFormatting sqref="C938:D938 H938:J938 L938:N938">
    <cfRule type="cellIs" dxfId="382" priority="1150" stopIfTrue="1" operator="notEqual">
      <formula>INDIRECT("Dummy_for_Comparison4!"&amp;ADDRESS(ROW(),COLUMN()))</formula>
    </cfRule>
  </conditionalFormatting>
  <conditionalFormatting sqref="C939:D939 H939:J939 L939:N939">
    <cfRule type="cellIs" dxfId="381" priority="1149" stopIfTrue="1" operator="notEqual">
      <formula>INDIRECT("Dummy_for_Comparison4!"&amp;ADDRESS(ROW(),COLUMN()))</formula>
    </cfRule>
  </conditionalFormatting>
  <conditionalFormatting sqref="C940:D940 H940:J940 L940:N940">
    <cfRule type="cellIs" dxfId="380" priority="1148" stopIfTrue="1" operator="notEqual">
      <formula>INDIRECT("Dummy_for_Comparison4!"&amp;ADDRESS(ROW(),COLUMN()))</formula>
    </cfRule>
  </conditionalFormatting>
  <conditionalFormatting sqref="C941:D941 H941:J941 L941:N941">
    <cfRule type="cellIs" dxfId="379" priority="1147" stopIfTrue="1" operator="notEqual">
      <formula>INDIRECT("Dummy_for_Comparison4!"&amp;ADDRESS(ROW(),COLUMN()))</formula>
    </cfRule>
  </conditionalFormatting>
  <conditionalFormatting sqref="C942:D942 H942:J942 L942:N942">
    <cfRule type="cellIs" dxfId="378" priority="1146" stopIfTrue="1" operator="notEqual">
      <formula>INDIRECT("Dummy_for_Comparison4!"&amp;ADDRESS(ROW(),COLUMN()))</formula>
    </cfRule>
  </conditionalFormatting>
  <conditionalFormatting sqref="C943:D943 H943:J943 L943:N943">
    <cfRule type="cellIs" dxfId="377" priority="1145" stopIfTrue="1" operator="notEqual">
      <formula>INDIRECT("Dummy_for_Comparison4!"&amp;ADDRESS(ROW(),COLUMN()))</formula>
    </cfRule>
  </conditionalFormatting>
  <conditionalFormatting sqref="C944:D944 H944:J944 L944:N944">
    <cfRule type="cellIs" dxfId="376" priority="1144" stopIfTrue="1" operator="notEqual">
      <formula>INDIRECT("Dummy_for_Comparison4!"&amp;ADDRESS(ROW(),COLUMN()))</formula>
    </cfRule>
  </conditionalFormatting>
  <conditionalFormatting sqref="C945:D945 H945:J945 L945:N945">
    <cfRule type="cellIs" dxfId="375" priority="1143" stopIfTrue="1" operator="notEqual">
      <formula>INDIRECT("Dummy_for_Comparison4!"&amp;ADDRESS(ROW(),COLUMN()))</formula>
    </cfRule>
  </conditionalFormatting>
  <conditionalFormatting sqref="C946:D946 H946:J946 L946:N946">
    <cfRule type="cellIs" dxfId="374" priority="1142" stopIfTrue="1" operator="notEqual">
      <formula>INDIRECT("Dummy_for_Comparison4!"&amp;ADDRESS(ROW(),COLUMN()))</formula>
    </cfRule>
  </conditionalFormatting>
  <conditionalFormatting sqref="C947:D947 H947:J947 L947:N947">
    <cfRule type="cellIs" dxfId="373" priority="1141" stopIfTrue="1" operator="notEqual">
      <formula>INDIRECT("Dummy_for_Comparison4!"&amp;ADDRESS(ROW(),COLUMN()))</formula>
    </cfRule>
  </conditionalFormatting>
  <conditionalFormatting sqref="C948:D948 H948:J948 L948:N948">
    <cfRule type="cellIs" dxfId="372" priority="1140" stopIfTrue="1" operator="notEqual">
      <formula>INDIRECT("Dummy_for_Comparison4!"&amp;ADDRESS(ROW(),COLUMN()))</formula>
    </cfRule>
  </conditionalFormatting>
  <conditionalFormatting sqref="C949:D949 H949:J949 L949:N949">
    <cfRule type="cellIs" dxfId="371" priority="1139" stopIfTrue="1" operator="notEqual">
      <formula>INDIRECT("Dummy_for_Comparison4!"&amp;ADDRESS(ROW(),COLUMN()))</formula>
    </cfRule>
  </conditionalFormatting>
  <conditionalFormatting sqref="C950:D950 H950:J950 L950:N950">
    <cfRule type="cellIs" dxfId="370" priority="1138" stopIfTrue="1" operator="notEqual">
      <formula>INDIRECT("Dummy_for_Comparison4!"&amp;ADDRESS(ROW(),COLUMN()))</formula>
    </cfRule>
  </conditionalFormatting>
  <conditionalFormatting sqref="C951:D951 H951:J951 L951:N951">
    <cfRule type="cellIs" dxfId="369" priority="1137" stopIfTrue="1" operator="notEqual">
      <formula>INDIRECT("Dummy_for_Comparison4!"&amp;ADDRESS(ROW(),COLUMN()))</formula>
    </cfRule>
  </conditionalFormatting>
  <conditionalFormatting sqref="C952:D952 H952:J952 L952:N952">
    <cfRule type="cellIs" dxfId="368" priority="1136" stopIfTrue="1" operator="notEqual">
      <formula>INDIRECT("Dummy_for_Comparison4!"&amp;ADDRESS(ROW(),COLUMN()))</formula>
    </cfRule>
  </conditionalFormatting>
  <conditionalFormatting sqref="C953:D953 H953:J953 L953:N953">
    <cfRule type="cellIs" dxfId="367" priority="1135" stopIfTrue="1" operator="notEqual">
      <formula>INDIRECT("Dummy_for_Comparison4!"&amp;ADDRESS(ROW(),COLUMN()))</formula>
    </cfRule>
  </conditionalFormatting>
  <conditionalFormatting sqref="C954:D954 H954:J954 L954:N954">
    <cfRule type="cellIs" dxfId="366" priority="1134" stopIfTrue="1" operator="notEqual">
      <formula>INDIRECT("Dummy_for_Comparison4!"&amp;ADDRESS(ROW(),COLUMN()))</formula>
    </cfRule>
  </conditionalFormatting>
  <conditionalFormatting sqref="C955:D955 H955:J955 L955:N955">
    <cfRule type="cellIs" dxfId="365" priority="1133" stopIfTrue="1" operator="notEqual">
      <formula>INDIRECT("Dummy_for_Comparison4!"&amp;ADDRESS(ROW(),COLUMN()))</formula>
    </cfRule>
  </conditionalFormatting>
  <conditionalFormatting sqref="C956:D956 H956:J956 L956:N956">
    <cfRule type="cellIs" dxfId="364" priority="1132" stopIfTrue="1" operator="notEqual">
      <formula>INDIRECT("Dummy_for_Comparison4!"&amp;ADDRESS(ROW(),COLUMN()))</formula>
    </cfRule>
  </conditionalFormatting>
  <conditionalFormatting sqref="C957:D957 H957:J957 L957:N957">
    <cfRule type="cellIs" dxfId="363" priority="1131" stopIfTrue="1" operator="notEqual">
      <formula>INDIRECT("Dummy_for_Comparison4!"&amp;ADDRESS(ROW(),COLUMN()))</formula>
    </cfRule>
  </conditionalFormatting>
  <conditionalFormatting sqref="C958:D958 H958:J958 L958:N958">
    <cfRule type="cellIs" dxfId="362" priority="1129" stopIfTrue="1" operator="notEqual">
      <formula>INDIRECT("Dummy_for_Comparison4!"&amp;ADDRESS(ROW(),COLUMN()))</formula>
    </cfRule>
  </conditionalFormatting>
  <conditionalFormatting sqref="C959:D959 H959:J959 L959:N959">
    <cfRule type="cellIs" dxfId="361" priority="1128" stopIfTrue="1" operator="notEqual">
      <formula>INDIRECT("Dummy_for_Comparison4!"&amp;ADDRESS(ROW(),COLUMN()))</formula>
    </cfRule>
  </conditionalFormatting>
  <conditionalFormatting sqref="C960:D960 H960:J960 L960:N960">
    <cfRule type="cellIs" dxfId="360" priority="1127" stopIfTrue="1" operator="notEqual">
      <formula>INDIRECT("Dummy_for_Comparison4!"&amp;ADDRESS(ROW(),COLUMN()))</formula>
    </cfRule>
  </conditionalFormatting>
  <conditionalFormatting sqref="C961:D961 H961:J961 L961:N961">
    <cfRule type="cellIs" dxfId="359" priority="1126" stopIfTrue="1" operator="notEqual">
      <formula>INDIRECT("Dummy_for_Comparison4!"&amp;ADDRESS(ROW(),COLUMN()))</formula>
    </cfRule>
  </conditionalFormatting>
  <conditionalFormatting sqref="C962:D962 H962:J962 L962:N962">
    <cfRule type="cellIs" dxfId="358" priority="1125" stopIfTrue="1" operator="notEqual">
      <formula>INDIRECT("Dummy_for_Comparison4!"&amp;ADDRESS(ROW(),COLUMN()))</formula>
    </cfRule>
  </conditionalFormatting>
  <conditionalFormatting sqref="C963:D963 H963:J963 L963:M963">
    <cfRule type="cellIs" dxfId="357" priority="1124" stopIfTrue="1" operator="notEqual">
      <formula>INDIRECT("Dummy_for_Comparison4!"&amp;ADDRESS(ROW(),COLUMN()))</formula>
    </cfRule>
  </conditionalFormatting>
  <conditionalFormatting sqref="C964:D964 H964:J964 L964:M964">
    <cfRule type="cellIs" dxfId="356" priority="1123" stopIfTrue="1" operator="notEqual">
      <formula>INDIRECT("Dummy_for_Comparison4!"&amp;ADDRESS(ROW(),COLUMN()))</formula>
    </cfRule>
  </conditionalFormatting>
  <conditionalFormatting sqref="C965:D965 H965:J965 L965:M965">
    <cfRule type="cellIs" dxfId="355" priority="1122" stopIfTrue="1" operator="notEqual">
      <formula>INDIRECT("Dummy_for_Comparison4!"&amp;ADDRESS(ROW(),COLUMN()))</formula>
    </cfRule>
  </conditionalFormatting>
  <conditionalFormatting sqref="C966:D969 D976 C973:D975 H973:J976 H966:J969 L966:N969 L973:N976">
    <cfRule type="cellIs" dxfId="354" priority="2300" stopIfTrue="1" operator="notEqual">
      <formula>INDIRECT("Dummy_for_Comparison4!"&amp;ADDRESS(ROW(),COLUMN()))</formula>
    </cfRule>
  </conditionalFormatting>
  <conditionalFormatting sqref="E966:E969 E973:E976">
    <cfRule type="cellIs" dxfId="353" priority="2298" stopIfTrue="1" operator="notEqual">
      <formula>INDIRECT("Dummy_for_Comparison4!"&amp;ADDRESS(ROW(),COLUMN()))</formula>
    </cfRule>
  </conditionalFormatting>
  <conditionalFormatting sqref="F966:F969 F973:F976">
    <cfRule type="cellIs" dxfId="352" priority="2297" stopIfTrue="1" operator="notEqual">
      <formula>INDIRECT("Dummy_for_Comparison4!"&amp;ADDRESS(ROW(),COLUMN()))</formula>
    </cfRule>
  </conditionalFormatting>
  <conditionalFormatting sqref="G966:G969 G973:G976">
    <cfRule type="cellIs" dxfId="351" priority="2299" stopIfTrue="1" operator="notEqual">
      <formula>INDIRECT("Dummy_for_Comparison4!"&amp;ADDRESS(ROW(),COLUMN()))</formula>
    </cfRule>
  </conditionalFormatting>
  <conditionalFormatting sqref="K966:K969 K973:K976">
    <cfRule type="cellIs" dxfId="350" priority="1387" stopIfTrue="1" operator="notEqual">
      <formula>INDIRECT("Dummy_for_Comparison4!"&amp;ADDRESS(ROW(),COLUMN()))</formula>
    </cfRule>
  </conditionalFormatting>
  <conditionalFormatting sqref="O966 O973:O975">
    <cfRule type="cellIs" dxfId="349" priority="2296" stopIfTrue="1" operator="notEqual">
      <formula>INDIRECT("Dummy_for_Comparison4!"&amp;ADDRESS(ROW(),COLUMN()))</formula>
    </cfRule>
  </conditionalFormatting>
  <conditionalFormatting sqref="C970:D972 H970:J972 L970:N972">
    <cfRule type="cellIs" dxfId="348" priority="2295" stopIfTrue="1" operator="notEqual">
      <formula>INDIRECT("Dummy_for_Comparison4!"&amp;ADDRESS(ROW(),COLUMN()))</formula>
    </cfRule>
  </conditionalFormatting>
  <conditionalFormatting sqref="H977:J977 D977 L977:N977">
    <cfRule type="cellIs" dxfId="347" priority="2285" stopIfTrue="1" operator="notEqual">
      <formula>INDIRECT("Dummy_for_Comparison4!"&amp;ADDRESS(ROW(),COLUMN()))</formula>
    </cfRule>
  </conditionalFormatting>
  <conditionalFormatting sqref="H978:J978 D978 L978:N978">
    <cfRule type="cellIs" dxfId="346" priority="2280" stopIfTrue="1" operator="notEqual">
      <formula>INDIRECT("Dummy_for_Comparison4!"&amp;ADDRESS(ROW(),COLUMN()))</formula>
    </cfRule>
  </conditionalFormatting>
  <conditionalFormatting sqref="H979:J979 D979 L979:N979">
    <cfRule type="cellIs" dxfId="345" priority="2275" stopIfTrue="1" operator="notEqual">
      <formula>INDIRECT("Dummy_for_Comparison4!"&amp;ADDRESS(ROW(),COLUMN()))</formula>
    </cfRule>
  </conditionalFormatting>
  <conditionalFormatting sqref="C980:D987 H980:J987 L980:N987">
    <cfRule type="cellIs" dxfId="344" priority="2291" stopIfTrue="1" operator="notEqual">
      <formula>INDIRECT("Dummy_for_Comparison4!"&amp;ADDRESS(ROW(),COLUMN()))</formula>
    </cfRule>
  </conditionalFormatting>
  <conditionalFormatting sqref="C988:D991 H988:J991 L988:L991">
    <cfRule type="cellIs" dxfId="343" priority="2270" stopIfTrue="1" operator="notEqual">
      <formula>INDIRECT("Dummy_for_Comparison4!"&amp;ADDRESS(ROW(),COLUMN()))</formula>
    </cfRule>
  </conditionalFormatting>
  <conditionalFormatting sqref="C992:D998 H992:J998 L992:L998">
    <cfRule type="cellIs" dxfId="342" priority="2265" stopIfTrue="1" operator="notEqual">
      <formula>INDIRECT("Dummy_for_Comparison4!"&amp;ADDRESS(ROW(),COLUMN()))</formula>
    </cfRule>
  </conditionalFormatting>
  <conditionalFormatting sqref="C999:D1003 H999:J1003 L999:L1003">
    <cfRule type="cellIs" dxfId="341" priority="2260" stopIfTrue="1" operator="notEqual">
      <formula>INDIRECT("Dummy_for_Comparison4!"&amp;ADDRESS(ROW(),COLUMN()))</formula>
    </cfRule>
  </conditionalFormatting>
  <conditionalFormatting sqref="C1004:D1005 H1004:J1005 L1004:N1005">
    <cfRule type="cellIs" dxfId="340" priority="2147" stopIfTrue="1" operator="notEqual">
      <formula>INDIRECT("Dummy_for_Comparison4!"&amp;ADDRESS(ROW(),COLUMN()))</formula>
    </cfRule>
  </conditionalFormatting>
  <conditionalFormatting sqref="C1006:D1006 H1006:J1006 L1006:N1006">
    <cfRule type="cellIs" dxfId="339" priority="972" stopIfTrue="1" operator="notEqual">
      <formula>INDIRECT("Dummy_for_Comparison4!"&amp;ADDRESS(ROW(),COLUMN()))</formula>
    </cfRule>
  </conditionalFormatting>
  <conditionalFormatting sqref="C1007:D1007 H1007:J1007 L1007:N1007">
    <cfRule type="cellIs" dxfId="338" priority="971" stopIfTrue="1" operator="notEqual">
      <formula>INDIRECT("Dummy_for_Comparison4!"&amp;ADDRESS(ROW(),COLUMN()))</formula>
    </cfRule>
  </conditionalFormatting>
  <conditionalFormatting sqref="C1008:D1008 H1008:J1008 L1008:N1008">
    <cfRule type="cellIs" dxfId="337" priority="970" stopIfTrue="1" operator="notEqual">
      <formula>INDIRECT("Dummy_for_Comparison4!"&amp;ADDRESS(ROW(),COLUMN()))</formula>
    </cfRule>
  </conditionalFormatting>
  <conditionalFormatting sqref="C1009:D1009 H1009:J1009 L1009:N1009">
    <cfRule type="cellIs" dxfId="336" priority="969" stopIfTrue="1" operator="notEqual">
      <formula>INDIRECT("Dummy_for_Comparison4!"&amp;ADDRESS(ROW(),COLUMN()))</formula>
    </cfRule>
  </conditionalFormatting>
  <conditionalFormatting sqref="C1010:D1010 H1010:J1010 L1010:M1010">
    <cfRule type="cellIs" dxfId="335" priority="968" stopIfTrue="1" operator="notEqual">
      <formula>INDIRECT("Dummy_for_Comparison4!"&amp;ADDRESS(ROW(),COLUMN()))</formula>
    </cfRule>
  </conditionalFormatting>
  <conditionalFormatting sqref="C1011:D1011 H1011:J1011 L1011:M1011">
    <cfRule type="cellIs" dxfId="334" priority="967" stopIfTrue="1" operator="notEqual">
      <formula>INDIRECT("Dummy_for_Comparison4!"&amp;ADDRESS(ROW(),COLUMN()))</formula>
    </cfRule>
  </conditionalFormatting>
  <conditionalFormatting sqref="C1012:D1012 H1012:J1012 L1012:M1012">
    <cfRule type="cellIs" dxfId="333" priority="966" stopIfTrue="1" operator="notEqual">
      <formula>INDIRECT("Dummy_for_Comparison4!"&amp;ADDRESS(ROW(),COLUMN()))</formula>
    </cfRule>
  </conditionalFormatting>
  <conditionalFormatting sqref="C1013:D1013 H1013:J1013 L1013:M1013">
    <cfRule type="cellIs" dxfId="332" priority="965" stopIfTrue="1" operator="notEqual">
      <formula>INDIRECT("Dummy_for_Comparison4!"&amp;ADDRESS(ROW(),COLUMN()))</formula>
    </cfRule>
  </conditionalFormatting>
  <conditionalFormatting sqref="C1014:D1014 H1014:J1014 L1014:M1014">
    <cfRule type="cellIs" dxfId="331" priority="964" stopIfTrue="1" operator="notEqual">
      <formula>INDIRECT("Dummy_for_Comparison4!"&amp;ADDRESS(ROW(),COLUMN()))</formula>
    </cfRule>
  </conditionalFormatting>
  <conditionalFormatting sqref="C1015:D1015 H1015:J1015 L1015:N1015">
    <cfRule type="cellIs" dxfId="330" priority="963" stopIfTrue="1" operator="notEqual">
      <formula>INDIRECT("Dummy_for_Comparison4!"&amp;ADDRESS(ROW(),COLUMN()))</formula>
    </cfRule>
  </conditionalFormatting>
  <conditionalFormatting sqref="C1016:D1016 H1016:J1016 L1016:N1016">
    <cfRule type="cellIs" dxfId="329" priority="962" stopIfTrue="1" operator="notEqual">
      <formula>INDIRECT("Dummy_for_Comparison4!"&amp;ADDRESS(ROW(),COLUMN()))</formula>
    </cfRule>
  </conditionalFormatting>
  <conditionalFormatting sqref="C1017:D1017 H1017:J1017 L1017:N1017">
    <cfRule type="cellIs" dxfId="328" priority="961" stopIfTrue="1" operator="notEqual">
      <formula>INDIRECT("Dummy_for_Comparison4!"&amp;ADDRESS(ROW(),COLUMN()))</formula>
    </cfRule>
  </conditionalFormatting>
  <conditionalFormatting sqref="C1018:D1018 H1018:J1018 L1018:N1018">
    <cfRule type="cellIs" dxfId="327" priority="960" stopIfTrue="1" operator="notEqual">
      <formula>INDIRECT("Dummy_for_Comparison4!"&amp;ADDRESS(ROW(),COLUMN()))</formula>
    </cfRule>
  </conditionalFormatting>
  <conditionalFormatting sqref="C1019:D1019 H1019:J1019 L1019:N1019">
    <cfRule type="cellIs" dxfId="326" priority="959" stopIfTrue="1" operator="notEqual">
      <formula>INDIRECT("Dummy_for_Comparison4!"&amp;ADDRESS(ROW(),COLUMN()))</formula>
    </cfRule>
  </conditionalFormatting>
  <conditionalFormatting sqref="C1020:D1020 H1020:J1020 L1020:N1020">
    <cfRule type="cellIs" dxfId="325" priority="958" stopIfTrue="1" operator="notEqual">
      <formula>INDIRECT("Dummy_for_Comparison4!"&amp;ADDRESS(ROW(),COLUMN()))</formula>
    </cfRule>
  </conditionalFormatting>
  <conditionalFormatting sqref="C1021:D1021 H1021:J1021 L1021:N1021">
    <cfRule type="cellIs" dxfId="324" priority="957" stopIfTrue="1" operator="notEqual">
      <formula>INDIRECT("Dummy_for_Comparison4!"&amp;ADDRESS(ROW(),COLUMN()))</formula>
    </cfRule>
  </conditionalFormatting>
  <conditionalFormatting sqref="C1022:D1022 H1022:J1022 L1022:N1022">
    <cfRule type="cellIs" dxfId="323" priority="956" stopIfTrue="1" operator="notEqual">
      <formula>INDIRECT("Dummy_for_Comparison4!"&amp;ADDRESS(ROW(),COLUMN()))</formula>
    </cfRule>
  </conditionalFormatting>
  <conditionalFormatting sqref="C1023:D1023 H1023:J1023 L1023:N1023">
    <cfRule type="cellIs" dxfId="322" priority="955" stopIfTrue="1" operator="notEqual">
      <formula>INDIRECT("Dummy_for_Comparison4!"&amp;ADDRESS(ROW(),COLUMN()))</formula>
    </cfRule>
  </conditionalFormatting>
  <conditionalFormatting sqref="C1024:D1024 H1024:J1024 L1024:N1024">
    <cfRule type="cellIs" dxfId="321" priority="954" stopIfTrue="1" operator="notEqual">
      <formula>INDIRECT("Dummy_for_Comparison4!"&amp;ADDRESS(ROW(),COLUMN()))</formula>
    </cfRule>
  </conditionalFormatting>
  <conditionalFormatting sqref="C1025:D1025 H1025:J1025 L1025:N1025">
    <cfRule type="cellIs" dxfId="320" priority="953" stopIfTrue="1" operator="notEqual">
      <formula>INDIRECT("Dummy_for_Comparison4!"&amp;ADDRESS(ROW(),COLUMN()))</formula>
    </cfRule>
  </conditionalFormatting>
  <conditionalFormatting sqref="C1026:D1026 H1026:J1026 L1026:N1026">
    <cfRule type="cellIs" dxfId="319" priority="952" stopIfTrue="1" operator="notEqual">
      <formula>INDIRECT("Dummy_for_Comparison4!"&amp;ADDRESS(ROW(),COLUMN()))</formula>
    </cfRule>
  </conditionalFormatting>
  <conditionalFormatting sqref="C1027:D1027 H1027:J1027 L1027:N1027">
    <cfRule type="cellIs" dxfId="318" priority="951" stopIfTrue="1" operator="notEqual">
      <formula>INDIRECT("Dummy_for_Comparison4!"&amp;ADDRESS(ROW(),COLUMN()))</formula>
    </cfRule>
  </conditionalFormatting>
  <conditionalFormatting sqref="C1028:D1028 H1028:J1028 L1028:M1028">
    <cfRule type="cellIs" dxfId="317" priority="950" stopIfTrue="1" operator="notEqual">
      <formula>INDIRECT("Dummy_for_Comparison4!"&amp;ADDRESS(ROW(),COLUMN()))</formula>
    </cfRule>
  </conditionalFormatting>
  <conditionalFormatting sqref="C1029:D1029 H1029:J1029 L1029:M1029">
    <cfRule type="cellIs" dxfId="316" priority="949" stopIfTrue="1" operator="notEqual">
      <formula>INDIRECT("Dummy_for_Comparison4!"&amp;ADDRESS(ROW(),COLUMN()))</formula>
    </cfRule>
  </conditionalFormatting>
  <conditionalFormatting sqref="C1030:D1030 H1030:J1030 L1030:M1030">
    <cfRule type="cellIs" dxfId="315" priority="948" stopIfTrue="1" operator="notEqual">
      <formula>INDIRECT("Dummy_for_Comparison4!"&amp;ADDRESS(ROW(),COLUMN()))</formula>
    </cfRule>
  </conditionalFormatting>
  <conditionalFormatting sqref="C1031:D1031 H1031:J1031 L1031:M1031">
    <cfRule type="cellIs" dxfId="314" priority="947" stopIfTrue="1" operator="notEqual">
      <formula>INDIRECT("Dummy_for_Comparison4!"&amp;ADDRESS(ROW(),COLUMN()))</formula>
    </cfRule>
  </conditionalFormatting>
  <conditionalFormatting sqref="C1032:D1032 H1032:J1032 L1032:N1032">
    <cfRule type="cellIs" dxfId="313" priority="946" stopIfTrue="1" operator="notEqual">
      <formula>INDIRECT("Dummy_for_Comparison4!"&amp;ADDRESS(ROW(),COLUMN()))</formula>
    </cfRule>
  </conditionalFormatting>
  <conditionalFormatting sqref="C1033:D1033 H1033:J1033 L1033:N1033">
    <cfRule type="cellIs" dxfId="312" priority="945" stopIfTrue="1" operator="notEqual">
      <formula>INDIRECT("Dummy_for_Comparison4!"&amp;ADDRESS(ROW(),COLUMN()))</formula>
    </cfRule>
  </conditionalFormatting>
  <conditionalFormatting sqref="C1034:D1034 H1034:J1034 L1034:N1034">
    <cfRule type="cellIs" dxfId="311" priority="944" stopIfTrue="1" operator="notEqual">
      <formula>INDIRECT("Dummy_for_Comparison4!"&amp;ADDRESS(ROW(),COLUMN()))</formula>
    </cfRule>
  </conditionalFormatting>
  <conditionalFormatting sqref="C1035:D1035 H1035:J1035 L1035:N1035">
    <cfRule type="cellIs" dxfId="310" priority="943" stopIfTrue="1" operator="notEqual">
      <formula>INDIRECT("Dummy_for_Comparison4!"&amp;ADDRESS(ROW(),COLUMN()))</formula>
    </cfRule>
  </conditionalFormatting>
  <conditionalFormatting sqref="C1036:D1036 H1036:J1036 L1036:N1036">
    <cfRule type="cellIs" dxfId="309" priority="942" stopIfTrue="1" operator="notEqual">
      <formula>INDIRECT("Dummy_for_Comparison4!"&amp;ADDRESS(ROW(),COLUMN()))</formula>
    </cfRule>
  </conditionalFormatting>
  <conditionalFormatting sqref="Q1036 Q1038">
    <cfRule type="cellIs" dxfId="308" priority="688" stopIfTrue="1" operator="notEqual">
      <formula>INDIRECT("Dummy_for_Comparison4!"&amp;ADDRESS(ROW(),COLUMN()))</formula>
    </cfRule>
  </conditionalFormatting>
  <conditionalFormatting sqref="C1037:D1037 H1037:J1037 L1037:M1037">
    <cfRule type="cellIs" dxfId="307" priority="941" stopIfTrue="1" operator="notEqual">
      <formula>INDIRECT("Dummy_for_Comparison4!"&amp;ADDRESS(ROW(),COLUMN()))</formula>
    </cfRule>
  </conditionalFormatting>
  <conditionalFormatting sqref="Q1037 Q1039">
    <cfRule type="cellIs" dxfId="306" priority="687" stopIfTrue="1" operator="notEqual">
      <formula>INDIRECT("Dummy_for_Comparison4!"&amp;ADDRESS(ROW(),COLUMN()))</formula>
    </cfRule>
  </conditionalFormatting>
  <conditionalFormatting sqref="C1038:D1038 H1038:J1038 L1038:M1038">
    <cfRule type="cellIs" dxfId="305" priority="940" stopIfTrue="1" operator="notEqual">
      <formula>INDIRECT("Dummy_for_Comparison4!"&amp;ADDRESS(ROW(),COLUMN()))</formula>
    </cfRule>
  </conditionalFormatting>
  <conditionalFormatting sqref="C1039:D1039 H1039:J1039 L1039:M1039">
    <cfRule type="cellIs" dxfId="304" priority="939" stopIfTrue="1" operator="notEqual">
      <formula>INDIRECT("Dummy_for_Comparison4!"&amp;ADDRESS(ROW(),COLUMN()))</formula>
    </cfRule>
  </conditionalFormatting>
  <conditionalFormatting sqref="C1040:D1040 H1040:J1040 L1040:N1040">
    <cfRule type="cellIs" dxfId="303" priority="938" stopIfTrue="1" operator="notEqual">
      <formula>INDIRECT("Dummy_for_Comparison4!"&amp;ADDRESS(ROW(),COLUMN()))</formula>
    </cfRule>
  </conditionalFormatting>
  <conditionalFormatting sqref="Q1040 Q1042">
    <cfRule type="cellIs" dxfId="302" priority="686" stopIfTrue="1" operator="notEqual">
      <formula>INDIRECT("Dummy_for_Comparison4!"&amp;ADDRESS(ROW(),COLUMN()))</formula>
    </cfRule>
  </conditionalFormatting>
  <conditionalFormatting sqref="C1041:D1041 H1041:J1041 L1041:N1041">
    <cfRule type="cellIs" dxfId="301" priority="937" stopIfTrue="1" operator="notEqual">
      <formula>INDIRECT("Dummy_for_Comparison4!"&amp;ADDRESS(ROW(),COLUMN()))</formula>
    </cfRule>
  </conditionalFormatting>
  <conditionalFormatting sqref="Q1041 Q1043">
    <cfRule type="cellIs" dxfId="300" priority="685" stopIfTrue="1" operator="notEqual">
      <formula>INDIRECT("Dummy_for_Comparison4!"&amp;ADDRESS(ROW(),COLUMN()))</formula>
    </cfRule>
  </conditionalFormatting>
  <conditionalFormatting sqref="C1042:D1042 H1042:J1042 L1042:N1042">
    <cfRule type="cellIs" dxfId="299" priority="936" stopIfTrue="1" operator="notEqual">
      <formula>INDIRECT("Dummy_for_Comparison4!"&amp;ADDRESS(ROW(),COLUMN()))</formula>
    </cfRule>
  </conditionalFormatting>
  <conditionalFormatting sqref="C1043:D1043 H1043:J1043 L1043:N1043">
    <cfRule type="cellIs" dxfId="298" priority="935" stopIfTrue="1" operator="notEqual">
      <formula>INDIRECT("Dummy_for_Comparison4!"&amp;ADDRESS(ROW(),COLUMN()))</formula>
    </cfRule>
  </conditionalFormatting>
  <conditionalFormatting sqref="C1044:D1044 H1044:J1044 L1044:N1044">
    <cfRule type="cellIs" dxfId="297" priority="934" stopIfTrue="1" operator="notEqual">
      <formula>INDIRECT("Dummy_for_Comparison4!"&amp;ADDRESS(ROW(),COLUMN()))</formula>
    </cfRule>
  </conditionalFormatting>
  <conditionalFormatting sqref="C1045:D1045 H1045:J1045 L1045:N1045">
    <cfRule type="cellIs" dxfId="296" priority="933" stopIfTrue="1" operator="notEqual">
      <formula>INDIRECT("Dummy_for_Comparison4!"&amp;ADDRESS(ROW(),COLUMN()))</formula>
    </cfRule>
  </conditionalFormatting>
  <conditionalFormatting sqref="C1046:D1046 H1046:J1046 L1046:N1046">
    <cfRule type="cellIs" dxfId="295" priority="932" stopIfTrue="1" operator="notEqual">
      <formula>INDIRECT("Dummy_for_Comparison4!"&amp;ADDRESS(ROW(),COLUMN()))</formula>
    </cfRule>
  </conditionalFormatting>
  <conditionalFormatting sqref="C1047:D1047 H1047:J1047 L1047:N1047">
    <cfRule type="cellIs" dxfId="294" priority="931" stopIfTrue="1" operator="notEqual">
      <formula>INDIRECT("Dummy_for_Comparison4!"&amp;ADDRESS(ROW(),COLUMN()))</formula>
    </cfRule>
  </conditionalFormatting>
  <conditionalFormatting sqref="C1048:D1048 H1048:J1048 L1048:N1048">
    <cfRule type="cellIs" dxfId="293" priority="930" stopIfTrue="1" operator="notEqual">
      <formula>INDIRECT("Dummy_for_Comparison4!"&amp;ADDRESS(ROW(),COLUMN()))</formula>
    </cfRule>
  </conditionalFormatting>
  <conditionalFormatting sqref="C1049:D1049 H1049:J1049 L1049:N1049">
    <cfRule type="cellIs" dxfId="292" priority="929" stopIfTrue="1" operator="notEqual">
      <formula>INDIRECT("Dummy_for_Comparison4!"&amp;ADDRESS(ROW(),COLUMN()))</formula>
    </cfRule>
  </conditionalFormatting>
  <conditionalFormatting sqref="C1050:D1050 H1050:J1050 L1050:N1050">
    <cfRule type="cellIs" dxfId="291" priority="928" stopIfTrue="1" operator="notEqual">
      <formula>INDIRECT("Dummy_for_Comparison4!"&amp;ADDRESS(ROW(),COLUMN()))</formula>
    </cfRule>
  </conditionalFormatting>
  <conditionalFormatting sqref="C1051:D1051 H1051:J1051 L1051:N1051">
    <cfRule type="cellIs" dxfId="290" priority="927" stopIfTrue="1" operator="notEqual">
      <formula>INDIRECT("Dummy_for_Comparison4!"&amp;ADDRESS(ROW(),COLUMN()))</formula>
    </cfRule>
  </conditionalFormatting>
  <conditionalFormatting sqref="G1052">
    <cfRule type="cellIs" dxfId="289" priority="488" stopIfTrue="1" operator="notEqual">
      <formula>INDIRECT("Dummy_for_Comparison4!"&amp;ADDRESS(ROW(),COLUMN()))</formula>
    </cfRule>
  </conditionalFormatting>
  <conditionalFormatting sqref="K1052">
    <cfRule type="cellIs" dxfId="288" priority="454" stopIfTrue="1" operator="notEqual">
      <formula>INDIRECT("Dummy_for_Comparison4!"&amp;ADDRESS(ROW(),COLUMN()))</formula>
    </cfRule>
  </conditionalFormatting>
  <conditionalFormatting sqref="G1053">
    <cfRule type="cellIs" dxfId="287" priority="487" stopIfTrue="1" operator="notEqual">
      <formula>INDIRECT("Dummy_for_Comparison4!"&amp;ADDRESS(ROW(),COLUMN()))</formula>
    </cfRule>
  </conditionalFormatting>
  <conditionalFormatting sqref="K1053">
    <cfRule type="cellIs" dxfId="286" priority="453" stopIfTrue="1" operator="notEqual">
      <formula>INDIRECT("Dummy_for_Comparison4!"&amp;ADDRESS(ROW(),COLUMN()))</formula>
    </cfRule>
  </conditionalFormatting>
  <conditionalFormatting sqref="G1054:G1055">
    <cfRule type="cellIs" dxfId="285" priority="486" stopIfTrue="1" operator="notEqual">
      <formula>INDIRECT("Dummy_for_Comparison4!"&amp;ADDRESS(ROW(),COLUMN()))</formula>
    </cfRule>
  </conditionalFormatting>
  <conditionalFormatting sqref="K1054:K1055">
    <cfRule type="cellIs" dxfId="284" priority="452" stopIfTrue="1" operator="notEqual">
      <formula>INDIRECT("Dummy_for_Comparison4!"&amp;ADDRESS(ROW(),COLUMN()))</formula>
    </cfRule>
  </conditionalFormatting>
  <conditionalFormatting sqref="G1056">
    <cfRule type="cellIs" dxfId="283" priority="485" stopIfTrue="1" operator="notEqual">
      <formula>INDIRECT("Dummy_for_Comparison4!"&amp;ADDRESS(ROW(),COLUMN()))</formula>
    </cfRule>
  </conditionalFormatting>
  <conditionalFormatting sqref="K1056">
    <cfRule type="cellIs" dxfId="282" priority="451" stopIfTrue="1" operator="notEqual">
      <formula>INDIRECT("Dummy_for_Comparison4!"&amp;ADDRESS(ROW(),COLUMN()))</formula>
    </cfRule>
  </conditionalFormatting>
  <conditionalFormatting sqref="Q1056">
    <cfRule type="cellIs" dxfId="281" priority="469" stopIfTrue="1" operator="notEqual">
      <formula>INDIRECT("Dummy_for_Comparison4!"&amp;ADDRESS(ROW(),COLUMN()))</formula>
    </cfRule>
  </conditionalFormatting>
  <conditionalFormatting sqref="G1057">
    <cfRule type="cellIs" dxfId="280" priority="484" stopIfTrue="1" operator="notEqual">
      <formula>INDIRECT("Dummy_for_Comparison4!"&amp;ADDRESS(ROW(),COLUMN()))</formula>
    </cfRule>
  </conditionalFormatting>
  <conditionalFormatting sqref="K1057">
    <cfRule type="cellIs" dxfId="279" priority="450" stopIfTrue="1" operator="notEqual">
      <formula>INDIRECT("Dummy_for_Comparison4!"&amp;ADDRESS(ROW(),COLUMN()))</formula>
    </cfRule>
  </conditionalFormatting>
  <conditionalFormatting sqref="Q1057">
    <cfRule type="cellIs" dxfId="278" priority="468" stopIfTrue="1" operator="notEqual">
      <formula>INDIRECT("Dummy_for_Comparison4!"&amp;ADDRESS(ROW(),COLUMN()))</formula>
    </cfRule>
  </conditionalFormatting>
  <conditionalFormatting sqref="G1058 G1060:G1066">
    <cfRule type="cellIs" dxfId="277" priority="483" stopIfTrue="1" operator="notEqual">
      <formula>INDIRECT("Dummy_for_Comparison4!"&amp;ADDRESS(ROW(),COLUMN()))</formula>
    </cfRule>
  </conditionalFormatting>
  <conditionalFormatting sqref="K1058 K1060:K1066">
    <cfRule type="cellIs" dxfId="276" priority="449" stopIfTrue="1" operator="notEqual">
      <formula>INDIRECT("Dummy_for_Comparison4!"&amp;ADDRESS(ROW(),COLUMN()))</formula>
    </cfRule>
  </conditionalFormatting>
  <conditionalFormatting sqref="Q1058 Q1066 Q1060:Q1064">
    <cfRule type="cellIs" dxfId="275" priority="467" stopIfTrue="1" operator="notEqual">
      <formula>INDIRECT("Dummy_for_Comparison4!"&amp;ADDRESS(ROW(),COLUMN()))</formula>
    </cfRule>
  </conditionalFormatting>
  <conditionalFormatting sqref="G1068">
    <cfRule type="cellIs" dxfId="274" priority="481" stopIfTrue="1" operator="notEqual">
      <formula>INDIRECT("Dummy_for_Comparison4!"&amp;ADDRESS(ROW(),COLUMN()))</formula>
    </cfRule>
  </conditionalFormatting>
  <conditionalFormatting sqref="K1068">
    <cfRule type="cellIs" dxfId="273" priority="447" stopIfTrue="1" operator="notEqual">
      <formula>INDIRECT("Dummy_for_Comparison4!"&amp;ADDRESS(ROW(),COLUMN()))</formula>
    </cfRule>
  </conditionalFormatting>
  <conditionalFormatting sqref="M1068">
    <cfRule type="cellIs" dxfId="272" priority="499" stopIfTrue="1" operator="notEqual">
      <formula>INDIRECT("Dummy_for_Comparison4!"&amp;ADDRESS(ROW(),COLUMN()))</formula>
    </cfRule>
  </conditionalFormatting>
  <conditionalFormatting sqref="G1069">
    <cfRule type="cellIs" dxfId="271" priority="480" stopIfTrue="1" operator="notEqual">
      <formula>INDIRECT("Dummy_for_Comparison4!"&amp;ADDRESS(ROW(),COLUMN()))</formula>
    </cfRule>
  </conditionalFormatting>
  <conditionalFormatting sqref="K1069">
    <cfRule type="cellIs" dxfId="270" priority="446" stopIfTrue="1" operator="notEqual">
      <formula>INDIRECT("Dummy_for_Comparison4!"&amp;ADDRESS(ROW(),COLUMN()))</formula>
    </cfRule>
  </conditionalFormatting>
  <conditionalFormatting sqref="M1069">
    <cfRule type="cellIs" dxfId="269" priority="498" stopIfTrue="1" operator="notEqual">
      <formula>INDIRECT("Dummy_for_Comparison4!"&amp;ADDRESS(ROW(),COLUMN()))</formula>
    </cfRule>
  </conditionalFormatting>
  <conditionalFormatting sqref="G1070">
    <cfRule type="cellIs" dxfId="268" priority="479" stopIfTrue="1" operator="notEqual">
      <formula>INDIRECT("Dummy_for_Comparison4!"&amp;ADDRESS(ROW(),COLUMN()))</formula>
    </cfRule>
  </conditionalFormatting>
  <conditionalFormatting sqref="K1070">
    <cfRule type="cellIs" dxfId="267" priority="445" stopIfTrue="1" operator="notEqual">
      <formula>INDIRECT("Dummy_for_Comparison4!"&amp;ADDRESS(ROW(),COLUMN()))</formula>
    </cfRule>
  </conditionalFormatting>
  <conditionalFormatting sqref="M1070">
    <cfRule type="cellIs" dxfId="266" priority="497" stopIfTrue="1" operator="notEqual">
      <formula>INDIRECT("Dummy_for_Comparison4!"&amp;ADDRESS(ROW(),COLUMN()))</formula>
    </cfRule>
  </conditionalFormatting>
  <conditionalFormatting sqref="M1071:N1071">
    <cfRule type="cellIs" dxfId="265" priority="496" stopIfTrue="1" operator="notEqual">
      <formula>INDIRECT("Dummy_for_Comparison4!"&amp;ADDRESS(ROW(),COLUMN()))</formula>
    </cfRule>
  </conditionalFormatting>
  <conditionalFormatting sqref="G1072">
    <cfRule type="cellIs" dxfId="264" priority="478" stopIfTrue="1" operator="notEqual">
      <formula>INDIRECT("Dummy_for_Comparison4!"&amp;ADDRESS(ROW(),COLUMN()))</formula>
    </cfRule>
  </conditionalFormatting>
  <conditionalFormatting sqref="K1072">
    <cfRule type="cellIs" dxfId="263" priority="444" stopIfTrue="1" operator="notEqual">
      <formula>INDIRECT("Dummy_for_Comparison4!"&amp;ADDRESS(ROW(),COLUMN()))</formula>
    </cfRule>
  </conditionalFormatting>
  <conditionalFormatting sqref="M1072:N1072">
    <cfRule type="cellIs" dxfId="262" priority="495" stopIfTrue="1" operator="notEqual">
      <formula>INDIRECT("Dummy_for_Comparison4!"&amp;ADDRESS(ROW(),COLUMN()))</formula>
    </cfRule>
  </conditionalFormatting>
  <conditionalFormatting sqref="G1073">
    <cfRule type="cellIs" dxfId="261" priority="477" stopIfTrue="1" operator="notEqual">
      <formula>INDIRECT("Dummy_for_Comparison4!"&amp;ADDRESS(ROW(),COLUMN()))</formula>
    </cfRule>
  </conditionalFormatting>
  <conditionalFormatting sqref="K1073">
    <cfRule type="cellIs" dxfId="260" priority="443" stopIfTrue="1" operator="notEqual">
      <formula>INDIRECT("Dummy_for_Comparison4!"&amp;ADDRESS(ROW(),COLUMN()))</formula>
    </cfRule>
  </conditionalFormatting>
  <conditionalFormatting sqref="M1073:N1073">
    <cfRule type="cellIs" dxfId="259" priority="494" stopIfTrue="1" operator="notEqual">
      <formula>INDIRECT("Dummy_for_Comparison4!"&amp;ADDRESS(ROW(),COLUMN()))</formula>
    </cfRule>
  </conditionalFormatting>
  <conditionalFormatting sqref="G1074">
    <cfRule type="cellIs" dxfId="258" priority="476" stopIfTrue="1" operator="notEqual">
      <formula>INDIRECT("Dummy_for_Comparison4!"&amp;ADDRESS(ROW(),COLUMN()))</formula>
    </cfRule>
  </conditionalFormatting>
  <conditionalFormatting sqref="K1074">
    <cfRule type="cellIs" dxfId="257" priority="442" stopIfTrue="1" operator="notEqual">
      <formula>INDIRECT("Dummy_for_Comparison4!"&amp;ADDRESS(ROW(),COLUMN()))</formula>
    </cfRule>
  </conditionalFormatting>
  <conditionalFormatting sqref="M1074:N1074">
    <cfRule type="cellIs" dxfId="256" priority="493" stopIfTrue="1" operator="notEqual">
      <formula>INDIRECT("Dummy_for_Comparison4!"&amp;ADDRESS(ROW(),COLUMN()))</formula>
    </cfRule>
  </conditionalFormatting>
  <conditionalFormatting sqref="R1067:R1074">
    <cfRule type="cellIs" dxfId="255" priority="458" stopIfTrue="1" operator="notEqual">
      <formula>INDIRECT("Dummy_for_Comparison4!"&amp;ADDRESS(ROW(),COLUMN()))</formula>
    </cfRule>
  </conditionalFormatting>
  <conditionalFormatting sqref="AF1068:BY1074 AF1067:AW1067 AK1057:AW1058 R1066:AD1066 U1056:AI1056 U1057:AD1058 AF1057:AI1058 AK1066:AW1066 AZ1056:BY1058 R1056:S1058 R1060:S1064 AZ1060:BY1067 AF1060:AI1066 U1060:AD1064">
    <cfRule type="cellIs" dxfId="254" priority="542" stopIfTrue="1" operator="notEqual">
      <formula>INDIRECT("Dummy_for_Comparison4!"&amp;ADDRESS(ROW(),COLUMN()))</formula>
    </cfRule>
  </conditionalFormatting>
  <conditionalFormatting sqref="C1052:F1052 H1052:J1052 L1052:O1052">
    <cfRule type="cellIs" dxfId="253" priority="541" stopIfTrue="1" operator="notEqual">
      <formula>INDIRECT("Dummy_for_Comparison4!"&amp;ADDRESS(ROW(),COLUMN()))</formula>
    </cfRule>
  </conditionalFormatting>
  <conditionalFormatting sqref="C1053:F1053 H1053:J1053 L1053:O1053">
    <cfRule type="cellIs" dxfId="252" priority="540" stopIfTrue="1" operator="notEqual">
      <formula>INDIRECT("Dummy_for_Comparison4!"&amp;ADDRESS(ROW(),COLUMN()))</formula>
    </cfRule>
  </conditionalFormatting>
  <conditionalFormatting sqref="H1054:J1055 L1054:O1054 C1054:F1055 L1055:N1055">
    <cfRule type="cellIs" dxfId="251" priority="539" stopIfTrue="1" operator="notEqual">
      <formula>INDIRECT("Dummy_for_Comparison4!"&amp;ADDRESS(ROW(),COLUMN()))</formula>
    </cfRule>
  </conditionalFormatting>
  <conditionalFormatting sqref="H1056:J1056 L1056:N1056 D1056:F1056 AE1057:AE1058 A1056:B1058 AE1066 A1060:B1066 AE1060:AE1064">
    <cfRule type="cellIs" dxfId="250" priority="538" stopIfTrue="1" operator="notEqual">
      <formula>INDIRECT("Dummy_for_Comparison4!"&amp;ADDRESS(ROW(),COLUMN()))</formula>
    </cfRule>
  </conditionalFormatting>
  <conditionalFormatting sqref="D1057:F1057 H1057:J1057 L1057:N1057">
    <cfRule type="cellIs" dxfId="249" priority="537" stopIfTrue="1" operator="notEqual">
      <formula>INDIRECT("Dummy_for_Comparison4!"&amp;ADDRESS(ROW(),COLUMN()))</formula>
    </cfRule>
  </conditionalFormatting>
  <conditionalFormatting sqref="H1058:J1058 L1058:N1058 D1058:F1058 D1060:F1066 L1060:N1066 H1060:J1066">
    <cfRule type="cellIs" dxfId="248" priority="536" stopIfTrue="1" operator="notEqual">
      <formula>INDIRECT("Dummy_for_Comparison4!"&amp;ADDRESS(ROW(),COLUMN()))</formula>
    </cfRule>
  </conditionalFormatting>
  <conditionalFormatting sqref="AE1067 A1067:B1067 A1071:B1071 AE1071 B1068:B1070 B1072:B1074">
    <cfRule type="cellIs" dxfId="247" priority="535" stopIfTrue="1" operator="notEqual">
      <formula>INDIRECT("Dummy_for_Comparison4!"&amp;ADDRESS(ROW(),COLUMN()))</formula>
    </cfRule>
  </conditionalFormatting>
  <conditionalFormatting sqref="C1067:F1067 C1071:F1071 O1071:P1071 H1071:J1071 H1067:J1067 T1068:T1070 L1067:P1067 L1071 N1068:N1070">
    <cfRule type="cellIs" dxfId="246" priority="534" stopIfTrue="1" operator="notEqual">
      <formula>INDIRECT("Dummy_for_Comparison4!"&amp;ADDRESS(ROW(),COLUMN()))</formula>
    </cfRule>
  </conditionalFormatting>
  <conditionalFormatting sqref="G1067 G1071">
    <cfRule type="cellIs" dxfId="245" priority="482" stopIfTrue="1" operator="notEqual">
      <formula>INDIRECT("Dummy_for_Comparison4!"&amp;ADDRESS(ROW(),COLUMN()))</formula>
    </cfRule>
  </conditionalFormatting>
  <conditionalFormatting sqref="K1067 K1071">
    <cfRule type="cellIs" dxfId="244" priority="448" stopIfTrue="1" operator="notEqual">
      <formula>INDIRECT("Dummy_for_Comparison4!"&amp;ADDRESS(ROW(),COLUMN()))</formula>
    </cfRule>
  </conditionalFormatting>
  <conditionalFormatting sqref="Q1067 Q1069">
    <cfRule type="cellIs" dxfId="243" priority="462" stopIfTrue="1" operator="notEqual">
      <formula>INDIRECT("Dummy_for_Comparison4!"&amp;ADDRESS(ROW(),COLUMN()))</formula>
    </cfRule>
  </conditionalFormatting>
  <conditionalFormatting sqref="AE1068 A1068">
    <cfRule type="cellIs" dxfId="242" priority="533" stopIfTrue="1" operator="notEqual">
      <formula>INDIRECT("Dummy_for_Comparison4!"&amp;ADDRESS(ROW(),COLUMN()))</formula>
    </cfRule>
  </conditionalFormatting>
  <conditionalFormatting sqref="C1068:F1068 S1068 O1068 H1068:J1068 V1068:AD1068 L1068">
    <cfRule type="cellIs" dxfId="241" priority="532" stopIfTrue="1" operator="notEqual">
      <formula>INDIRECT("Dummy_for_Comparison4!"&amp;ADDRESS(ROW(),COLUMN()))</formula>
    </cfRule>
  </conditionalFormatting>
  <conditionalFormatting sqref="Q1068 Q1070">
    <cfRule type="cellIs" dxfId="240" priority="461" stopIfTrue="1" operator="notEqual">
      <formula>INDIRECT("Dummy_for_Comparison4!"&amp;ADDRESS(ROW(),COLUMN()))</formula>
    </cfRule>
  </conditionalFormatting>
  <conditionalFormatting sqref="AE1069 A1069">
    <cfRule type="cellIs" dxfId="239" priority="531" stopIfTrue="1" operator="notEqual">
      <formula>INDIRECT("Dummy_for_Comparison4!"&amp;ADDRESS(ROW(),COLUMN()))</formula>
    </cfRule>
  </conditionalFormatting>
  <conditionalFormatting sqref="C1069:F1069 S1069 O1069 H1069:J1069 V1069:AD1069 L1069">
    <cfRule type="cellIs" dxfId="238" priority="530" stopIfTrue="1" operator="notEqual">
      <formula>INDIRECT("Dummy_for_Comparison4!"&amp;ADDRESS(ROW(),COLUMN()))</formula>
    </cfRule>
  </conditionalFormatting>
  <conditionalFormatting sqref="AE1070 A1070">
    <cfRule type="cellIs" dxfId="237" priority="529" stopIfTrue="1" operator="notEqual">
      <formula>INDIRECT("Dummy_for_Comparison4!"&amp;ADDRESS(ROW(),COLUMN()))</formula>
    </cfRule>
  </conditionalFormatting>
  <conditionalFormatting sqref="C1070:F1070 S1070 O1070 H1070:J1070 V1070:AD1070 L1070">
    <cfRule type="cellIs" dxfId="236" priority="528" stopIfTrue="1" operator="notEqual">
      <formula>INDIRECT("Dummy_for_Comparison4!"&amp;ADDRESS(ROW(),COLUMN()))</formula>
    </cfRule>
  </conditionalFormatting>
  <conditionalFormatting sqref="Q1071 Q1073">
    <cfRule type="cellIs" dxfId="235" priority="460" stopIfTrue="1" operator="notEqual">
      <formula>INDIRECT("Dummy_for_Comparison4!"&amp;ADDRESS(ROW(),COLUMN()))</formula>
    </cfRule>
  </conditionalFormatting>
  <conditionalFormatting sqref="A1072 AE1072">
    <cfRule type="cellIs" dxfId="234" priority="527" stopIfTrue="1" operator="notEqual">
      <formula>INDIRECT("Dummy_for_Comparison4!"&amp;ADDRESS(ROW(),COLUMN()))</formula>
    </cfRule>
  </conditionalFormatting>
  <conditionalFormatting sqref="C1072:F1072 O1072:P1072 H1072:J1072 L1072">
    <cfRule type="cellIs" dxfId="233" priority="526" stopIfTrue="1" operator="notEqual">
      <formula>INDIRECT("Dummy_for_Comparison4!"&amp;ADDRESS(ROW(),COLUMN()))</formula>
    </cfRule>
  </conditionalFormatting>
  <conditionalFormatting sqref="Q1072 Q1074">
    <cfRule type="cellIs" dxfId="232" priority="459" stopIfTrue="1" operator="notEqual">
      <formula>INDIRECT("Dummy_for_Comparison4!"&amp;ADDRESS(ROW(),COLUMN()))</formula>
    </cfRule>
  </conditionalFormatting>
  <conditionalFormatting sqref="A1073 AE1073">
    <cfRule type="cellIs" dxfId="231" priority="525" stopIfTrue="1" operator="notEqual">
      <formula>INDIRECT("Dummy_for_Comparison4!"&amp;ADDRESS(ROW(),COLUMN()))</formula>
    </cfRule>
  </conditionalFormatting>
  <conditionalFormatting sqref="C1073:F1073 O1073:P1073 H1073:J1073 L1073">
    <cfRule type="cellIs" dxfId="230" priority="524" stopIfTrue="1" operator="notEqual">
      <formula>INDIRECT("Dummy_for_Comparison4!"&amp;ADDRESS(ROW(),COLUMN()))</formula>
    </cfRule>
  </conditionalFormatting>
  <conditionalFormatting sqref="A1074 AE1074">
    <cfRule type="cellIs" dxfId="229" priority="523" stopIfTrue="1" operator="notEqual">
      <formula>INDIRECT("Dummy_for_Comparison4!"&amp;ADDRESS(ROW(),COLUMN()))</formula>
    </cfRule>
  </conditionalFormatting>
  <conditionalFormatting sqref="C1074:F1074 O1074:P1074 H1074:J1074 L1074">
    <cfRule type="cellIs" dxfId="228" priority="522" stopIfTrue="1" operator="notEqual">
      <formula>INDIRECT("Dummy_for_Comparison4!"&amp;ADDRESS(ROW(),COLUMN()))</formula>
    </cfRule>
  </conditionalFormatting>
  <conditionalFormatting sqref="C1060:C1066">
    <cfRule type="cellIs" dxfId="227" priority="433" stopIfTrue="1" operator="notEqual">
      <formula>INDIRECT("Dummy_for_Comparison4!"&amp;ADDRESS(ROW(),COLUMN()))</formula>
    </cfRule>
  </conditionalFormatting>
  <conditionalFormatting sqref="AJ1058 AJ1066">
    <cfRule type="cellIs" dxfId="226" priority="405" stopIfTrue="1" operator="notEqual">
      <formula>INDIRECT("Dummy_for_Comparison4!"&amp;ADDRESS(ROW(),COLUMN()))</formula>
    </cfRule>
  </conditionalFormatting>
  <conditionalFormatting sqref="AJ1057">
    <cfRule type="cellIs" dxfId="225" priority="407" stopIfTrue="1" operator="notEqual">
      <formula>INDIRECT("Dummy_for_Comparison4!"&amp;ADDRESS(ROW(),COLUMN()))</formula>
    </cfRule>
  </conditionalFormatting>
  <conditionalFormatting sqref="AJ1061">
    <cfRule type="cellIs" dxfId="224" priority="388" stopIfTrue="1" operator="notEqual">
      <formula>INDIRECT("Dummy_for_Comparison4!"&amp;ADDRESS(ROW(),COLUMN()))</formula>
    </cfRule>
  </conditionalFormatting>
  <conditionalFormatting sqref="O1066">
    <cfRule type="cellIs" dxfId="223" priority="403" stopIfTrue="1" operator="notEqual">
      <formula>INDIRECT("Dummy_for_Comparison4!"&amp;ADDRESS(ROW(),COLUMN()))</formula>
    </cfRule>
  </conditionalFormatting>
  <conditionalFormatting sqref="O1056">
    <cfRule type="cellIs" dxfId="222" priority="426" stopIfTrue="1" operator="notEqual">
      <formula>INDIRECT("Dummy_for_Comparison4!"&amp;ADDRESS(ROW(),COLUMN()))</formula>
    </cfRule>
  </conditionalFormatting>
  <conditionalFormatting sqref="O1057">
    <cfRule type="cellIs" dxfId="221" priority="425" stopIfTrue="1" operator="notEqual">
      <formula>INDIRECT("Dummy_for_Comparison4!"&amp;ADDRESS(ROW(),COLUMN()))</formula>
    </cfRule>
  </conditionalFormatting>
  <conditionalFormatting sqref="O1058 O1060:O1063">
    <cfRule type="cellIs" dxfId="220" priority="424" stopIfTrue="1" operator="notEqual">
      <formula>INDIRECT("Dummy_for_Comparison4!"&amp;ADDRESS(ROW(),COLUMN()))</formula>
    </cfRule>
  </conditionalFormatting>
  <conditionalFormatting sqref="AX1062:AY1065">
    <cfRule type="cellIs" dxfId="219" priority="389" stopIfTrue="1" operator="notEqual">
      <formula>INDIRECT("Dummy_for_Comparison4!"&amp;ADDRESS(ROW(),COLUMN()))</formula>
    </cfRule>
  </conditionalFormatting>
  <conditionalFormatting sqref="AJ1062:AJ1065">
    <cfRule type="cellIs" dxfId="218" priority="387" stopIfTrue="1" operator="notEqual">
      <formula>INDIRECT("Dummy_for_Comparison4!"&amp;ADDRESS(ROW(),COLUMN()))</formula>
    </cfRule>
  </conditionalFormatting>
  <conditionalFormatting sqref="P1066">
    <cfRule type="cellIs" dxfId="217" priority="418" stopIfTrue="1" operator="notEqual">
      <formula>INDIRECT("Dummy_for_Comparison4!"&amp;ADDRESS(ROW(),COLUMN()))</formula>
    </cfRule>
  </conditionalFormatting>
  <conditionalFormatting sqref="AL1056">
    <cfRule type="cellIs" dxfId="216" priority="412" stopIfTrue="1" operator="notEqual">
      <formula>INDIRECT("Dummy_for_Comparison4!"&amp;ADDRESS(ROW(),COLUMN()))</formula>
    </cfRule>
  </conditionalFormatting>
  <conditionalFormatting sqref="AM1056:AY1056">
    <cfRule type="cellIs" dxfId="215" priority="414" stopIfTrue="1" operator="notEqual">
      <formula>INDIRECT("Dummy_for_Comparison4!"&amp;ADDRESS(ROW(),COLUMN()))</formula>
    </cfRule>
  </conditionalFormatting>
  <conditionalFormatting sqref="AJ1056:AK1056">
    <cfRule type="cellIs" dxfId="214" priority="413" stopIfTrue="1" operator="notEqual">
      <formula>INDIRECT("Dummy_for_Comparison4!"&amp;ADDRESS(ROW(),COLUMN()))</formula>
    </cfRule>
  </conditionalFormatting>
  <conditionalFormatting sqref="AX1057:AY1057">
    <cfRule type="cellIs" dxfId="213" priority="411" stopIfTrue="1" operator="notEqual">
      <formula>INDIRECT("Dummy_for_Comparison4!"&amp;ADDRESS(ROW(),COLUMN()))</formula>
    </cfRule>
  </conditionalFormatting>
  <conditionalFormatting sqref="AX1058:AY1058 AX1066:AY1066">
    <cfRule type="cellIs" dxfId="212" priority="410" stopIfTrue="1" operator="notEqual">
      <formula>INDIRECT("Dummy_for_Comparison4!"&amp;ADDRESS(ROW(),COLUMN()))</formula>
    </cfRule>
  </conditionalFormatting>
  <conditionalFormatting sqref="AX1067:AY1067">
    <cfRule type="cellIs" dxfId="211" priority="408" stopIfTrue="1" operator="notEqual">
      <formula>INDIRECT("Dummy_for_Comparison4!"&amp;ADDRESS(ROW(),COLUMN()))</formula>
    </cfRule>
  </conditionalFormatting>
  <conditionalFormatting sqref="AK1061:AW1065">
    <cfRule type="cellIs" dxfId="210" priority="394" stopIfTrue="1" operator="notEqual">
      <formula>INDIRECT("Dummy_for_Comparison4!"&amp;ADDRESS(ROW(),COLUMN()))</formula>
    </cfRule>
  </conditionalFormatting>
  <conditionalFormatting sqref="AL1060">
    <cfRule type="cellIs" dxfId="209" priority="391" stopIfTrue="1" operator="notEqual">
      <formula>INDIRECT("Dummy_for_Comparison4!"&amp;ADDRESS(ROW(),COLUMN()))</formula>
    </cfRule>
  </conditionalFormatting>
  <conditionalFormatting sqref="AM1060:AY1060">
    <cfRule type="cellIs" dxfId="208" priority="393" stopIfTrue="1" operator="notEqual">
      <formula>INDIRECT("Dummy_for_Comparison4!"&amp;ADDRESS(ROW(),COLUMN()))</formula>
    </cfRule>
  </conditionalFormatting>
  <conditionalFormatting sqref="AJ1060:AK1060">
    <cfRule type="cellIs" dxfId="207" priority="392" stopIfTrue="1" operator="notEqual">
      <formula>INDIRECT("Dummy_for_Comparison4!"&amp;ADDRESS(ROW(),COLUMN()))</formula>
    </cfRule>
  </conditionalFormatting>
  <conditionalFormatting sqref="AX1061:AY1061">
    <cfRule type="cellIs" dxfId="206" priority="390" stopIfTrue="1" operator="notEqual">
      <formula>INDIRECT("Dummy_for_Comparison4!"&amp;ADDRESS(ROW(),COLUMN()))</formula>
    </cfRule>
  </conditionalFormatting>
  <conditionalFormatting sqref="Q1055">
    <cfRule type="cellIs" dxfId="205" priority="380" stopIfTrue="1" operator="notEqual">
      <formula>INDIRECT("Dummy_for_Comparison4!"&amp;ADDRESS(ROW(),COLUMN()))</formula>
    </cfRule>
  </conditionalFormatting>
  <conditionalFormatting sqref="R1055:S1055 U1055:AD1055 AF1055">
    <cfRule type="cellIs" dxfId="204" priority="382" stopIfTrue="1" operator="notEqual">
      <formula>INDIRECT("Dummy_for_Comparison4!"&amp;ADDRESS(ROW(),COLUMN()))</formula>
    </cfRule>
  </conditionalFormatting>
  <conditionalFormatting sqref="AE1055">
    <cfRule type="cellIs" dxfId="203" priority="381" stopIfTrue="1" operator="notEqual">
      <formula>INDIRECT("Dummy_for_Comparison4!"&amp;ADDRESS(ROW(),COLUMN()))</formula>
    </cfRule>
  </conditionalFormatting>
  <conditionalFormatting sqref="O1055">
    <cfRule type="cellIs" dxfId="202" priority="379" stopIfTrue="1" operator="notEqual">
      <formula>INDIRECT("Dummy_for_Comparison4!"&amp;ADDRESS(ROW(),COLUMN()))</formula>
    </cfRule>
  </conditionalFormatting>
  <conditionalFormatting sqref="G1075:G1077">
    <cfRule type="cellIs" dxfId="201" priority="348" stopIfTrue="1" operator="notEqual">
      <formula>INDIRECT("Dummy_for_Comparison4!"&amp;ADDRESS(ROW(),COLUMN()))</formula>
    </cfRule>
  </conditionalFormatting>
  <conditionalFormatting sqref="K1075:K1077">
    <cfRule type="cellIs" dxfId="200" priority="345" stopIfTrue="1" operator="notEqual">
      <formula>INDIRECT("Dummy_for_Comparison4!"&amp;ADDRESS(ROW(),COLUMN()))</formula>
    </cfRule>
  </conditionalFormatting>
  <conditionalFormatting sqref="M1075:N1077">
    <cfRule type="cellIs" dxfId="199" priority="349" stopIfTrue="1" operator="notEqual">
      <formula>INDIRECT("Dummy_for_Comparison4!"&amp;ADDRESS(ROW(),COLUMN()))</formula>
    </cfRule>
  </conditionalFormatting>
  <conditionalFormatting sqref="R1075:R1077">
    <cfRule type="cellIs" dxfId="198" priority="346" stopIfTrue="1" operator="notEqual">
      <formula>INDIRECT("Dummy_for_Comparison4!"&amp;ADDRESS(ROW(),COLUMN()))</formula>
    </cfRule>
  </conditionalFormatting>
  <conditionalFormatting sqref="AF1075:BY1077">
    <cfRule type="cellIs" dxfId="197" priority="353" stopIfTrue="1" operator="notEqual">
      <formula>INDIRECT("Dummy_for_Comparison4!"&amp;ADDRESS(ROW(),COLUMN()))</formula>
    </cfRule>
  </conditionalFormatting>
  <conditionalFormatting sqref="B1075:B1077">
    <cfRule type="cellIs" dxfId="196" priority="352" stopIfTrue="1" operator="notEqual">
      <formula>INDIRECT("Dummy_for_Comparison4!"&amp;ADDRESS(ROW(),COLUMN()))</formula>
    </cfRule>
  </conditionalFormatting>
  <conditionalFormatting sqref="A1075:A1077 AE1075:AE1077">
    <cfRule type="cellIs" dxfId="195" priority="351" stopIfTrue="1" operator="notEqual">
      <formula>INDIRECT("Dummy_for_Comparison4!"&amp;ADDRESS(ROW(),COLUMN()))</formula>
    </cfRule>
  </conditionalFormatting>
  <conditionalFormatting sqref="C1075:F1077 O1075:P1077 H1075:J1077 L1075:L1077">
    <cfRule type="cellIs" dxfId="194" priority="350" stopIfTrue="1" operator="notEqual">
      <formula>INDIRECT("Dummy_for_Comparison4!"&amp;ADDRESS(ROW(),COLUMN()))</formula>
    </cfRule>
  </conditionalFormatting>
  <conditionalFormatting sqref="Q1075:Q1077">
    <cfRule type="cellIs" dxfId="193" priority="347" stopIfTrue="1" operator="notEqual">
      <formula>INDIRECT("Dummy_for_Comparison4!"&amp;ADDRESS(ROW(),COLUMN()))</formula>
    </cfRule>
  </conditionalFormatting>
  <conditionalFormatting sqref="G1078:G1081">
    <cfRule type="cellIs" dxfId="192" priority="319" stopIfTrue="1" operator="notEqual">
      <formula>INDIRECT("Dummy_for_Comparison4!"&amp;ADDRESS(ROW(),COLUMN()))</formula>
    </cfRule>
  </conditionalFormatting>
  <conditionalFormatting sqref="K1078:K1081">
    <cfRule type="cellIs" dxfId="191" priority="316" stopIfTrue="1" operator="notEqual">
      <formula>INDIRECT("Dummy_for_Comparison4!"&amp;ADDRESS(ROW(),COLUMN()))</formula>
    </cfRule>
  </conditionalFormatting>
  <conditionalFormatting sqref="M1078:N1078 M1079:M1081">
    <cfRule type="cellIs" dxfId="190" priority="320" stopIfTrue="1" operator="notEqual">
      <formula>INDIRECT("Dummy_for_Comparison4!"&amp;ADDRESS(ROW(),COLUMN()))</formula>
    </cfRule>
  </conditionalFormatting>
  <conditionalFormatting sqref="R1078:R1081">
    <cfRule type="cellIs" dxfId="189" priority="317" stopIfTrue="1" operator="notEqual">
      <formula>INDIRECT("Dummy_for_Comparison4!"&amp;ADDRESS(ROW(),COLUMN()))</formula>
    </cfRule>
  </conditionalFormatting>
  <conditionalFormatting sqref="AF1078:BY1081">
    <cfRule type="cellIs" dxfId="188" priority="324" stopIfTrue="1" operator="notEqual">
      <formula>INDIRECT("Dummy_for_Comparison4!"&amp;ADDRESS(ROW(),COLUMN()))</formula>
    </cfRule>
  </conditionalFormatting>
  <conditionalFormatting sqref="B1078:B1081">
    <cfRule type="cellIs" dxfId="187" priority="323" stopIfTrue="1" operator="notEqual">
      <formula>INDIRECT("Dummy_for_Comparison4!"&amp;ADDRESS(ROW(),COLUMN()))</formula>
    </cfRule>
  </conditionalFormatting>
  <conditionalFormatting sqref="AE1078:AE1081 A1078:A1081">
    <cfRule type="cellIs" dxfId="186" priority="322" stopIfTrue="1" operator="notEqual">
      <formula>INDIRECT("Dummy_for_Comparison4!"&amp;ADDRESS(ROW(),COLUMN()))</formula>
    </cfRule>
  </conditionalFormatting>
  <conditionalFormatting sqref="O1078:P1078 H1078:J1081 L1078:L1081 C1078:F1081 O1079:O1081">
    <cfRule type="cellIs" dxfId="185" priority="321" stopIfTrue="1" operator="notEqual">
      <formula>INDIRECT("Dummy_for_Comparison4!"&amp;ADDRESS(ROW(),COLUMN()))</formula>
    </cfRule>
  </conditionalFormatting>
  <conditionalFormatting sqref="Q1078:Q1081">
    <cfRule type="cellIs" dxfId="184" priority="318" stopIfTrue="1" operator="notEqual">
      <formula>INDIRECT("Dummy_for_Comparison4!"&amp;ADDRESS(ROW(),COLUMN()))</formula>
    </cfRule>
  </conditionalFormatting>
  <conditionalFormatting sqref="G1082:G1086">
    <cfRule type="cellIs" dxfId="183" priority="292" stopIfTrue="1" operator="notEqual">
      <formula>INDIRECT("Dummy_for_Comparison4!"&amp;ADDRESS(ROW(),COLUMN()))</formula>
    </cfRule>
  </conditionalFormatting>
  <conditionalFormatting sqref="K1082:K1086">
    <cfRule type="cellIs" dxfId="182" priority="289" stopIfTrue="1" operator="notEqual">
      <formula>INDIRECT("Dummy_for_Comparison4!"&amp;ADDRESS(ROW(),COLUMN()))</formula>
    </cfRule>
  </conditionalFormatting>
  <conditionalFormatting sqref="M1083:N1084 M1082 M1085:M1086">
    <cfRule type="cellIs" dxfId="181" priority="293" stopIfTrue="1" operator="notEqual">
      <formula>INDIRECT("Dummy_for_Comparison4!"&amp;ADDRESS(ROW(),COLUMN()))</formula>
    </cfRule>
  </conditionalFormatting>
  <conditionalFormatting sqref="R1083:R1084">
    <cfRule type="cellIs" dxfId="180" priority="290" stopIfTrue="1" operator="notEqual">
      <formula>INDIRECT("Dummy_for_Comparison4!"&amp;ADDRESS(ROW(),COLUMN()))</formula>
    </cfRule>
  </conditionalFormatting>
  <conditionalFormatting sqref="AF1082:BY1082 AF1083:AI1086 AZ1083:BY1086">
    <cfRule type="cellIs" dxfId="179" priority="297" stopIfTrue="1" operator="notEqual">
      <formula>INDIRECT("Dummy_for_Comparison4!"&amp;ADDRESS(ROW(),COLUMN()))</formula>
    </cfRule>
  </conditionalFormatting>
  <conditionalFormatting sqref="B1082:B1086">
    <cfRule type="cellIs" dxfId="178" priority="296" stopIfTrue="1" operator="notEqual">
      <formula>INDIRECT("Dummy_for_Comparison4!"&amp;ADDRESS(ROW(),COLUMN()))</formula>
    </cfRule>
  </conditionalFormatting>
  <conditionalFormatting sqref="A1083:A1086 AE1082:AE1086">
    <cfRule type="cellIs" dxfId="177" priority="295" stopIfTrue="1" operator="notEqual">
      <formula>INDIRECT("Dummy_for_Comparison4!"&amp;ADDRESS(ROW(),COLUMN()))</formula>
    </cfRule>
  </conditionalFormatting>
  <conditionalFormatting sqref="O1083:P1084 H1082:J1086 L1082:L1086 C1082:F1086 O1082 O1085:O1086">
    <cfRule type="cellIs" dxfId="176" priority="294" stopIfTrue="1" operator="notEqual">
      <formula>INDIRECT("Dummy_for_Comparison4!"&amp;ADDRESS(ROW(),COLUMN()))</formula>
    </cfRule>
  </conditionalFormatting>
  <conditionalFormatting sqref="Q1082:Q1086">
    <cfRule type="cellIs" dxfId="175" priority="291" stopIfTrue="1" operator="notEqual">
      <formula>INDIRECT("Dummy_for_Comparison4!"&amp;ADDRESS(ROW(),COLUMN()))</formula>
    </cfRule>
  </conditionalFormatting>
  <conditionalFormatting sqref="A1082">
    <cfRule type="cellIs" dxfId="174" priority="288" stopIfTrue="1" operator="notEqual">
      <formula>INDIRECT("Dummy_for_Comparison4!"&amp;ADDRESS(ROW(),COLUMN()))</formula>
    </cfRule>
  </conditionalFormatting>
  <conditionalFormatting sqref="K1100:K1102 K1090:K1091 K1096:K1098 K1108">
    <cfRule type="cellIs" dxfId="173" priority="260" stopIfTrue="1" operator="notEqual">
      <formula>INDIRECT("Dummy_for_Comparison4!"&amp;ADDRESS(ROW(),COLUMN()))</formula>
    </cfRule>
  </conditionalFormatting>
  <conditionalFormatting sqref="G1099">
    <cfRule type="cellIs" dxfId="172" priority="243" stopIfTrue="1" operator="notEqual">
      <formula>INDIRECT("Dummy_for_Comparison4!"&amp;ADDRESS(ROW(),COLUMN()))</formula>
    </cfRule>
  </conditionalFormatting>
  <conditionalFormatting sqref="K1092:K1095">
    <cfRule type="cellIs" dxfId="171" priority="259" stopIfTrue="1" operator="notEqual">
      <formula>INDIRECT("Dummy_for_Comparison4!"&amp;ADDRESS(ROW(),COLUMN()))</formula>
    </cfRule>
  </conditionalFormatting>
  <conditionalFormatting sqref="G1092:G1095">
    <cfRule type="cellIs" dxfId="170" priority="265" stopIfTrue="1" operator="notEqual">
      <formula>INDIRECT("Dummy_for_Comparison4!"&amp;ADDRESS(ROW(),COLUMN()))</formula>
    </cfRule>
  </conditionalFormatting>
  <conditionalFormatting sqref="M1107:N1107">
    <cfRule type="cellIs" dxfId="169" priority="239" stopIfTrue="1" operator="notEqual">
      <formula>INDIRECT("Dummy_for_Comparison4!"&amp;ADDRESS(ROW(),COLUMN()))</formula>
    </cfRule>
  </conditionalFormatting>
  <conditionalFormatting sqref="AJ1096">
    <cfRule type="cellIs" dxfId="168" priority="283" stopIfTrue="1" operator="notEqual">
      <formula>INDIRECT("Dummy_for_Comparison4!"&amp;ADDRESS(ROW(),COLUMN()))</formula>
    </cfRule>
  </conditionalFormatting>
  <conditionalFormatting sqref="C1097:D1097">
    <cfRule type="cellIs" dxfId="167" priority="285" stopIfTrue="1" operator="notEqual">
      <formula>INDIRECT("Dummy_for_Comparison4!"&amp;ADDRESS(ROW(),COLUMN()))</formula>
    </cfRule>
  </conditionalFormatting>
  <conditionalFormatting sqref="AJ1097">
    <cfRule type="cellIs" dxfId="166" priority="282" stopIfTrue="1" operator="notEqual">
      <formula>INDIRECT("Dummy_for_Comparison4!"&amp;ADDRESS(ROW(),COLUMN()))</formula>
    </cfRule>
  </conditionalFormatting>
  <conditionalFormatting sqref="C1098:D1098">
    <cfRule type="cellIs" dxfId="165" priority="284" stopIfTrue="1" operator="notEqual">
      <formula>INDIRECT("Dummy_for_Comparison4!"&amp;ADDRESS(ROW(),COLUMN()))</formula>
    </cfRule>
  </conditionalFormatting>
  <conditionalFormatting sqref="AJ1098">
    <cfRule type="cellIs" dxfId="164" priority="281" stopIfTrue="1" operator="notEqual">
      <formula>INDIRECT("Dummy_for_Comparison4!"&amp;ADDRESS(ROW(),COLUMN()))</formula>
    </cfRule>
  </conditionalFormatting>
  <conditionalFormatting sqref="C1099:D1099">
    <cfRule type="cellIs" dxfId="163" priority="277" stopIfTrue="1" operator="notEqual">
      <formula>INDIRECT("Dummy_for_Comparison4!"&amp;ADDRESS(ROW(),COLUMN()))</formula>
    </cfRule>
  </conditionalFormatting>
  <conditionalFormatting sqref="G1109:G1110">
    <cfRule type="cellIs" dxfId="162" priority="262" stopIfTrue="1" operator="notEqual">
      <formula>INDIRECT("Dummy_for_Comparison4!"&amp;ADDRESS(ROW(),COLUMN()))</formula>
    </cfRule>
  </conditionalFormatting>
  <conditionalFormatting sqref="K1099">
    <cfRule type="cellIs" dxfId="161" priority="258" stopIfTrue="1" operator="notEqual">
      <formula>INDIRECT("Dummy_for_Comparison4!"&amp;ADDRESS(ROW(),COLUMN()))</formula>
    </cfRule>
  </conditionalFormatting>
  <conditionalFormatting sqref="M1099:N1099">
    <cfRule type="cellIs" dxfId="160" priority="270" stopIfTrue="1" operator="notEqual">
      <formula>INDIRECT("Dummy_for_Comparison4!"&amp;ADDRESS(ROW(),COLUMN()))</formula>
    </cfRule>
  </conditionalFormatting>
  <conditionalFormatting sqref="AJ1099">
    <cfRule type="cellIs" dxfId="159" priority="276" stopIfTrue="1" operator="notEqual">
      <formula>INDIRECT("Dummy_for_Comparison4!"&amp;ADDRESS(ROW(),COLUMN()))</formula>
    </cfRule>
  </conditionalFormatting>
  <conditionalFormatting sqref="G1103">
    <cfRule type="cellIs" dxfId="158" priority="263" stopIfTrue="1" operator="notEqual">
      <formula>INDIRECT("Dummy_for_Comparison4!"&amp;ADDRESS(ROW(),COLUMN()))</formula>
    </cfRule>
  </conditionalFormatting>
  <conditionalFormatting sqref="K1103">
    <cfRule type="cellIs" dxfId="157" priority="257" stopIfTrue="1" operator="notEqual">
      <formula>INDIRECT("Dummy_for_Comparison4!"&amp;ADDRESS(ROW(),COLUMN()))</formula>
    </cfRule>
  </conditionalFormatting>
  <conditionalFormatting sqref="M1103:N1103">
    <cfRule type="cellIs" dxfId="156" priority="268" stopIfTrue="1" operator="notEqual">
      <formula>INDIRECT("Dummy_for_Comparison4!"&amp;ADDRESS(ROW(),COLUMN()))</formula>
    </cfRule>
  </conditionalFormatting>
  <conditionalFormatting sqref="O1104:O1106 H1104:J1106 L1104:L1106 C1104:F1106">
    <cfRule type="cellIs" dxfId="155" priority="242" stopIfTrue="1" operator="notEqual">
      <formula>INDIRECT("Dummy_for_Comparison4!"&amp;ADDRESS(ROW(),COLUMN()))</formula>
    </cfRule>
  </conditionalFormatting>
  <conditionalFormatting sqref="K1109:K1110">
    <cfRule type="cellIs" dxfId="154" priority="256" stopIfTrue="1" operator="notEqual">
      <formula>INDIRECT("Dummy_for_Comparison4!"&amp;ADDRESS(ROW(),COLUMN()))</formula>
    </cfRule>
  </conditionalFormatting>
  <conditionalFormatting sqref="H1099:J1099 O1099 L1099">
    <cfRule type="cellIs" dxfId="153" priority="279" stopIfTrue="1" operator="notEqual">
      <formula>INDIRECT("Dummy_for_Comparison4!"&amp;ADDRESS(ROW(),COLUMN()))</formula>
    </cfRule>
  </conditionalFormatting>
  <conditionalFormatting sqref="G1112">
    <cfRule type="cellIs" dxfId="152" priority="218" stopIfTrue="1" operator="notEqual">
      <formula>INDIRECT("Dummy_for_Comparison4!"&amp;ADDRESS(ROW(),COLUMN()))</formula>
    </cfRule>
  </conditionalFormatting>
  <conditionalFormatting sqref="M1100:N1102">
    <cfRule type="cellIs" dxfId="151" priority="269" stopIfTrue="1" operator="notEqual">
      <formula>INDIRECT("Dummy_for_Comparison4!"&amp;ADDRESS(ROW(),COLUMN()))</formula>
    </cfRule>
  </conditionalFormatting>
  <conditionalFormatting sqref="C1090:F1091 C1096:E1096 C1108:F1108 O1100:O1102 H1108:J1108 H1096:J1098 H1090:J1091 H1100:J1102 L1100:L1102 L1090:O1091 L1096:O1098 L1108:O1108 C1100:D1102 F1100:F1102">
    <cfRule type="cellIs" dxfId="150" priority="287" stopIfTrue="1" operator="notEqual">
      <formula>INDIRECT("Dummy_for_Comparison4!"&amp;ADDRESS(ROW(),COLUMN()))</formula>
    </cfRule>
  </conditionalFormatting>
  <conditionalFormatting sqref="G1090:G1091 G1096 G1108">
    <cfRule type="cellIs" dxfId="149" priority="267" stopIfTrue="1" operator="notEqual">
      <formula>INDIRECT("Dummy_for_Comparison4!"&amp;ADDRESS(ROW(),COLUMN()))</formula>
    </cfRule>
  </conditionalFormatting>
  <conditionalFormatting sqref="M1104:N1106">
    <cfRule type="cellIs" dxfId="148" priority="240" stopIfTrue="1" operator="notEqual">
      <formula>INDIRECT("Dummy_for_Comparison4!"&amp;ADDRESS(ROW(),COLUMN()))</formula>
    </cfRule>
  </conditionalFormatting>
  <conditionalFormatting sqref="C1107:E1107 O1107 H1107:J1107 L1107">
    <cfRule type="cellIs" dxfId="147" priority="241" stopIfTrue="1" operator="notEqual">
      <formula>INDIRECT("Dummy_for_Comparison4!"&amp;ADDRESS(ROW(),COLUMN()))</formula>
    </cfRule>
  </conditionalFormatting>
  <conditionalFormatting sqref="H1092:J1095 C1092:F1095 L1092:O1095">
    <cfRule type="cellIs" dxfId="146" priority="280" stopIfTrue="1" operator="notEqual">
      <formula>INDIRECT("Dummy_for_Comparison4!"&amp;ADDRESS(ROW(),COLUMN()))</formula>
    </cfRule>
  </conditionalFormatting>
  <conditionalFormatting sqref="E1102">
    <cfRule type="cellIs" dxfId="145" priority="234" stopIfTrue="1" operator="notEqual">
      <formula>INDIRECT("Dummy_for_Comparison4!"&amp;ADDRESS(ROW(),COLUMN()))</formula>
    </cfRule>
  </conditionalFormatting>
  <conditionalFormatting sqref="C1103:E1103 O1103 H1103:J1103 L1103">
    <cfRule type="cellIs" dxfId="144" priority="275" stopIfTrue="1" operator="notEqual">
      <formula>INDIRECT("Dummy_for_Comparison4!"&amp;ADDRESS(ROW(),COLUMN()))</formula>
    </cfRule>
  </conditionalFormatting>
  <conditionalFormatting sqref="H1109:J1110 L1109:O1109 C1109:F1110 L1110:N1110">
    <cfRule type="cellIs" dxfId="143" priority="274" stopIfTrue="1" operator="notEqual">
      <formula>INDIRECT("Dummy_for_Comparison4!"&amp;ADDRESS(ROW(),COLUMN()))</formula>
    </cfRule>
  </conditionalFormatting>
  <conditionalFormatting sqref="E1097">
    <cfRule type="cellIs" dxfId="142" priority="254" stopIfTrue="1" operator="notEqual">
      <formula>INDIRECT("Dummy_for_Comparison4!"&amp;ADDRESS(ROW(),COLUMN()))</formula>
    </cfRule>
  </conditionalFormatting>
  <conditionalFormatting sqref="E1098">
    <cfRule type="cellIs" dxfId="141" priority="253" stopIfTrue="1" operator="notEqual">
      <formula>INDIRECT("Dummy_for_Comparison4!"&amp;ADDRESS(ROW(),COLUMN()))</formula>
    </cfRule>
  </conditionalFormatting>
  <conditionalFormatting sqref="G1100">
    <cfRule type="cellIs" dxfId="140" priority="223" stopIfTrue="1" operator="notEqual">
      <formula>INDIRECT("Dummy_for_Comparison4!"&amp;ADDRESS(ROW(),COLUMN()))</formula>
    </cfRule>
  </conditionalFormatting>
  <conditionalFormatting sqref="E1099">
    <cfRule type="cellIs" dxfId="139" priority="251" stopIfTrue="1" operator="notEqual">
      <formula>INDIRECT("Dummy_for_Comparison4!"&amp;ADDRESS(ROW(),COLUMN()))</formula>
    </cfRule>
  </conditionalFormatting>
  <conditionalFormatting sqref="F1107">
    <cfRule type="cellIs" dxfId="138" priority="229" stopIfTrue="1" operator="notEqual">
      <formula>INDIRECT("Dummy_for_Comparison4!"&amp;ADDRESS(ROW(),COLUMN()))</formula>
    </cfRule>
  </conditionalFormatting>
  <conditionalFormatting sqref="F1096">
    <cfRule type="cellIs" dxfId="137" priority="247" stopIfTrue="1" operator="notEqual">
      <formula>INDIRECT("Dummy_for_Comparison4!"&amp;ADDRESS(ROW(),COLUMN()))</formula>
    </cfRule>
  </conditionalFormatting>
  <conditionalFormatting sqref="G1097">
    <cfRule type="cellIs" dxfId="136" priority="246" stopIfTrue="1" operator="notEqual">
      <formula>INDIRECT("Dummy_for_Comparison4!"&amp;ADDRESS(ROW(),COLUMN()))</formula>
    </cfRule>
  </conditionalFormatting>
  <conditionalFormatting sqref="G1098">
    <cfRule type="cellIs" dxfId="135" priority="245" stopIfTrue="1" operator="notEqual">
      <formula>INDIRECT("Dummy_for_Comparison4!"&amp;ADDRESS(ROW(),COLUMN()))</formula>
    </cfRule>
  </conditionalFormatting>
  <conditionalFormatting sqref="K1104:K1106">
    <cfRule type="cellIs" dxfId="134" priority="236" stopIfTrue="1" operator="notEqual">
      <formula>INDIRECT("Dummy_for_Comparison4!"&amp;ADDRESS(ROW(),COLUMN()))</formula>
    </cfRule>
  </conditionalFormatting>
  <conditionalFormatting sqref="G1107">
    <cfRule type="cellIs" dxfId="133" priority="237" stopIfTrue="1" operator="notEqual">
      <formula>INDIRECT("Dummy_for_Comparison4!"&amp;ADDRESS(ROW(),COLUMN()))</formula>
    </cfRule>
  </conditionalFormatting>
  <conditionalFormatting sqref="K1107">
    <cfRule type="cellIs" dxfId="132" priority="235" stopIfTrue="1" operator="notEqual">
      <formula>INDIRECT("Dummy_for_Comparison4!"&amp;ADDRESS(ROW(),COLUMN()))</formula>
    </cfRule>
  </conditionalFormatting>
  <conditionalFormatting sqref="K1112">
    <cfRule type="cellIs" dxfId="131" priority="217" stopIfTrue="1" operator="notEqual">
      <formula>INDIRECT("Dummy_for_Comparison4!"&amp;ADDRESS(ROW(),COLUMN()))</formula>
    </cfRule>
  </conditionalFormatting>
  <conditionalFormatting sqref="G1104:G1106">
    <cfRule type="cellIs" dxfId="130" priority="238" stopIfTrue="1" operator="notEqual">
      <formula>INDIRECT("Dummy_for_Comparison4!"&amp;ADDRESS(ROW(),COLUMN()))</formula>
    </cfRule>
  </conditionalFormatting>
  <conditionalFormatting sqref="E1101">
    <cfRule type="cellIs" dxfId="129" priority="233" stopIfTrue="1" operator="notEqual">
      <formula>INDIRECT("Dummy_for_Comparison4!"&amp;ADDRESS(ROW(),COLUMN()))</formula>
    </cfRule>
  </conditionalFormatting>
  <conditionalFormatting sqref="E1100">
    <cfRule type="cellIs" dxfId="128" priority="231" stopIfTrue="1" operator="notEqual">
      <formula>INDIRECT("Dummy_for_Comparison4!"&amp;ADDRESS(ROW(),COLUMN()))</formula>
    </cfRule>
  </conditionalFormatting>
  <conditionalFormatting sqref="K1113">
    <cfRule type="cellIs" dxfId="127" priority="204" stopIfTrue="1" operator="notEqual">
      <formula>INDIRECT("Dummy_for_Comparison4!"&amp;ADDRESS(ROW(),COLUMN()))</formula>
    </cfRule>
  </conditionalFormatting>
  <conditionalFormatting sqref="F1103">
    <cfRule type="cellIs" dxfId="126" priority="227" stopIfTrue="1" operator="notEqual">
      <formula>INDIRECT("Dummy_for_Comparison4!"&amp;ADDRESS(ROW(),COLUMN()))</formula>
    </cfRule>
  </conditionalFormatting>
  <conditionalFormatting sqref="G1102">
    <cfRule type="cellIs" dxfId="125" priority="226" stopIfTrue="1" operator="notEqual">
      <formula>INDIRECT("Dummy_for_Comparison4!"&amp;ADDRESS(ROW(),COLUMN()))</formula>
    </cfRule>
  </conditionalFormatting>
  <conditionalFormatting sqref="G1101">
    <cfRule type="cellIs" dxfId="124" priority="225" stopIfTrue="1" operator="notEqual">
      <formula>INDIRECT("Dummy_for_Comparison4!"&amp;ADDRESS(ROW(),COLUMN()))</formula>
    </cfRule>
  </conditionalFormatting>
  <conditionalFormatting sqref="K1111">
    <cfRule type="cellIs" dxfId="123" priority="220" stopIfTrue="1" operator="notEqual">
      <formula>INDIRECT("Dummy_for_Comparison4!"&amp;ADDRESS(ROW(),COLUMN()))</formula>
    </cfRule>
  </conditionalFormatting>
  <conditionalFormatting sqref="C1111:F1111 H1111:J1111 L1111:O1111">
    <cfRule type="cellIs" dxfId="122" priority="222" stopIfTrue="1" operator="notEqual">
      <formula>INDIRECT("Dummy_for_Comparison4!"&amp;ADDRESS(ROW(),COLUMN()))</formula>
    </cfRule>
  </conditionalFormatting>
  <conditionalFormatting sqref="G1111">
    <cfRule type="cellIs" dxfId="121" priority="221" stopIfTrue="1" operator="notEqual">
      <formula>INDIRECT("Dummy_for_Comparison4!"&amp;ADDRESS(ROW(),COLUMN()))</formula>
    </cfRule>
  </conditionalFormatting>
  <conditionalFormatting sqref="C1112:F1112 H1112:J1112 L1112:O1112">
    <cfRule type="cellIs" dxfId="120" priority="219" stopIfTrue="1" operator="notEqual">
      <formula>INDIRECT("Dummy_for_Comparison4!"&amp;ADDRESS(ROW(),COLUMN()))</formula>
    </cfRule>
  </conditionalFormatting>
  <conditionalFormatting sqref="C1113:F1113 H1113:J1113 L1113:O1113">
    <cfRule type="cellIs" dxfId="119" priority="206" stopIfTrue="1" operator="notEqual">
      <formula>INDIRECT("Dummy_for_Comparison4!"&amp;ADDRESS(ROW(),COLUMN()))</formula>
    </cfRule>
  </conditionalFormatting>
  <conditionalFormatting sqref="G1113">
    <cfRule type="cellIs" dxfId="118" priority="205" stopIfTrue="1" operator="notEqual">
      <formula>INDIRECT("Dummy_for_Comparison4!"&amp;ADDRESS(ROW(),COLUMN()))</formula>
    </cfRule>
  </conditionalFormatting>
  <conditionalFormatting sqref="O1110">
    <cfRule type="cellIs" dxfId="117" priority="196" stopIfTrue="1" operator="notEqual">
      <formula>INDIRECT("Dummy_for_Comparison4!"&amp;ADDRESS(ROW(),COLUMN()))</formula>
    </cfRule>
  </conditionalFormatting>
  <conditionalFormatting sqref="K1114:K1117">
    <cfRule type="cellIs" dxfId="116" priority="179" stopIfTrue="1" operator="notEqual">
      <formula>INDIRECT("Dummy_for_Comparison4!"&amp;ADDRESS(ROW(),COLUMN()))</formula>
    </cfRule>
  </conditionalFormatting>
  <conditionalFormatting sqref="M1114:N1117">
    <cfRule type="cellIs" dxfId="115" priority="180" stopIfTrue="1" operator="notEqual">
      <formula>INDIRECT("Dummy_for_Comparison4!"&amp;ADDRESS(ROW(),COLUMN()))</formula>
    </cfRule>
  </conditionalFormatting>
  <conditionalFormatting sqref="O1114:O1117 H1114:J1117 L1114:L1117 C1114:D1117 F1114:F1117">
    <cfRule type="cellIs" dxfId="114" priority="181" stopIfTrue="1" operator="notEqual">
      <formula>INDIRECT("Dummy_for_Comparison4!"&amp;ADDRESS(ROW(),COLUMN()))</formula>
    </cfRule>
  </conditionalFormatting>
  <conditionalFormatting sqref="E1114:E1117">
    <cfRule type="cellIs" dxfId="113" priority="178" stopIfTrue="1" operator="notEqual">
      <formula>INDIRECT("Dummy_for_Comparison4!"&amp;ADDRESS(ROW(),COLUMN()))</formula>
    </cfRule>
  </conditionalFormatting>
  <conditionalFormatting sqref="G1114:G1117">
    <cfRule type="cellIs" dxfId="112" priority="177" stopIfTrue="1" operator="notEqual">
      <formula>INDIRECT("Dummy_for_Comparison4!"&amp;ADDRESS(ROW(),COLUMN()))</formula>
    </cfRule>
  </conditionalFormatting>
  <conditionalFormatting sqref="AJ1108">
    <cfRule type="cellIs" dxfId="111" priority="174" stopIfTrue="1" operator="notEqual">
      <formula>INDIRECT("Dummy_for_Comparison4!"&amp;ADDRESS(ROW(),COLUMN()))</formula>
    </cfRule>
  </conditionalFormatting>
  <conditionalFormatting sqref="AJ1109">
    <cfRule type="cellIs" dxfId="110" priority="173" stopIfTrue="1" operator="notEqual">
      <formula>INDIRECT("Dummy_for_Comparison4!"&amp;ADDRESS(ROW(),COLUMN()))</formula>
    </cfRule>
  </conditionalFormatting>
  <conditionalFormatting sqref="F1097">
    <cfRule type="cellIs" dxfId="109" priority="172" stopIfTrue="1" operator="notEqual">
      <formula>INDIRECT("Dummy_for_Comparison4!"&amp;ADDRESS(ROW(),COLUMN()))</formula>
    </cfRule>
  </conditionalFormatting>
  <conditionalFormatting sqref="F1098">
    <cfRule type="cellIs" dxfId="108" priority="171" stopIfTrue="1" operator="notEqual">
      <formula>INDIRECT("Dummy_for_Comparison4!"&amp;ADDRESS(ROW(),COLUMN()))</formula>
    </cfRule>
  </conditionalFormatting>
  <conditionalFormatting sqref="F1099">
    <cfRule type="cellIs" dxfId="107" priority="169" stopIfTrue="1" operator="notEqual">
      <formula>INDIRECT("Dummy_for_Comparison4!"&amp;ADDRESS(ROW(),COLUMN()))</formula>
    </cfRule>
  </conditionalFormatting>
  <conditionalFormatting sqref="AN1085:AN1086">
    <cfRule type="cellIs" dxfId="106" priority="161" stopIfTrue="1" operator="notEqual">
      <formula>INDIRECT("Dummy_for_Comparison4!"&amp;ADDRESS(ROW(),COLUMN()))</formula>
    </cfRule>
  </conditionalFormatting>
  <conditionalFormatting sqref="AM1085:AM1086">
    <cfRule type="cellIs" dxfId="105" priority="164" stopIfTrue="1" operator="notEqual">
      <formula>INDIRECT("Dummy_for_Comparison4!"&amp;ADDRESS(ROW(),COLUMN()))</formula>
    </cfRule>
  </conditionalFormatting>
  <conditionalFormatting sqref="AJ1085:AK1086 AO1085:AY1086">
    <cfRule type="cellIs" dxfId="104" priority="163" stopIfTrue="1" operator="notEqual">
      <formula>INDIRECT("Dummy_for_Comparison4!"&amp;ADDRESS(ROW(),COLUMN()))</formula>
    </cfRule>
  </conditionalFormatting>
  <conditionalFormatting sqref="AL1085:AL1086">
    <cfRule type="cellIs" dxfId="103" priority="162" stopIfTrue="1" operator="notEqual">
      <formula>INDIRECT("Dummy_for_Comparison4!"&amp;ADDRESS(ROW(),COLUMN()))</formula>
    </cfRule>
  </conditionalFormatting>
  <conditionalFormatting sqref="G1088:G1089">
    <cfRule type="cellIs" dxfId="102" priority="142" stopIfTrue="1" operator="notEqual">
      <formula>INDIRECT("Dummy_for_Comparison4!"&amp;ADDRESS(ROW(),COLUMN()))</formula>
    </cfRule>
  </conditionalFormatting>
  <conditionalFormatting sqref="K1088:K1089">
    <cfRule type="cellIs" dxfId="101" priority="139" stopIfTrue="1" operator="notEqual">
      <formula>INDIRECT("Dummy_for_Comparison4!"&amp;ADDRESS(ROW(),COLUMN()))</formula>
    </cfRule>
  </conditionalFormatting>
  <conditionalFormatting sqref="M1088:M1089">
    <cfRule type="cellIs" dxfId="100" priority="143" stopIfTrue="1" operator="notEqual">
      <formula>INDIRECT("Dummy_for_Comparison4!"&amp;ADDRESS(ROW(),COLUMN()))</formula>
    </cfRule>
  </conditionalFormatting>
  <conditionalFormatting sqref="AF1088:AI1089">
    <cfRule type="cellIs" dxfId="99" priority="147" stopIfTrue="1" operator="notEqual">
      <formula>INDIRECT("Dummy_for_Comparison4!"&amp;ADDRESS(ROW(),COLUMN()))</formula>
    </cfRule>
  </conditionalFormatting>
  <conditionalFormatting sqref="B1088:B1089">
    <cfRule type="cellIs" dxfId="98" priority="146" stopIfTrue="1" operator="notEqual">
      <formula>INDIRECT("Dummy_for_Comparison4!"&amp;ADDRESS(ROW(),COLUMN()))</formula>
    </cfRule>
  </conditionalFormatting>
  <conditionalFormatting sqref="AE1088:AE1089">
    <cfRule type="cellIs" dxfId="97" priority="145" stopIfTrue="1" operator="notEqual">
      <formula>INDIRECT("Dummy_for_Comparison4!"&amp;ADDRESS(ROW(),COLUMN()))</formula>
    </cfRule>
  </conditionalFormatting>
  <conditionalFormatting sqref="O1088:O1089 H1088:J1089 L1088:L1089 C1088:F1089">
    <cfRule type="cellIs" dxfId="96" priority="144" stopIfTrue="1" operator="notEqual">
      <formula>INDIRECT("Dummy_for_Comparison4!"&amp;ADDRESS(ROW(),COLUMN()))</formula>
    </cfRule>
  </conditionalFormatting>
  <conditionalFormatting sqref="Q1088:Q1089">
    <cfRule type="cellIs" dxfId="95" priority="141" stopIfTrue="1" operator="notEqual">
      <formula>INDIRECT("Dummy_for_Comparison4!"&amp;ADDRESS(ROW(),COLUMN()))</formula>
    </cfRule>
  </conditionalFormatting>
  <conditionalFormatting sqref="AN1088:AN1089">
    <cfRule type="cellIs" dxfId="94" priority="135" stopIfTrue="1" operator="notEqual">
      <formula>INDIRECT("Dummy_for_Comparison4!"&amp;ADDRESS(ROW(),COLUMN()))</formula>
    </cfRule>
  </conditionalFormatting>
  <conditionalFormatting sqref="AM1088:AM1089">
    <cfRule type="cellIs" dxfId="93" priority="138" stopIfTrue="1" operator="notEqual">
      <formula>INDIRECT("Dummy_for_Comparison4!"&amp;ADDRESS(ROW(),COLUMN()))</formula>
    </cfRule>
  </conditionalFormatting>
  <conditionalFormatting sqref="AJ1088:AK1089 AO1088:AY1089">
    <cfRule type="cellIs" dxfId="92" priority="137" stopIfTrue="1" operator="notEqual">
      <formula>INDIRECT("Dummy_for_Comparison4!"&amp;ADDRESS(ROW(),COLUMN()))</formula>
    </cfRule>
  </conditionalFormatting>
  <conditionalFormatting sqref="AL1088:AL1089">
    <cfRule type="cellIs" dxfId="91" priority="136" stopIfTrue="1" operator="notEqual">
      <formula>INDIRECT("Dummy_for_Comparison4!"&amp;ADDRESS(ROW(),COLUMN()))</formula>
    </cfRule>
  </conditionalFormatting>
  <conditionalFormatting sqref="P1068">
    <cfRule type="cellIs" dxfId="90" priority="134" stopIfTrue="1" operator="notEqual">
      <formula>INDIRECT("Dummy_for_Comparison4!"&amp;ADDRESS(ROW(),COLUMN()))</formula>
    </cfRule>
  </conditionalFormatting>
  <conditionalFormatting sqref="P1069">
    <cfRule type="cellIs" dxfId="89" priority="133" stopIfTrue="1" operator="notEqual">
      <formula>INDIRECT("Dummy_for_Comparison4!"&amp;ADDRESS(ROW(),COLUMN()))</formula>
    </cfRule>
  </conditionalFormatting>
  <conditionalFormatting sqref="P1089">
    <cfRule type="cellIs" dxfId="88" priority="117" stopIfTrue="1" operator="notEqual">
      <formula>INDIRECT("Dummy_for_Comparison4!"&amp;ADDRESS(ROW(),COLUMN()))</formula>
    </cfRule>
  </conditionalFormatting>
  <conditionalFormatting sqref="P1070">
    <cfRule type="cellIs" dxfId="87" priority="131" stopIfTrue="1" operator="notEqual">
      <formula>INDIRECT("Dummy_for_Comparison4!"&amp;ADDRESS(ROW(),COLUMN()))</formula>
    </cfRule>
  </conditionalFormatting>
  <conditionalFormatting sqref="P1088">
    <cfRule type="cellIs" dxfId="86" priority="118" stopIfTrue="1" operator="notEqual">
      <formula>INDIRECT("Dummy_for_Comparison4!"&amp;ADDRESS(ROW(),COLUMN()))</formula>
    </cfRule>
  </conditionalFormatting>
  <conditionalFormatting sqref="P1079">
    <cfRule type="cellIs" dxfId="85" priority="126" stopIfTrue="1" operator="notEqual">
      <formula>INDIRECT("Dummy_for_Comparison4!"&amp;ADDRESS(ROW(),COLUMN()))</formula>
    </cfRule>
  </conditionalFormatting>
  <conditionalFormatting sqref="P1080">
    <cfRule type="cellIs" dxfId="84" priority="125" stopIfTrue="1" operator="notEqual">
      <formula>INDIRECT("Dummy_for_Comparison4!"&amp;ADDRESS(ROW(),COLUMN()))</formula>
    </cfRule>
  </conditionalFormatting>
  <conditionalFormatting sqref="P1081">
    <cfRule type="cellIs" dxfId="83" priority="124" stopIfTrue="1" operator="notEqual">
      <formula>INDIRECT("Dummy_for_Comparison4!"&amp;ADDRESS(ROW(),COLUMN()))</formula>
    </cfRule>
  </conditionalFormatting>
  <conditionalFormatting sqref="P1082">
    <cfRule type="cellIs" dxfId="82" priority="123" stopIfTrue="1" operator="notEqual">
      <formula>INDIRECT("Dummy_for_Comparison4!"&amp;ADDRESS(ROW(),COLUMN()))</formula>
    </cfRule>
  </conditionalFormatting>
  <conditionalFormatting sqref="P1085">
    <cfRule type="cellIs" dxfId="81" priority="122" stopIfTrue="1" operator="notEqual">
      <formula>INDIRECT("Dummy_for_Comparison4!"&amp;ADDRESS(ROW(),COLUMN()))</formula>
    </cfRule>
  </conditionalFormatting>
  <conditionalFormatting sqref="P1086">
    <cfRule type="cellIs" dxfId="80" priority="121" stopIfTrue="1" operator="notEqual">
      <formula>INDIRECT("Dummy_for_Comparison4!"&amp;ADDRESS(ROW(),COLUMN()))</formula>
    </cfRule>
  </conditionalFormatting>
  <conditionalFormatting sqref="R1085:R1086">
    <cfRule type="cellIs" dxfId="79" priority="114" stopIfTrue="1" operator="notEqual">
      <formula>INDIRECT("Dummy_for_Comparison4!"&amp;ADDRESS(ROW(),COLUMN()))</formula>
    </cfRule>
  </conditionalFormatting>
  <conditionalFormatting sqref="R1082">
    <cfRule type="cellIs" dxfId="78" priority="112" stopIfTrue="1" operator="notEqual">
      <formula>INDIRECT("Dummy_for_Comparison4!"&amp;ADDRESS(ROW(),COLUMN()))</formula>
    </cfRule>
  </conditionalFormatting>
  <conditionalFormatting sqref="R1088">
    <cfRule type="cellIs" dxfId="77" priority="111" stopIfTrue="1" operator="notEqual">
      <formula>INDIRECT("Dummy_for_Comparison4!"&amp;ADDRESS(ROW(),COLUMN()))</formula>
    </cfRule>
  </conditionalFormatting>
  <conditionalFormatting sqref="R1089">
    <cfRule type="cellIs" dxfId="76" priority="109" stopIfTrue="1" operator="notEqual">
      <formula>INDIRECT("Dummy_for_Comparison4!"&amp;ADDRESS(ROW(),COLUMN()))</formula>
    </cfRule>
  </conditionalFormatting>
  <conditionalFormatting sqref="N340">
    <cfRule type="cellIs" dxfId="75" priority="108" stopIfTrue="1" operator="notEqual">
      <formula>INDIRECT("Dummy_for_Comparison4!"&amp;ADDRESS(ROW(),COLUMN()))</formula>
    </cfRule>
  </conditionalFormatting>
  <conditionalFormatting sqref="N341">
    <cfRule type="cellIs" dxfId="74" priority="107" stopIfTrue="1" operator="notEqual">
      <formula>INDIRECT("Dummy_for_Comparison4!"&amp;ADDRESS(ROW(),COLUMN()))</formula>
    </cfRule>
  </conditionalFormatting>
  <conditionalFormatting sqref="N342">
    <cfRule type="cellIs" dxfId="73" priority="106" stopIfTrue="1" operator="notEqual">
      <formula>INDIRECT("Dummy_for_Comparison4!"&amp;ADDRESS(ROW(),COLUMN()))</formula>
    </cfRule>
  </conditionalFormatting>
  <conditionalFormatting sqref="N343">
    <cfRule type="cellIs" dxfId="72" priority="105" stopIfTrue="1" operator="notEqual">
      <formula>INDIRECT("Dummy_for_Comparison4!"&amp;ADDRESS(ROW(),COLUMN()))</formula>
    </cfRule>
  </conditionalFormatting>
  <conditionalFormatting sqref="N344">
    <cfRule type="cellIs" dxfId="71" priority="103" stopIfTrue="1" operator="notEqual">
      <formula>INDIRECT("Dummy_for_Comparison4!"&amp;ADDRESS(ROW(),COLUMN()))</formula>
    </cfRule>
  </conditionalFormatting>
  <conditionalFormatting sqref="N363">
    <cfRule type="cellIs" dxfId="70" priority="99" stopIfTrue="1" operator="notEqual">
      <formula>INDIRECT("Dummy_for_Comparison4!"&amp;ADDRESS(ROW(),COLUMN()))</formula>
    </cfRule>
  </conditionalFormatting>
  <conditionalFormatting sqref="N364">
    <cfRule type="cellIs" dxfId="69" priority="98" stopIfTrue="1" operator="notEqual">
      <formula>INDIRECT("Dummy_for_Comparison4!"&amp;ADDRESS(ROW(),COLUMN()))</formula>
    </cfRule>
  </conditionalFormatting>
  <conditionalFormatting sqref="N353">
    <cfRule type="cellIs" dxfId="68" priority="97" stopIfTrue="1" operator="notEqual">
      <formula>INDIRECT("Dummy_for_Comparison4!"&amp;ADDRESS(ROW(),COLUMN()))</formula>
    </cfRule>
  </conditionalFormatting>
  <conditionalFormatting sqref="N354">
    <cfRule type="cellIs" dxfId="67" priority="96" stopIfTrue="1" operator="notEqual">
      <formula>INDIRECT("Dummy_for_Comparison4!"&amp;ADDRESS(ROW(),COLUMN()))</formula>
    </cfRule>
  </conditionalFormatting>
  <conditionalFormatting sqref="N355">
    <cfRule type="cellIs" dxfId="66" priority="93" stopIfTrue="1" operator="notEqual">
      <formula>INDIRECT("Dummy_for_Comparison4!"&amp;ADDRESS(ROW(),COLUMN()))</formula>
    </cfRule>
  </conditionalFormatting>
  <conditionalFormatting sqref="N356">
    <cfRule type="cellIs" dxfId="65" priority="92" stopIfTrue="1" operator="notEqual">
      <formula>INDIRECT("Dummy_for_Comparison4!"&amp;ADDRESS(ROW(),COLUMN()))</formula>
    </cfRule>
  </conditionalFormatting>
  <conditionalFormatting sqref="N384">
    <cfRule type="cellIs" dxfId="64" priority="91" stopIfTrue="1" operator="notEqual">
      <formula>INDIRECT("Dummy_for_Comparison4!"&amp;ADDRESS(ROW(),COLUMN()))</formula>
    </cfRule>
  </conditionalFormatting>
  <conditionalFormatting sqref="N385">
    <cfRule type="cellIs" dxfId="63" priority="90" stopIfTrue="1" operator="notEqual">
      <formula>INDIRECT("Dummy_for_Comparison4!"&amp;ADDRESS(ROW(),COLUMN()))</formula>
    </cfRule>
  </conditionalFormatting>
  <conditionalFormatting sqref="N386">
    <cfRule type="cellIs" dxfId="62" priority="89" stopIfTrue="1" operator="notEqual">
      <formula>INDIRECT("Dummy_for_Comparison4!"&amp;ADDRESS(ROW(),COLUMN()))</formula>
    </cfRule>
  </conditionalFormatting>
  <conditionalFormatting sqref="N387">
    <cfRule type="cellIs" dxfId="61" priority="88" stopIfTrue="1" operator="notEqual">
      <formula>INDIRECT("Dummy_for_Comparison4!"&amp;ADDRESS(ROW(),COLUMN()))</formula>
    </cfRule>
  </conditionalFormatting>
  <conditionalFormatting sqref="N388">
    <cfRule type="cellIs" dxfId="60" priority="87" stopIfTrue="1" operator="notEqual">
      <formula>INDIRECT("Dummy_for_Comparison4!"&amp;ADDRESS(ROW(),COLUMN()))</formula>
    </cfRule>
  </conditionalFormatting>
  <conditionalFormatting sqref="N389">
    <cfRule type="cellIs" dxfId="59" priority="86" stopIfTrue="1" operator="notEqual">
      <formula>INDIRECT("Dummy_for_Comparison4!"&amp;ADDRESS(ROW(),COLUMN()))</formula>
    </cfRule>
  </conditionalFormatting>
  <conditionalFormatting sqref="N390">
    <cfRule type="cellIs" dxfId="58" priority="84" stopIfTrue="1" operator="notEqual">
      <formula>INDIRECT("Dummy_for_Comparison4!"&amp;ADDRESS(ROW(),COLUMN()))</formula>
    </cfRule>
  </conditionalFormatting>
  <conditionalFormatting sqref="N395">
    <cfRule type="cellIs" dxfId="57" priority="82" stopIfTrue="1" operator="notEqual">
      <formula>INDIRECT("Dummy_for_Comparison4!"&amp;ADDRESS(ROW(),COLUMN()))</formula>
    </cfRule>
  </conditionalFormatting>
  <conditionalFormatting sqref="N398">
    <cfRule type="cellIs" dxfId="56" priority="80" stopIfTrue="1" operator="notEqual">
      <formula>INDIRECT("Dummy_for_Comparison4!"&amp;ADDRESS(ROW(),COLUMN()))</formula>
    </cfRule>
  </conditionalFormatting>
  <conditionalFormatting sqref="N413:N416">
    <cfRule type="cellIs" dxfId="55" priority="78" stopIfTrue="1" operator="notEqual">
      <formula>INDIRECT("Dummy_for_Comparison4!"&amp;ADDRESS(ROW(),COLUMN()))</formula>
    </cfRule>
  </conditionalFormatting>
  <conditionalFormatting sqref="N426">
    <cfRule type="cellIs" dxfId="54" priority="76" stopIfTrue="1" operator="notEqual">
      <formula>INDIRECT("Dummy_for_Comparison4!"&amp;ADDRESS(ROW(),COLUMN()))</formula>
    </cfRule>
  </conditionalFormatting>
  <conditionalFormatting sqref="N483">
    <cfRule type="cellIs" dxfId="53" priority="75" stopIfTrue="1" operator="notEqual">
      <formula>INDIRECT("Dummy_for_Comparison4!"&amp;ADDRESS(ROW(),COLUMN()))</formula>
    </cfRule>
  </conditionalFormatting>
  <conditionalFormatting sqref="N484">
    <cfRule type="cellIs" dxfId="52" priority="74" stopIfTrue="1" operator="notEqual">
      <formula>INDIRECT("Dummy_for_Comparison4!"&amp;ADDRESS(ROW(),COLUMN()))</formula>
    </cfRule>
  </conditionalFormatting>
  <conditionalFormatting sqref="N478">
    <cfRule type="cellIs" dxfId="51" priority="73" stopIfTrue="1" operator="notEqual">
      <formula>INDIRECT("Dummy_for_Comparison4!"&amp;ADDRESS(ROW(),COLUMN()))</formula>
    </cfRule>
  </conditionalFormatting>
  <conditionalFormatting sqref="N479">
    <cfRule type="cellIs" dxfId="50" priority="72" stopIfTrue="1" operator="notEqual">
      <formula>INDIRECT("Dummy_for_Comparison4!"&amp;ADDRESS(ROW(),COLUMN()))</formula>
    </cfRule>
  </conditionalFormatting>
  <conditionalFormatting sqref="N480">
    <cfRule type="cellIs" dxfId="49" priority="71" stopIfTrue="1" operator="notEqual">
      <formula>INDIRECT("Dummy_for_Comparison4!"&amp;ADDRESS(ROW(),COLUMN()))</formula>
    </cfRule>
  </conditionalFormatting>
  <conditionalFormatting sqref="N481">
    <cfRule type="cellIs" dxfId="48" priority="70" stopIfTrue="1" operator="notEqual">
      <formula>INDIRECT("Dummy_for_Comparison4!"&amp;ADDRESS(ROW(),COLUMN()))</formula>
    </cfRule>
  </conditionalFormatting>
  <conditionalFormatting sqref="N509">
    <cfRule type="cellIs" dxfId="47" priority="69" stopIfTrue="1" operator="notEqual">
      <formula>INDIRECT("Dummy_for_Comparison4!"&amp;ADDRESS(ROW(),COLUMN()))</formula>
    </cfRule>
  </conditionalFormatting>
  <conditionalFormatting sqref="N510">
    <cfRule type="cellIs" dxfId="46" priority="68" stopIfTrue="1" operator="notEqual">
      <formula>INDIRECT("Dummy_for_Comparison4!"&amp;ADDRESS(ROW(),COLUMN()))</formula>
    </cfRule>
  </conditionalFormatting>
  <conditionalFormatting sqref="N529:N532">
    <cfRule type="cellIs" dxfId="45" priority="67" stopIfTrue="1" operator="notEqual">
      <formula>INDIRECT("Dummy_for_Comparison4!"&amp;ADDRESS(ROW(),COLUMN()))</formula>
    </cfRule>
  </conditionalFormatting>
  <conditionalFormatting sqref="N534:N537">
    <cfRule type="cellIs" dxfId="44" priority="66" stopIfTrue="1" operator="notEqual">
      <formula>INDIRECT("Dummy_for_Comparison4!"&amp;ADDRESS(ROW(),COLUMN()))</formula>
    </cfRule>
  </conditionalFormatting>
  <conditionalFormatting sqref="N557:N560">
    <cfRule type="cellIs" dxfId="43" priority="65" stopIfTrue="1" operator="notEqual">
      <formula>INDIRECT("Dummy_for_Comparison4!"&amp;ADDRESS(ROW(),COLUMN()))</formula>
    </cfRule>
  </conditionalFormatting>
  <conditionalFormatting sqref="N807:N809">
    <cfRule type="cellIs" dxfId="42" priority="63" stopIfTrue="1" operator="notEqual">
      <formula>INDIRECT("Dummy_for_Comparison4!"&amp;ADDRESS(ROW(),COLUMN()))</formula>
    </cfRule>
  </conditionalFormatting>
  <conditionalFormatting sqref="N821">
    <cfRule type="cellIs" dxfId="41" priority="61" stopIfTrue="1" operator="notEqual">
      <formula>INDIRECT("Dummy_for_Comparison4!"&amp;ADDRESS(ROW(),COLUMN()))</formula>
    </cfRule>
  </conditionalFormatting>
  <conditionalFormatting sqref="N823:N827">
    <cfRule type="cellIs" dxfId="40" priority="60" stopIfTrue="1" operator="notEqual">
      <formula>INDIRECT("Dummy_for_Comparison4!"&amp;ADDRESS(ROW(),COLUMN()))</formula>
    </cfRule>
  </conditionalFormatting>
  <conditionalFormatting sqref="N845">
    <cfRule type="cellIs" dxfId="39" priority="59" stopIfTrue="1" operator="notEqual">
      <formula>INDIRECT("Dummy_for_Comparison4!"&amp;ADDRESS(ROW(),COLUMN()))</formula>
    </cfRule>
  </conditionalFormatting>
  <conditionalFormatting sqref="N846">
    <cfRule type="cellIs" dxfId="38" priority="58" stopIfTrue="1" operator="notEqual">
      <formula>INDIRECT("Dummy_for_Comparison4!"&amp;ADDRESS(ROW(),COLUMN()))</formula>
    </cfRule>
  </conditionalFormatting>
  <conditionalFormatting sqref="N847">
    <cfRule type="cellIs" dxfId="37" priority="56" stopIfTrue="1" operator="notEqual">
      <formula>INDIRECT("Dummy_for_Comparison4!"&amp;ADDRESS(ROW(),COLUMN()))</formula>
    </cfRule>
  </conditionalFormatting>
  <conditionalFormatting sqref="N852:N859">
    <cfRule type="cellIs" dxfId="36" priority="55" stopIfTrue="1" operator="notEqual">
      <formula>INDIRECT("Dummy_for_Comparison4!"&amp;ADDRESS(ROW(),COLUMN()))</formula>
    </cfRule>
  </conditionalFormatting>
  <conditionalFormatting sqref="N963">
    <cfRule type="cellIs" dxfId="35" priority="54" stopIfTrue="1" operator="notEqual">
      <formula>INDIRECT("Dummy_for_Comparison4!"&amp;ADDRESS(ROW(),COLUMN()))</formula>
    </cfRule>
  </conditionalFormatting>
  <conditionalFormatting sqref="N964">
    <cfRule type="cellIs" dxfId="34" priority="53" stopIfTrue="1" operator="notEqual">
      <formula>INDIRECT("Dummy_for_Comparison4!"&amp;ADDRESS(ROW(),COLUMN()))</formula>
    </cfRule>
  </conditionalFormatting>
  <conditionalFormatting sqref="N965">
    <cfRule type="cellIs" dxfId="33" priority="51" stopIfTrue="1" operator="notEqual">
      <formula>INDIRECT("Dummy_for_Comparison4!"&amp;ADDRESS(ROW(),COLUMN()))</formula>
    </cfRule>
  </conditionalFormatting>
  <conditionalFormatting sqref="N988:N991">
    <cfRule type="cellIs" dxfId="32" priority="49" stopIfTrue="1" operator="notEqual">
      <formula>INDIRECT("Dummy_for_Comparison4!"&amp;ADDRESS(ROW(),COLUMN()))</formula>
    </cfRule>
  </conditionalFormatting>
  <conditionalFormatting sqref="N1010">
    <cfRule type="cellIs" dxfId="31" priority="48" stopIfTrue="1" operator="notEqual">
      <formula>INDIRECT("Dummy_for_Comparison4!"&amp;ADDRESS(ROW(),COLUMN()))</formula>
    </cfRule>
  </conditionalFormatting>
  <conditionalFormatting sqref="N1011">
    <cfRule type="cellIs" dxfId="30" priority="47" stopIfTrue="1" operator="notEqual">
      <formula>INDIRECT("Dummy_for_Comparison4!"&amp;ADDRESS(ROW(),COLUMN()))</formula>
    </cfRule>
  </conditionalFormatting>
  <conditionalFormatting sqref="N1012">
    <cfRule type="cellIs" dxfId="29" priority="46" stopIfTrue="1" operator="notEqual">
      <formula>INDIRECT("Dummy_for_Comparison4!"&amp;ADDRESS(ROW(),COLUMN()))</formula>
    </cfRule>
  </conditionalFormatting>
  <conditionalFormatting sqref="N1013">
    <cfRule type="cellIs" dxfId="28" priority="45" stopIfTrue="1" operator="notEqual">
      <formula>INDIRECT("Dummy_for_Comparison4!"&amp;ADDRESS(ROW(),COLUMN()))</formula>
    </cfRule>
  </conditionalFormatting>
  <conditionalFormatting sqref="N1014">
    <cfRule type="cellIs" dxfId="27" priority="43" stopIfTrue="1" operator="notEqual">
      <formula>INDIRECT("Dummy_for_Comparison4!"&amp;ADDRESS(ROW(),COLUMN()))</formula>
    </cfRule>
  </conditionalFormatting>
  <conditionalFormatting sqref="N1037">
    <cfRule type="cellIs" dxfId="26" priority="42" stopIfTrue="1" operator="notEqual">
      <formula>INDIRECT("Dummy_for_Comparison4!"&amp;ADDRESS(ROW(),COLUMN()))</formula>
    </cfRule>
  </conditionalFormatting>
  <conditionalFormatting sqref="N1038">
    <cfRule type="cellIs" dxfId="25" priority="41" stopIfTrue="1" operator="notEqual">
      <formula>INDIRECT("Dummy_for_Comparison4!"&amp;ADDRESS(ROW(),COLUMN()))</formula>
    </cfRule>
  </conditionalFormatting>
  <conditionalFormatting sqref="N1039">
    <cfRule type="cellIs" dxfId="24" priority="39" stopIfTrue="1" operator="notEqual">
      <formula>INDIRECT("Dummy_for_Comparison4!"&amp;ADDRESS(ROW(),COLUMN()))</formula>
    </cfRule>
  </conditionalFormatting>
  <conditionalFormatting sqref="N1028">
    <cfRule type="cellIs" dxfId="23" priority="34" stopIfTrue="1" operator="notEqual">
      <formula>INDIRECT("Dummy_for_Comparison4!"&amp;ADDRESS(ROW(),COLUMN()))</formula>
    </cfRule>
  </conditionalFormatting>
  <conditionalFormatting sqref="N1029">
    <cfRule type="cellIs" dxfId="22" priority="33" stopIfTrue="1" operator="notEqual">
      <formula>INDIRECT("Dummy_for_Comparison4!"&amp;ADDRESS(ROW(),COLUMN()))</formula>
    </cfRule>
  </conditionalFormatting>
  <conditionalFormatting sqref="N1030">
    <cfRule type="cellIs" dxfId="21" priority="32" stopIfTrue="1" operator="notEqual">
      <formula>INDIRECT("Dummy_for_Comparison4!"&amp;ADDRESS(ROW(),COLUMN()))</formula>
    </cfRule>
  </conditionalFormatting>
  <conditionalFormatting sqref="N1031">
    <cfRule type="cellIs" dxfId="20" priority="31" stopIfTrue="1" operator="notEqual">
      <formula>INDIRECT("Dummy_for_Comparison4!"&amp;ADDRESS(ROW(),COLUMN()))</formula>
    </cfRule>
  </conditionalFormatting>
  <conditionalFormatting sqref="N1079:N1082">
    <cfRule type="cellIs" dxfId="19" priority="29" stopIfTrue="1" operator="notEqual">
      <formula>INDIRECT("Dummy_for_Comparison4!"&amp;ADDRESS(ROW(),COLUMN()))</formula>
    </cfRule>
  </conditionalFormatting>
  <conditionalFormatting sqref="N1085:N1086">
    <cfRule type="cellIs" dxfId="18" priority="28" stopIfTrue="1" operator="notEqual">
      <formula>INDIRECT("Dummy_for_Comparison4!"&amp;ADDRESS(ROW(),COLUMN()))</formula>
    </cfRule>
  </conditionalFormatting>
  <conditionalFormatting sqref="N1088:N1089">
    <cfRule type="cellIs" dxfId="17" priority="26" stopIfTrue="1" operator="notEqual">
      <formula>INDIRECT("Dummy_for_Comparison4!"&amp;ADDRESS(ROW(),COLUMN()))</formula>
    </cfRule>
  </conditionalFormatting>
  <conditionalFormatting sqref="N992:N995">
    <cfRule type="cellIs" dxfId="16" priority="25" stopIfTrue="1" operator="notEqual">
      <formula>INDIRECT("Dummy_for_Comparison4!"&amp;ADDRESS(ROW(),COLUMN()))</formula>
    </cfRule>
  </conditionalFormatting>
  <conditionalFormatting sqref="N996:N999">
    <cfRule type="cellIs" dxfId="15" priority="24" stopIfTrue="1" operator="notEqual">
      <formula>INDIRECT("Dummy_for_Comparison4!"&amp;ADDRESS(ROW(),COLUMN()))</formula>
    </cfRule>
  </conditionalFormatting>
  <conditionalFormatting sqref="O1064">
    <cfRule type="cellIs" dxfId="14" priority="22" stopIfTrue="1" operator="notEqual">
      <formula>INDIRECT("Dummy_for_Comparison4!"&amp;ADDRESS(ROW(),COLUMN()))</formula>
    </cfRule>
  </conditionalFormatting>
  <conditionalFormatting sqref="O1065:AE1065">
    <cfRule type="cellIs" dxfId="13" priority="20" stopIfTrue="1" operator="notEqual">
      <formula>INDIRECT("Dummy_for_Comparison4!"&amp;ADDRESS(ROW(),COLUMN()))</formula>
    </cfRule>
  </conditionalFormatting>
  <conditionalFormatting sqref="C1057">
    <cfRule type="cellIs" dxfId="12" priority="19" stopIfTrue="1" operator="notEqual">
      <formula>INDIRECT("Dummy_for_Comparison4!"&amp;ADDRESS(ROW(),COLUMN()))</formula>
    </cfRule>
  </conditionalFormatting>
  <conditionalFormatting sqref="C1056">
    <cfRule type="cellIs" dxfId="11" priority="18" stopIfTrue="1" operator="notEqual">
      <formula>INDIRECT("Dummy_for_Comparison4!"&amp;ADDRESS(ROW(),COLUMN()))</formula>
    </cfRule>
  </conditionalFormatting>
  <conditionalFormatting sqref="C1058">
    <cfRule type="cellIs" dxfId="10" priority="16" stopIfTrue="1" operator="notEqual">
      <formula>INDIRECT("Dummy_for_Comparison4!"&amp;ADDRESS(ROW(),COLUMN()))</formula>
    </cfRule>
  </conditionalFormatting>
  <conditionalFormatting sqref="AN1083:AN1084">
    <cfRule type="cellIs" dxfId="9" priority="8" stopIfTrue="1" operator="notEqual">
      <formula>INDIRECT("Dummy_for_Comparison4!"&amp;ADDRESS(ROW(),COLUMN()))</formula>
    </cfRule>
  </conditionalFormatting>
  <conditionalFormatting sqref="AM1083:AM1084">
    <cfRule type="cellIs" dxfId="8" priority="11" stopIfTrue="1" operator="notEqual">
      <formula>INDIRECT("Dummy_for_Comparison4!"&amp;ADDRESS(ROW(),COLUMN()))</formula>
    </cfRule>
  </conditionalFormatting>
  <conditionalFormatting sqref="AJ1083:AK1084 AO1083:AY1084">
    <cfRule type="cellIs" dxfId="7" priority="10" stopIfTrue="1" operator="notEqual">
      <formula>INDIRECT("Dummy_for_Comparison4!"&amp;ADDRESS(ROW(),COLUMN()))</formula>
    </cfRule>
  </conditionalFormatting>
  <conditionalFormatting sqref="AL1083:AL1084">
    <cfRule type="cellIs" dxfId="6" priority="9" stopIfTrue="1" operator="notEqual">
      <formula>INDIRECT("Dummy_for_Comparison4!"&amp;ADDRESS(ROW(),COLUMN()))</formula>
    </cfRule>
  </conditionalFormatting>
  <conditionalFormatting sqref="G1059">
    <cfRule type="cellIs" dxfId="5" priority="6" stopIfTrue="1" operator="notEqual">
      <formula>INDIRECT("Dummy_for_Comparison4!"&amp;ADDRESS(ROW(),COLUMN()))</formula>
    </cfRule>
  </conditionalFormatting>
  <conditionalFormatting sqref="K1059">
    <cfRule type="cellIs" dxfId="4" priority="5" stopIfTrue="1" operator="notEqual">
      <formula>INDIRECT("Dummy_for_Comparison4!"&amp;ADDRESS(ROW(),COLUMN()))</formula>
    </cfRule>
  </conditionalFormatting>
  <conditionalFormatting sqref="C1059:F1059 H1059:J1059 L1059:O1059">
    <cfRule type="cellIs" dxfId="3" priority="7" stopIfTrue="1" operator="notEqual">
      <formula>INDIRECT("Dummy_for_Comparison4!"&amp;ADDRESS(ROW(),COLUMN()))</formula>
    </cfRule>
  </conditionalFormatting>
  <conditionalFormatting sqref="G1017">
    <cfRule type="cellIs" dxfId="2" priority="4" stopIfTrue="1" operator="notEqual">
      <formula>INDIRECT("Dummy_for_Comparison4!"&amp;ADDRESS(ROW(),COLUMN()))</formula>
    </cfRule>
  </conditionalFormatting>
  <conditionalFormatting sqref="G1018">
    <cfRule type="cellIs" dxfId="1" priority="3" stopIfTrue="1" operator="notEqual">
      <formula>INDIRECT("Dummy_for_Comparison4!"&amp;ADDRESS(ROW(),COLUMN()))</formula>
    </cfRule>
  </conditionalFormatting>
  <conditionalFormatting sqref="G1019">
    <cfRule type="cellIs" dxfId="0" priority="1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 horizontalDpi="2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"/>
  <sheetViews>
    <sheetView topLeftCell="H1" workbookViewId="0">
      <selection activeCell="K2" sqref="K2"/>
    </sheetView>
  </sheetViews>
  <sheetFormatPr defaultColWidth="9" defaultRowHeight="16.5" x14ac:dyDescent="0.15"/>
  <cols>
    <col min="1" max="1" width="25.375" style="1" customWidth="1"/>
    <col min="2" max="2" width="9" style="1"/>
    <col min="3" max="4" width="26.375" style="1" customWidth="1"/>
    <col min="5" max="5" width="24.625" style="1" customWidth="1"/>
    <col min="6" max="6" width="23.875" style="1" customWidth="1"/>
    <col min="7" max="12" width="27.125" style="1" customWidth="1"/>
    <col min="13" max="13" width="38.625" style="1" customWidth="1"/>
    <col min="14" max="14" width="28.375" style="1" customWidth="1"/>
    <col min="15" max="15" width="27.25" style="1" customWidth="1"/>
    <col min="16" max="21" width="9" style="1"/>
    <col min="22" max="22" width="31.5" style="1" customWidth="1"/>
    <col min="23" max="23" width="28.25" style="1" customWidth="1"/>
    <col min="24" max="24" width="48.375" style="1" customWidth="1"/>
    <col min="25" max="25" width="42.25" style="1" customWidth="1"/>
    <col min="26" max="26" width="41.625" style="1" customWidth="1"/>
    <col min="27" max="27" width="52.75" style="1" customWidth="1"/>
    <col min="28" max="29" width="27.375" style="1" customWidth="1"/>
    <col min="30" max="30" width="23.625" style="1" customWidth="1"/>
    <col min="31" max="31" width="30.625" style="1" customWidth="1"/>
    <col min="32" max="32" width="28.625" style="1" customWidth="1"/>
    <col min="33" max="33" width="21.125" style="1" customWidth="1"/>
    <col min="34" max="34" width="31.75" style="1" customWidth="1"/>
    <col min="35" max="43" width="9" style="1"/>
    <col min="44" max="44" width="11.5" style="1" customWidth="1"/>
    <col min="45" max="45" width="10.25" style="1" customWidth="1"/>
    <col min="46" max="16384" width="9" style="1"/>
  </cols>
  <sheetData>
    <row r="1" spans="1:66" ht="66" x14ac:dyDescent="0.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13</v>
      </c>
      <c r="N1" s="3" t="s">
        <v>14</v>
      </c>
      <c r="O1" s="3" t="s">
        <v>15</v>
      </c>
      <c r="P1" s="3" t="s">
        <v>754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755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756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69</v>
      </c>
      <c r="BI1" s="3" t="s">
        <v>70</v>
      </c>
      <c r="BJ1" s="3" t="s">
        <v>71</v>
      </c>
      <c r="BK1" s="3" t="s">
        <v>72</v>
      </c>
      <c r="BL1" s="3" t="s">
        <v>73</v>
      </c>
      <c r="BM1" s="3" t="s">
        <v>74</v>
      </c>
      <c r="BN1" s="3" t="s">
        <v>75</v>
      </c>
    </row>
    <row r="2" spans="1:66" ht="409.5" x14ac:dyDescent="0.15">
      <c r="A2" s="4" t="s">
        <v>757</v>
      </c>
      <c r="C2" s="5" t="s">
        <v>758</v>
      </c>
      <c r="D2" s="4" t="s">
        <v>759</v>
      </c>
      <c r="E2" s="4" t="s">
        <v>760</v>
      </c>
      <c r="F2" s="4" t="s">
        <v>761</v>
      </c>
      <c r="G2" s="4" t="s">
        <v>762</v>
      </c>
      <c r="H2" s="4" t="s">
        <v>763</v>
      </c>
      <c r="I2" s="4" t="s">
        <v>764</v>
      </c>
      <c r="J2" s="4" t="s">
        <v>765</v>
      </c>
      <c r="K2" s="4" t="s">
        <v>858</v>
      </c>
      <c r="L2" s="4" t="s">
        <v>857</v>
      </c>
      <c r="M2" s="6" t="s">
        <v>856</v>
      </c>
      <c r="N2" s="4" t="s">
        <v>766</v>
      </c>
      <c r="O2" s="1" t="s">
        <v>767</v>
      </c>
      <c r="R2" s="6" t="s">
        <v>768</v>
      </c>
      <c r="V2" s="6" t="s">
        <v>840</v>
      </c>
      <c r="W2" s="4" t="s">
        <v>841</v>
      </c>
      <c r="X2" s="6" t="s">
        <v>805</v>
      </c>
      <c r="Y2" s="6" t="s">
        <v>769</v>
      </c>
      <c r="Z2" s="4" t="s">
        <v>770</v>
      </c>
      <c r="AA2" s="4" t="s">
        <v>771</v>
      </c>
      <c r="AB2" s="1" t="s">
        <v>772</v>
      </c>
      <c r="AC2" s="1" t="s">
        <v>773</v>
      </c>
      <c r="AD2" s="6" t="s">
        <v>802</v>
      </c>
      <c r="AE2" s="6" t="s">
        <v>774</v>
      </c>
      <c r="AF2" s="6" t="s">
        <v>775</v>
      </c>
      <c r="AG2" s="6" t="s">
        <v>776</v>
      </c>
      <c r="AH2" s="6" t="s">
        <v>777</v>
      </c>
    </row>
  </sheetData>
  <phoneticPr fontId="12" type="noConversion"/>
  <pageMargins left="0.69930555555555596" right="0.69930555555555596" top="0.75" bottom="0.75" header="0.3" footer="0.3"/>
  <pageSetup paperSize="9" orientation="portrait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ColWidth="9" defaultRowHeight="13.5" x14ac:dyDescent="0.15"/>
  <cols>
    <col min="1" max="1" width="9" customWidth="1"/>
  </cols>
  <sheetData/>
  <phoneticPr fontId="1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基础表格</vt:lpstr>
      <vt:lpstr>配表说明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pinghualv</dc:creator>
  <cp:lastModifiedBy>oReo</cp:lastModifiedBy>
  <dcterms:created xsi:type="dcterms:W3CDTF">2016-02-23T14:50:00Z</dcterms:created>
  <dcterms:modified xsi:type="dcterms:W3CDTF">2018-10-10T12:40:34Z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