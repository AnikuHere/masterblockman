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75" windowHeight="13050"/>
  </bookViews>
  <sheets>
    <sheet name="成就列表" sheetId="1" r:id="rId1"/>
    <sheet name="成就等级" sheetId="2" r:id="rId2"/>
    <sheet name="Sheet3" sheetId="3" r:id="rId3"/>
  </sheets>
  <externalReferences>
    <externalReference r:id="rId4"/>
  </externalReferences>
  <definedNames>
    <definedName name="_xlnm._FilterDatabase" localSheetId="0" hidden="1">成就列表!$A$1:$AK$29</definedName>
  </definedNames>
  <calcPr calcId="144525" concurrentCalc="0"/>
</workbook>
</file>

<file path=xl/sharedStrings.xml><?xml version="1.0" encoding="utf-8"?>
<sst xmlns="http://schemas.openxmlformats.org/spreadsheetml/2006/main" count="189">
  <si>
    <t>ID</t>
  </si>
  <si>
    <t>名称_简中</t>
  </si>
  <si>
    <t>名称_英文</t>
  </si>
  <si>
    <t>名称_繁中</t>
  </si>
  <si>
    <t>描述_简中</t>
  </si>
  <si>
    <t>描述_英文</t>
  </si>
  <si>
    <t>描述_繁中</t>
  </si>
  <si>
    <t>成就图标</t>
  </si>
  <si>
    <t>行为需求</t>
  </si>
  <si>
    <t>行为参数</t>
  </si>
  <si>
    <t>计数类型</t>
  </si>
  <si>
    <t>阶段1达成值</t>
  </si>
  <si>
    <t>阶段1奖励1物品ID</t>
  </si>
  <si>
    <t>阶段1奖励1物品数量</t>
  </si>
  <si>
    <t>阶段1奖励2物品ID</t>
  </si>
  <si>
    <t>阶段1奖励2物品数量</t>
  </si>
  <si>
    <t>阶段2达成值</t>
  </si>
  <si>
    <t>阶段2奖励1物品ID</t>
  </si>
  <si>
    <t>阶段2奖励1物品数量</t>
  </si>
  <si>
    <t>阶段2奖励2物品ID</t>
  </si>
  <si>
    <t>阶段2奖励2物品数量</t>
  </si>
  <si>
    <t>阶段3达成值</t>
  </si>
  <si>
    <t>阶段3奖励1物品ID</t>
  </si>
  <si>
    <t>阶段3奖励1物品数量</t>
  </si>
  <si>
    <t>阶段3奖励2物品ID</t>
  </si>
  <si>
    <t>阶段3奖励2物品数量</t>
  </si>
  <si>
    <t>阶段4达成值</t>
  </si>
  <si>
    <t>阶段4奖励1物品ID</t>
  </si>
  <si>
    <t>阶段4奖励1物品数量</t>
  </si>
  <si>
    <t>阶段4奖励2物品ID</t>
  </si>
  <si>
    <t>阶段4奖励2物品数量</t>
  </si>
  <si>
    <t>阶段5达成值</t>
  </si>
  <si>
    <t>阶段5奖励1物品ID</t>
  </si>
  <si>
    <t>阶段5奖励1物品数量</t>
  </si>
  <si>
    <t>阶段5奖励2物品ID</t>
  </si>
  <si>
    <t>阶段5奖励2物品数量</t>
  </si>
  <si>
    <t>界面跳转类型</t>
  </si>
  <si>
    <t>成长之路</t>
  </si>
  <si>
    <t>Road to Growth</t>
  </si>
  <si>
    <t>召唤师等级达到{0}级</t>
  </si>
  <si>
    <t>Reach player level 4.</t>
  </si>
  <si>
    <t>UITexture/system/renwu/T_ICON_huanjin_new</t>
  </si>
  <si>
    <t>成就_玩家等级</t>
  </si>
  <si>
    <t>成就计数类型_最大更新</t>
  </si>
  <si>
    <t>界面跳转_对战</t>
  </si>
  <si>
    <t>常胜将军</t>
  </si>
  <si>
    <t>Victorious General</t>
  </si>
  <si>
    <t>获得{0}连胜</t>
  </si>
  <si>
    <t>Win 5 in a row.</t>
  </si>
  <si>
    <t>成就_连续赢得对战比赛场次</t>
  </si>
  <si>
    <t>全场最佳</t>
  </si>
  <si>
    <t>Overall MVP</t>
  </si>
  <si>
    <t>获得全场最佳{0}次</t>
  </si>
  <si>
    <t xml:space="preserve">Get MVP 10 times. </t>
  </si>
  <si>
    <t>成就_MVP</t>
  </si>
  <si>
    <t>大师级人族</t>
  </si>
  <si>
    <t>Master Level - Human</t>
  </si>
  <si>
    <t>使用人族进行对战{0}场</t>
  </si>
  <si>
    <t>Play 10 matches as Human.</t>
  </si>
  <si>
    <t>成就_种族</t>
  </si>
  <si>
    <t>人族</t>
  </si>
  <si>
    <t>大师级兽族</t>
  </si>
  <si>
    <t>Master Level - Orc</t>
  </si>
  <si>
    <t>使用兽族进行对战{0}场</t>
  </si>
  <si>
    <t>Play 10 matches as Orc.</t>
  </si>
  <si>
    <t>兽族</t>
  </si>
  <si>
    <t>大师级精灵</t>
  </si>
  <si>
    <t>Master Level - Elf</t>
  </si>
  <si>
    <t>使用精灵进行对战{0}场</t>
  </si>
  <si>
    <t xml:space="preserve">Play 10 matches as Elf. </t>
  </si>
  <si>
    <t>精灵</t>
  </si>
  <si>
    <t>大师级亡灵</t>
  </si>
  <si>
    <t>Master Level - Undead</t>
  </si>
  <si>
    <t>使用亡灵进行对战{0}场</t>
  </si>
  <si>
    <t>Play 10 matches as Undead.</t>
  </si>
  <si>
    <t>亡灵</t>
  </si>
  <si>
    <t>分矿达人</t>
  </si>
  <si>
    <t>Mine Rush</t>
  </si>
  <si>
    <t>累计开分矿{0}次</t>
  </si>
  <si>
    <t>Build 10 Mines.</t>
  </si>
  <si>
    <t>任务_单局内开分矿次数</t>
  </si>
  <si>
    <t>铜墙铁壁</t>
  </si>
  <si>
    <t>Strong Fortress</t>
  </si>
  <si>
    <t>累计造箭塔{0}座</t>
  </si>
  <si>
    <t>Build 10 Turrets.</t>
  </si>
  <si>
    <t>任务_当日对战中累计造塔数量</t>
  </si>
  <si>
    <t>除虫大师</t>
  </si>
  <si>
    <t>Insect Master</t>
  </si>
  <si>
    <t>累计击败圣甲虫{0}次</t>
  </si>
  <si>
    <t>Defeat the Holy Scarab 10 times.</t>
  </si>
  <si>
    <t>成就_击杀小龙</t>
  </si>
  <si>
    <t>沙漠之王</t>
  </si>
  <si>
    <t>The Desert King</t>
  </si>
  <si>
    <t>累计击败沙漠之王{0}次</t>
  </si>
  <si>
    <t xml:space="preserve">Defeat the Desert King 10 times. </t>
  </si>
  <si>
    <t>成就_击杀大龙</t>
  </si>
  <si>
    <t>哇！巨龙</t>
  </si>
  <si>
    <t>What! Dragons!</t>
  </si>
  <si>
    <t>累计训练{0}只幽暗巨兽</t>
  </si>
  <si>
    <t>Train 10 Dark Behemoths.</t>
  </si>
  <si>
    <t>成就_训练小兵</t>
  </si>
  <si>
    <t>冲锋！</t>
  </si>
  <si>
    <t>Charge!</t>
  </si>
  <si>
    <t>累计训练{0}个重装骑士</t>
  </si>
  <si>
    <t>Train 10 Heavy Knights.</t>
  </si>
  <si>
    <t>王者再临</t>
  </si>
  <si>
    <t>Legendary</t>
  </si>
  <si>
    <t>单局累计击败英雄{0}次</t>
  </si>
  <si>
    <t xml:space="preserve">Defeat 10 Heroes in one match. </t>
  </si>
  <si>
    <t>成就_单局击杀英雄数量</t>
  </si>
  <si>
    <t>横扫</t>
  </si>
  <si>
    <t>Sweep</t>
  </si>
  <si>
    <t>单局击败小兵{0}次</t>
  </si>
  <si>
    <t xml:space="preserve">Defeat 10 Troops in a match. </t>
  </si>
  <si>
    <t>成就_单局击杀小兵数量</t>
  </si>
  <si>
    <t>单挑达人</t>
  </si>
  <si>
    <t>Soloist</t>
  </si>
  <si>
    <t>1V1段位达到{0}</t>
  </si>
  <si>
    <t>Reached 1v1 Rank 10</t>
  </si>
  <si>
    <t>成就_段位</t>
  </si>
  <si>
    <t>界面跳转_排位1V1</t>
  </si>
  <si>
    <t>实力见证</t>
  </si>
  <si>
    <t>Proof of Strength</t>
  </si>
  <si>
    <t>2V2段位达到{0}</t>
  </si>
  <si>
    <t>Reached 2v2 Rank 10</t>
  </si>
  <si>
    <t>界面跳转_排位2V2</t>
  </si>
  <si>
    <t>我最闪耀</t>
  </si>
  <si>
    <t>Outshine</t>
  </si>
  <si>
    <t>拥有{0}个头像框</t>
  </si>
  <si>
    <t>Have 10 Avatars.</t>
  </si>
  <si>
    <t>成就_头像框</t>
  </si>
  <si>
    <t>时尚达人</t>
  </si>
  <si>
    <t>Fashion Genius</t>
  </si>
  <si>
    <t>拥有{0}个皮肤</t>
  </si>
  <si>
    <t>Have 10 Skins.</t>
  </si>
  <si>
    <t>成就_获得皮肤</t>
  </si>
  <si>
    <t>界面跳转_皮肤商城</t>
  </si>
  <si>
    <t>英雄殿</t>
  </si>
  <si>
    <t>Hero’s Temple</t>
  </si>
  <si>
    <t>拥有{0}个英雄</t>
  </si>
  <si>
    <t>Have 10 Heroes.</t>
  </si>
  <si>
    <t>成就_获得英雄</t>
  </si>
  <si>
    <t>界面跳转_商城</t>
  </si>
  <si>
    <t>金闪闪</t>
  </si>
  <si>
    <t>Sparkling Gold</t>
  </si>
  <si>
    <t>累计获得{0}金币</t>
  </si>
  <si>
    <t>Obtain 10 Hero Coins.</t>
  </si>
  <si>
    <t>成就_获得货币</t>
  </si>
  <si>
    <t>金币</t>
  </si>
  <si>
    <t>不差钱</t>
  </si>
  <si>
    <t>Moneybags</t>
  </si>
  <si>
    <t>累计获得{0}魂石</t>
  </si>
  <si>
    <t>Obtain 10 Gems.</t>
  </si>
  <si>
    <t>钻石</t>
  </si>
  <si>
    <t>熟能生巧</t>
  </si>
  <si>
    <t>Practice Makes Perfect</t>
  </si>
  <si>
    <t>{0}个英雄的熟练度达到传说</t>
  </si>
  <si>
    <t xml:space="preserve">Have 10 Heroes reach Legend status. </t>
  </si>
  <si>
    <t>成就_英雄传说</t>
  </si>
  <si>
    <t>并肩作战</t>
  </si>
  <si>
    <t>Fight Side by Side</t>
  </si>
  <si>
    <t>与好友组队进行{0}场对战</t>
  </si>
  <si>
    <t xml:space="preserve">Team up with friends 10 times. </t>
  </si>
  <si>
    <t>成就_组队游戏</t>
  </si>
  <si>
    <t>腐蚀</t>
  </si>
  <si>
    <t>Corrosion</t>
  </si>
  <si>
    <t>累计训练{0}只双头龙</t>
  </si>
  <si>
    <t>Train 10 Double-Headed Dragons.</t>
  </si>
  <si>
    <t>粉碎大地</t>
  </si>
  <si>
    <t>Earth Breaker</t>
  </si>
  <si>
    <t>累计训练{0}个兽人战将</t>
  </si>
  <si>
    <t>Train 10 Orc Centurions.</t>
  </si>
  <si>
    <t>烈焰战神</t>
  </si>
  <si>
    <t>The Flame God</t>
  </si>
  <si>
    <t>累计击败烈焰战神{0}次</t>
  </si>
  <si>
    <t xml:space="preserve">Defeat Flame God 10 times. </t>
  </si>
  <si>
    <t>任务_击杀烈焰战神</t>
  </si>
  <si>
    <t>黑暗泰坦</t>
  </si>
  <si>
    <t>The Dark Titan</t>
  </si>
  <si>
    <t>累计击败黑暗泰坦{0}次</t>
  </si>
  <si>
    <t xml:space="preserve">Defeat Dark Titan 10 times. </t>
  </si>
  <si>
    <t>任务_击杀黑暗泰坦</t>
  </si>
  <si>
    <t>成就等级</t>
  </si>
  <si>
    <t>成就点数</t>
  </si>
  <si>
    <t>奖励1物品ID</t>
  </si>
  <si>
    <t>奖励1物品数量</t>
  </si>
  <si>
    <t>奖励2物品ID</t>
  </si>
  <si>
    <t>奖励2物品数量</t>
  </si>
  <si>
    <t>界面跳转_排位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</si>
</sst>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indexed="8"/>
      <name val="Calibri"/>
      <charset val="134"/>
    </font>
    <font>
      <b/>
      <sz val="10"/>
      <color indexed="8"/>
      <name val="微软雅黑"/>
      <charset val="134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 tint="-0.149845881527146"/>
        <bgColor indexed="64"/>
      </patternFill>
    </fill>
    <fill>
      <patternFill patternType="solid">
        <fgColor theme="6" tint="0.799829096346934"/>
        <bgColor indexed="64"/>
      </patternFill>
    </fill>
    <fill>
      <patternFill patternType="solid">
        <fgColor theme="3" tint="0.799829096346934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theme="9" tint="0.79982909634693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9" fillId="1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4" borderId="7" applyNumberFormat="0" applyFon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1" fillId="16" borderId="9" applyNumberFormat="0" applyAlignment="0" applyProtection="0">
      <alignment vertical="center"/>
    </xf>
    <xf numFmtId="0" fontId="7" fillId="16" borderId="3" applyNumberFormat="0" applyAlignment="0" applyProtection="0">
      <alignment vertical="center"/>
    </xf>
    <xf numFmtId="0" fontId="10" fillId="20" borderId="4" applyNumberForma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7" borderId="0" xfId="0" applyFont="1" applyFill="1"/>
    <xf numFmtId="0" fontId="1" fillId="4" borderId="0" xfId="0" applyFont="1" applyFill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0" xfId="0" applyFont="1" applyFill="1" applyAlignment="1"/>
    <xf numFmtId="0" fontId="2" fillId="0" borderId="0" xfId="0" applyFont="1" applyFill="1" applyAlignment="1"/>
    <xf numFmtId="0" fontId="1" fillId="8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fgColor indexed="10"/>
          <bgColor indexed="1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GD\&#31995;&#32479;\&#21830;&#19994;&#21270;&#35268;&#21010;\&#21830;&#19994;&#21270;&#24605;&#36335;\WarX&#25237;&#25918;&#65288;&#26032;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王者经验金币"/>
      <sheetName val="WarX经验金币"/>
      <sheetName val="竞技场积分"/>
      <sheetName val="经验"/>
      <sheetName val="金币"/>
      <sheetName val="钻石"/>
      <sheetName val="头像&amp;头像框"/>
      <sheetName val="系统投放&amp;解锁"/>
      <sheetName val="抽奖"/>
      <sheetName val="定价"/>
      <sheetName val="Sheet1"/>
      <sheetName val="任务（旧）"/>
      <sheetName val="任务（新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J2">
            <v>20</v>
          </cell>
          <cell r="K2">
            <v>20</v>
          </cell>
          <cell r="L2">
            <v>40</v>
          </cell>
          <cell r="M2">
            <v>40</v>
          </cell>
          <cell r="N2">
            <v>80</v>
          </cell>
        </row>
        <row r="3">
          <cell r="J3">
            <v>50</v>
          </cell>
          <cell r="K3">
            <v>50</v>
          </cell>
          <cell r="L3">
            <v>100</v>
          </cell>
          <cell r="M3">
            <v>100</v>
          </cell>
          <cell r="N3">
            <v>200</v>
          </cell>
        </row>
        <row r="4">
          <cell r="J4">
            <v>40</v>
          </cell>
          <cell r="K4">
            <v>40</v>
          </cell>
          <cell r="L4">
            <v>80</v>
          </cell>
          <cell r="M4">
            <v>80</v>
          </cell>
          <cell r="N4">
            <v>160</v>
          </cell>
        </row>
        <row r="5">
          <cell r="J5">
            <v>40</v>
          </cell>
          <cell r="K5">
            <v>40</v>
          </cell>
          <cell r="L5">
            <v>80</v>
          </cell>
          <cell r="M5">
            <v>80</v>
          </cell>
          <cell r="N5">
            <v>160</v>
          </cell>
        </row>
        <row r="6">
          <cell r="J6">
            <v>40</v>
          </cell>
          <cell r="K6">
            <v>40</v>
          </cell>
          <cell r="L6">
            <v>80</v>
          </cell>
          <cell r="M6">
            <v>80</v>
          </cell>
          <cell r="N6">
            <v>160</v>
          </cell>
        </row>
        <row r="7">
          <cell r="J7">
            <v>40</v>
          </cell>
          <cell r="K7">
            <v>40</v>
          </cell>
          <cell r="L7">
            <v>80</v>
          </cell>
          <cell r="M7">
            <v>80</v>
          </cell>
          <cell r="N7">
            <v>160</v>
          </cell>
        </row>
        <row r="8">
          <cell r="J8">
            <v>40</v>
          </cell>
          <cell r="K8">
            <v>40</v>
          </cell>
          <cell r="L8">
            <v>80</v>
          </cell>
          <cell r="M8">
            <v>80</v>
          </cell>
          <cell r="N8">
            <v>160</v>
          </cell>
        </row>
        <row r="9">
          <cell r="J9">
            <v>15</v>
          </cell>
          <cell r="K9">
            <v>15</v>
          </cell>
          <cell r="L9">
            <v>30</v>
          </cell>
          <cell r="M9">
            <v>30</v>
          </cell>
          <cell r="N9">
            <v>60</v>
          </cell>
        </row>
        <row r="10">
          <cell r="J10">
            <v>15</v>
          </cell>
          <cell r="K10">
            <v>15</v>
          </cell>
          <cell r="L10">
            <v>30</v>
          </cell>
          <cell r="M10">
            <v>30</v>
          </cell>
          <cell r="N10">
            <v>60</v>
          </cell>
        </row>
        <row r="11">
          <cell r="J11">
            <v>15</v>
          </cell>
          <cell r="K11">
            <v>15</v>
          </cell>
          <cell r="L11">
            <v>30</v>
          </cell>
          <cell r="M11">
            <v>30</v>
          </cell>
          <cell r="N11">
            <v>60</v>
          </cell>
        </row>
        <row r="12">
          <cell r="J12">
            <v>15</v>
          </cell>
          <cell r="K12">
            <v>15</v>
          </cell>
          <cell r="L12">
            <v>30</v>
          </cell>
          <cell r="M12">
            <v>30</v>
          </cell>
          <cell r="N12">
            <v>60</v>
          </cell>
        </row>
        <row r="13">
          <cell r="J13">
            <v>15</v>
          </cell>
          <cell r="K13">
            <v>15</v>
          </cell>
          <cell r="L13">
            <v>30</v>
          </cell>
          <cell r="M13">
            <v>30</v>
          </cell>
          <cell r="N13">
            <v>60</v>
          </cell>
        </row>
        <row r="14">
          <cell r="J14">
            <v>15</v>
          </cell>
          <cell r="K14">
            <v>15</v>
          </cell>
          <cell r="L14">
            <v>30</v>
          </cell>
          <cell r="M14">
            <v>30</v>
          </cell>
          <cell r="N14">
            <v>60</v>
          </cell>
        </row>
        <row r="15">
          <cell r="J15">
            <v>20</v>
          </cell>
          <cell r="K15">
            <v>20</v>
          </cell>
          <cell r="L15">
            <v>40</v>
          </cell>
          <cell r="M15">
            <v>40</v>
          </cell>
          <cell r="N15">
            <v>80</v>
          </cell>
        </row>
        <row r="16">
          <cell r="J16">
            <v>15</v>
          </cell>
          <cell r="K16">
            <v>15</v>
          </cell>
          <cell r="L16">
            <v>30</v>
          </cell>
          <cell r="M16">
            <v>30</v>
          </cell>
          <cell r="N16">
            <v>60</v>
          </cell>
        </row>
        <row r="17">
          <cell r="J17">
            <v>50</v>
          </cell>
          <cell r="K17">
            <v>50</v>
          </cell>
          <cell r="L17">
            <v>100</v>
          </cell>
          <cell r="M17">
            <v>100</v>
          </cell>
          <cell r="N17">
            <v>200</v>
          </cell>
        </row>
        <row r="18">
          <cell r="J18">
            <v>50</v>
          </cell>
          <cell r="K18">
            <v>50</v>
          </cell>
          <cell r="L18">
            <v>100</v>
          </cell>
          <cell r="M18">
            <v>100</v>
          </cell>
          <cell r="N18">
            <v>200</v>
          </cell>
        </row>
        <row r="19">
          <cell r="J19">
            <v>20</v>
          </cell>
          <cell r="K19">
            <v>20</v>
          </cell>
          <cell r="L19">
            <v>40</v>
          </cell>
          <cell r="M19">
            <v>40</v>
          </cell>
          <cell r="N19">
            <v>80</v>
          </cell>
        </row>
        <row r="20">
          <cell r="J20">
            <v>20</v>
          </cell>
          <cell r="K20">
            <v>20</v>
          </cell>
          <cell r="L20">
            <v>40</v>
          </cell>
          <cell r="M20">
            <v>40</v>
          </cell>
          <cell r="N20">
            <v>80</v>
          </cell>
        </row>
        <row r="21">
          <cell r="J21">
            <v>20</v>
          </cell>
          <cell r="K21">
            <v>20</v>
          </cell>
          <cell r="L21">
            <v>40</v>
          </cell>
          <cell r="M21">
            <v>40</v>
          </cell>
          <cell r="N21">
            <v>80</v>
          </cell>
        </row>
        <row r="22">
          <cell r="J22">
            <v>20</v>
          </cell>
          <cell r="K22">
            <v>20</v>
          </cell>
          <cell r="L22">
            <v>40</v>
          </cell>
          <cell r="M22">
            <v>40</v>
          </cell>
          <cell r="N22">
            <v>80</v>
          </cell>
        </row>
        <row r="23">
          <cell r="J23">
            <v>20</v>
          </cell>
          <cell r="K23">
            <v>20</v>
          </cell>
          <cell r="L23">
            <v>40</v>
          </cell>
          <cell r="M23">
            <v>40</v>
          </cell>
          <cell r="N23">
            <v>80</v>
          </cell>
        </row>
        <row r="24">
          <cell r="J24">
            <v>40</v>
          </cell>
          <cell r="K24">
            <v>40</v>
          </cell>
          <cell r="L24">
            <v>80</v>
          </cell>
          <cell r="M24">
            <v>80</v>
          </cell>
          <cell r="N24">
            <v>160</v>
          </cell>
        </row>
        <row r="25">
          <cell r="J25">
            <v>20</v>
          </cell>
          <cell r="K25">
            <v>20</v>
          </cell>
          <cell r="L25">
            <v>40</v>
          </cell>
          <cell r="M25">
            <v>40</v>
          </cell>
          <cell r="N25">
            <v>80</v>
          </cell>
        </row>
        <row r="26">
          <cell r="J26">
            <v>15</v>
          </cell>
          <cell r="K26">
            <v>15</v>
          </cell>
          <cell r="L26">
            <v>30</v>
          </cell>
          <cell r="M26">
            <v>30</v>
          </cell>
          <cell r="N26">
            <v>60</v>
          </cell>
        </row>
        <row r="27">
          <cell r="J27">
            <v>15</v>
          </cell>
          <cell r="K27">
            <v>15</v>
          </cell>
          <cell r="L27">
            <v>30</v>
          </cell>
          <cell r="M27">
            <v>30</v>
          </cell>
          <cell r="N27">
            <v>60</v>
          </cell>
        </row>
        <row r="28">
          <cell r="J28">
            <v>15</v>
          </cell>
          <cell r="K28">
            <v>15</v>
          </cell>
          <cell r="L28">
            <v>30</v>
          </cell>
          <cell r="M28">
            <v>30</v>
          </cell>
          <cell r="N28">
            <v>60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9"/>
  <sheetViews>
    <sheetView tabSelected="1" zoomScale="115" zoomScaleNormal="115" workbookViewId="0">
      <selection activeCell="C2" sqref="C2:C29"/>
    </sheetView>
  </sheetViews>
  <sheetFormatPr defaultColWidth="9" defaultRowHeight="16.5"/>
  <cols>
    <col min="1" max="1" width="3.625" style="10" customWidth="1"/>
    <col min="2" max="4" width="10.875" style="10" customWidth="1"/>
    <col min="5" max="5" width="24.625" style="10" customWidth="1"/>
    <col min="6" max="6" width="32" style="10" customWidth="1"/>
    <col min="7" max="7" width="26" style="10" customWidth="1"/>
    <col min="8" max="8" width="47" style="10" customWidth="1"/>
    <col min="9" max="9" width="26.375" style="10" customWidth="1"/>
    <col min="10" max="10" width="10.375" style="14" customWidth="1"/>
    <col min="11" max="11" width="22.25" style="10" customWidth="1"/>
    <col min="12" max="12" width="12.5" style="10" customWidth="1"/>
    <col min="13" max="13" width="17.875" style="10" customWidth="1" outlineLevel="1"/>
    <col min="14" max="14" width="20" style="10" customWidth="1" outlineLevel="1"/>
    <col min="15" max="15" width="17.875" style="10" customWidth="1" outlineLevel="1"/>
    <col min="16" max="16" width="20" style="10" customWidth="1" outlineLevel="1"/>
    <col min="17" max="17" width="12.5" style="10" customWidth="1"/>
    <col min="18" max="18" width="17.875" style="10" customWidth="1" outlineLevel="1"/>
    <col min="19" max="19" width="20" style="10" customWidth="1" outlineLevel="1"/>
    <col min="20" max="20" width="17.875" style="10" customWidth="1" outlineLevel="1"/>
    <col min="21" max="21" width="20" style="10" customWidth="1" outlineLevel="1"/>
    <col min="22" max="22" width="12.5" style="10" customWidth="1"/>
    <col min="23" max="23" width="17.875" style="10" customWidth="1" outlineLevel="1"/>
    <col min="24" max="24" width="20" style="10" customWidth="1" outlineLevel="1"/>
    <col min="25" max="25" width="17.875" style="10" customWidth="1" outlineLevel="1"/>
    <col min="26" max="26" width="20" style="10" customWidth="1" outlineLevel="1"/>
    <col min="27" max="27" width="12.5" style="10" customWidth="1"/>
    <col min="28" max="28" width="17.875" style="10" customWidth="1" outlineLevel="1"/>
    <col min="29" max="29" width="20" style="10" customWidth="1" outlineLevel="1"/>
    <col min="30" max="30" width="17.875" style="10" customWidth="1" outlineLevel="1"/>
    <col min="31" max="31" width="20" style="10" customWidth="1" outlineLevel="1"/>
    <col min="32" max="32" width="12.5" style="10" customWidth="1"/>
    <col min="33" max="33" width="17.875" style="10" customWidth="1" outlineLevel="1"/>
    <col min="34" max="34" width="20" style="10" customWidth="1" outlineLevel="1"/>
    <col min="35" max="35" width="17.875" style="10" customWidth="1" outlineLevel="1"/>
    <col min="36" max="36" width="20" style="10" customWidth="1" outlineLevel="1"/>
    <col min="37" max="37" width="17.75" style="10" customWidth="1"/>
    <col min="38" max="38" width="19.125" style="10" customWidth="1"/>
    <col min="39" max="16384" width="9" style="10"/>
  </cols>
  <sheetData>
    <row r="1" spans="1:37">
      <c r="A1" s="15" t="s">
        <v>0</v>
      </c>
      <c r="B1" s="16" t="s">
        <v>1</v>
      </c>
      <c r="C1" s="16" t="s">
        <v>2</v>
      </c>
      <c r="D1" s="16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9" t="s">
        <v>8</v>
      </c>
      <c r="J1" s="20" t="s">
        <v>9</v>
      </c>
      <c r="K1" s="1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21" t="s">
        <v>36</v>
      </c>
    </row>
    <row r="2" spans="1:37">
      <c r="A2" s="1">
        <v>1</v>
      </c>
      <c r="B2" s="2" t="s">
        <v>37</v>
      </c>
      <c r="C2" s="17" t="s">
        <v>38</v>
      </c>
      <c r="D2" s="2" t="s">
        <v>37</v>
      </c>
      <c r="E2" s="1" t="s">
        <v>39</v>
      </c>
      <c r="F2" s="18" t="s">
        <v>40</v>
      </c>
      <c r="G2" s="1" t="s">
        <v>39</v>
      </c>
      <c r="H2" s="1" t="s">
        <v>41</v>
      </c>
      <c r="I2" s="1" t="s">
        <v>42</v>
      </c>
      <c r="J2" s="3"/>
      <c r="K2" s="1" t="s">
        <v>43</v>
      </c>
      <c r="L2" s="4">
        <v>4</v>
      </c>
      <c r="M2" s="4">
        <v>7</v>
      </c>
      <c r="N2" s="4">
        <v>5</v>
      </c>
      <c r="O2" s="4">
        <v>4</v>
      </c>
      <c r="P2" s="4">
        <f>'[1]任务（新）'!J2</f>
        <v>20</v>
      </c>
      <c r="Q2" s="5">
        <v>10</v>
      </c>
      <c r="R2" s="5">
        <v>7</v>
      </c>
      <c r="S2" s="5">
        <v>10</v>
      </c>
      <c r="T2" s="5">
        <v>4</v>
      </c>
      <c r="U2" s="5">
        <f>'[1]任务（新）'!K2</f>
        <v>20</v>
      </c>
      <c r="V2" s="6">
        <v>20</v>
      </c>
      <c r="W2" s="6">
        <v>7</v>
      </c>
      <c r="X2" s="6">
        <v>20</v>
      </c>
      <c r="Y2" s="6">
        <v>4</v>
      </c>
      <c r="Z2" s="6">
        <f>'[1]任务（新）'!L2</f>
        <v>40</v>
      </c>
      <c r="AA2" s="7">
        <v>25</v>
      </c>
      <c r="AB2" s="7">
        <v>7</v>
      </c>
      <c r="AC2" s="7">
        <v>50</v>
      </c>
      <c r="AD2" s="7">
        <v>4</v>
      </c>
      <c r="AE2" s="7">
        <f>'[1]任务（新）'!M2</f>
        <v>40</v>
      </c>
      <c r="AF2" s="8">
        <v>30</v>
      </c>
      <c r="AG2" s="8">
        <v>7</v>
      </c>
      <c r="AH2" s="8">
        <v>100</v>
      </c>
      <c r="AI2" s="8">
        <v>4</v>
      </c>
      <c r="AJ2" s="8">
        <f>'[1]任务（新）'!N2</f>
        <v>80</v>
      </c>
      <c r="AK2" s="9" t="s">
        <v>44</v>
      </c>
    </row>
    <row r="3" spans="1:37">
      <c r="A3" s="1">
        <v>2</v>
      </c>
      <c r="B3" s="2" t="s">
        <v>45</v>
      </c>
      <c r="C3" s="17" t="s">
        <v>46</v>
      </c>
      <c r="D3" s="2" t="s">
        <v>45</v>
      </c>
      <c r="E3" s="1" t="s">
        <v>47</v>
      </c>
      <c r="F3" s="18" t="s">
        <v>48</v>
      </c>
      <c r="G3" s="1" t="s">
        <v>47</v>
      </c>
      <c r="H3" s="1" t="s">
        <v>41</v>
      </c>
      <c r="I3" s="1" t="s">
        <v>49</v>
      </c>
      <c r="J3" s="3"/>
      <c r="K3" s="1"/>
      <c r="L3" s="4">
        <v>5</v>
      </c>
      <c r="M3" s="4">
        <v>7</v>
      </c>
      <c r="N3" s="4">
        <v>20</v>
      </c>
      <c r="O3" s="4">
        <v>4</v>
      </c>
      <c r="P3" s="4">
        <f>'[1]任务（新）'!J3</f>
        <v>50</v>
      </c>
      <c r="Q3" s="5">
        <v>8</v>
      </c>
      <c r="R3" s="5">
        <v>7</v>
      </c>
      <c r="S3" s="5">
        <v>50</v>
      </c>
      <c r="T3" s="5">
        <v>4</v>
      </c>
      <c r="U3" s="5">
        <f>'[1]任务（新）'!K3</f>
        <v>50</v>
      </c>
      <c r="V3" s="6">
        <v>10</v>
      </c>
      <c r="W3" s="6">
        <v>7</v>
      </c>
      <c r="X3" s="6">
        <v>100</v>
      </c>
      <c r="Y3" s="6">
        <v>4</v>
      </c>
      <c r="Z3" s="6">
        <f>'[1]任务（新）'!L3</f>
        <v>100</v>
      </c>
      <c r="AA3" s="7">
        <v>15</v>
      </c>
      <c r="AB3" s="7">
        <v>7</v>
      </c>
      <c r="AC3" s="7">
        <v>150</v>
      </c>
      <c r="AD3" s="7">
        <v>4</v>
      </c>
      <c r="AE3" s="7">
        <f>'[1]任务（新）'!M3</f>
        <v>100</v>
      </c>
      <c r="AF3" s="8">
        <v>20</v>
      </c>
      <c r="AG3" s="8">
        <v>7</v>
      </c>
      <c r="AH3" s="8">
        <v>200</v>
      </c>
      <c r="AI3" s="8">
        <v>4</v>
      </c>
      <c r="AJ3" s="8">
        <f>'[1]任务（新）'!N3</f>
        <v>200</v>
      </c>
      <c r="AK3" s="9" t="s">
        <v>44</v>
      </c>
    </row>
    <row r="4" spans="1:37">
      <c r="A4" s="1">
        <v>3</v>
      </c>
      <c r="B4" s="2" t="s">
        <v>50</v>
      </c>
      <c r="C4" s="17" t="s">
        <v>51</v>
      </c>
      <c r="D4" s="2" t="s">
        <v>50</v>
      </c>
      <c r="E4" s="1" t="s">
        <v>52</v>
      </c>
      <c r="F4" s="18" t="s">
        <v>53</v>
      </c>
      <c r="G4" s="1" t="s">
        <v>52</v>
      </c>
      <c r="H4" s="1" t="s">
        <v>41</v>
      </c>
      <c r="I4" s="1" t="s">
        <v>54</v>
      </c>
      <c r="J4" s="3"/>
      <c r="K4" s="1"/>
      <c r="L4" s="4">
        <v>10</v>
      </c>
      <c r="M4" s="4">
        <v>7</v>
      </c>
      <c r="N4" s="4">
        <v>20</v>
      </c>
      <c r="O4" s="4">
        <v>4</v>
      </c>
      <c r="P4" s="4">
        <f>'[1]任务（新）'!J4</f>
        <v>40</v>
      </c>
      <c r="Q4" s="5">
        <v>50</v>
      </c>
      <c r="R4" s="5">
        <v>7</v>
      </c>
      <c r="S4" s="5">
        <v>50</v>
      </c>
      <c r="T4" s="5">
        <v>4</v>
      </c>
      <c r="U4" s="5">
        <f>'[1]任务（新）'!K4</f>
        <v>40</v>
      </c>
      <c r="V4" s="6">
        <v>100</v>
      </c>
      <c r="W4" s="6">
        <v>7</v>
      </c>
      <c r="X4" s="6">
        <v>100</v>
      </c>
      <c r="Y4" s="6">
        <v>4</v>
      </c>
      <c r="Z4" s="6">
        <f>'[1]任务（新）'!L4</f>
        <v>80</v>
      </c>
      <c r="AA4" s="7">
        <v>150</v>
      </c>
      <c r="AB4" s="7">
        <v>7</v>
      </c>
      <c r="AC4" s="7">
        <v>150</v>
      </c>
      <c r="AD4" s="7">
        <v>4</v>
      </c>
      <c r="AE4" s="7">
        <f>'[1]任务（新）'!M4</f>
        <v>80</v>
      </c>
      <c r="AF4" s="8">
        <v>200</v>
      </c>
      <c r="AG4" s="8">
        <v>7</v>
      </c>
      <c r="AH4" s="8">
        <v>200</v>
      </c>
      <c r="AI4" s="8">
        <v>4</v>
      </c>
      <c r="AJ4" s="8">
        <f>'[1]任务（新）'!N4</f>
        <v>160</v>
      </c>
      <c r="AK4" s="9" t="s">
        <v>44</v>
      </c>
    </row>
    <row r="5" spans="1:37">
      <c r="A5" s="1">
        <v>4</v>
      </c>
      <c r="B5" s="2" t="s">
        <v>55</v>
      </c>
      <c r="C5" s="17" t="s">
        <v>56</v>
      </c>
      <c r="D5" s="2" t="s">
        <v>55</v>
      </c>
      <c r="E5" s="1" t="s">
        <v>57</v>
      </c>
      <c r="F5" s="18" t="s">
        <v>58</v>
      </c>
      <c r="G5" s="1" t="s">
        <v>57</v>
      </c>
      <c r="H5" s="1" t="s">
        <v>41</v>
      </c>
      <c r="I5" s="1" t="s">
        <v>59</v>
      </c>
      <c r="J5" s="3" t="s">
        <v>60</v>
      </c>
      <c r="K5" s="1"/>
      <c r="L5" s="4">
        <v>10</v>
      </c>
      <c r="M5" s="4">
        <v>7</v>
      </c>
      <c r="N5" s="4">
        <v>10</v>
      </c>
      <c r="O5" s="4">
        <v>4</v>
      </c>
      <c r="P5" s="4">
        <f>'[1]任务（新）'!J5</f>
        <v>40</v>
      </c>
      <c r="Q5" s="5">
        <v>100</v>
      </c>
      <c r="R5" s="5">
        <v>7</v>
      </c>
      <c r="S5" s="5">
        <v>20</v>
      </c>
      <c r="T5" s="5">
        <v>4</v>
      </c>
      <c r="U5" s="5">
        <f>'[1]任务（新）'!K5</f>
        <v>40</v>
      </c>
      <c r="V5" s="6">
        <v>200</v>
      </c>
      <c r="W5" s="6">
        <v>7</v>
      </c>
      <c r="X5" s="6">
        <v>50</v>
      </c>
      <c r="Y5" s="6">
        <v>4</v>
      </c>
      <c r="Z5" s="6">
        <f>'[1]任务（新）'!L5</f>
        <v>80</v>
      </c>
      <c r="AA5" s="7">
        <v>500</v>
      </c>
      <c r="AB5" s="7">
        <v>7</v>
      </c>
      <c r="AC5" s="7">
        <v>100</v>
      </c>
      <c r="AD5" s="7">
        <v>4</v>
      </c>
      <c r="AE5" s="7">
        <f>'[1]任务（新）'!M5</f>
        <v>80</v>
      </c>
      <c r="AF5" s="8">
        <v>1000</v>
      </c>
      <c r="AG5" s="8">
        <v>7</v>
      </c>
      <c r="AH5" s="8">
        <v>200</v>
      </c>
      <c r="AI5" s="8">
        <v>4</v>
      </c>
      <c r="AJ5" s="8">
        <f>'[1]任务（新）'!N5</f>
        <v>160</v>
      </c>
      <c r="AK5" s="9" t="s">
        <v>44</v>
      </c>
    </row>
    <row r="6" spans="1:37">
      <c r="A6" s="1">
        <v>5</v>
      </c>
      <c r="B6" s="2" t="s">
        <v>61</v>
      </c>
      <c r="C6" s="17" t="s">
        <v>62</v>
      </c>
      <c r="D6" s="2" t="s">
        <v>61</v>
      </c>
      <c r="E6" s="1" t="s">
        <v>63</v>
      </c>
      <c r="F6" s="18" t="s">
        <v>64</v>
      </c>
      <c r="G6" s="1" t="s">
        <v>63</v>
      </c>
      <c r="H6" s="1" t="s">
        <v>41</v>
      </c>
      <c r="I6" s="1" t="s">
        <v>59</v>
      </c>
      <c r="J6" s="3" t="s">
        <v>65</v>
      </c>
      <c r="K6" s="1"/>
      <c r="L6" s="4">
        <v>10</v>
      </c>
      <c r="M6" s="4">
        <v>7</v>
      </c>
      <c r="N6" s="4">
        <v>10</v>
      </c>
      <c r="O6" s="4">
        <v>4</v>
      </c>
      <c r="P6" s="4">
        <f>'[1]任务（新）'!J6</f>
        <v>40</v>
      </c>
      <c r="Q6" s="5">
        <v>100</v>
      </c>
      <c r="R6" s="5">
        <v>7</v>
      </c>
      <c r="S6" s="5">
        <v>20</v>
      </c>
      <c r="T6" s="5">
        <v>4</v>
      </c>
      <c r="U6" s="5">
        <f>'[1]任务（新）'!K6</f>
        <v>40</v>
      </c>
      <c r="V6" s="6">
        <v>200</v>
      </c>
      <c r="W6" s="6">
        <v>7</v>
      </c>
      <c r="X6" s="6">
        <v>50</v>
      </c>
      <c r="Y6" s="6">
        <v>4</v>
      </c>
      <c r="Z6" s="6">
        <f>'[1]任务（新）'!L6</f>
        <v>80</v>
      </c>
      <c r="AA6" s="7">
        <v>500</v>
      </c>
      <c r="AB6" s="7">
        <v>7</v>
      </c>
      <c r="AC6" s="7">
        <v>100</v>
      </c>
      <c r="AD6" s="7">
        <v>4</v>
      </c>
      <c r="AE6" s="7">
        <f>'[1]任务（新）'!M6</f>
        <v>80</v>
      </c>
      <c r="AF6" s="8">
        <v>1000</v>
      </c>
      <c r="AG6" s="8">
        <v>7</v>
      </c>
      <c r="AH6" s="8">
        <v>200</v>
      </c>
      <c r="AI6" s="8">
        <v>4</v>
      </c>
      <c r="AJ6" s="8">
        <f>'[1]任务（新）'!N6</f>
        <v>160</v>
      </c>
      <c r="AK6" s="9" t="s">
        <v>44</v>
      </c>
    </row>
    <row r="7" spans="1:37">
      <c r="A7" s="1">
        <v>6</v>
      </c>
      <c r="B7" s="2" t="s">
        <v>66</v>
      </c>
      <c r="C7" s="17" t="s">
        <v>67</v>
      </c>
      <c r="D7" s="2" t="s">
        <v>66</v>
      </c>
      <c r="E7" s="1" t="s">
        <v>68</v>
      </c>
      <c r="F7" s="18" t="s">
        <v>69</v>
      </c>
      <c r="G7" s="1" t="s">
        <v>68</v>
      </c>
      <c r="H7" s="1" t="s">
        <v>41</v>
      </c>
      <c r="I7" s="1" t="s">
        <v>59</v>
      </c>
      <c r="J7" s="3" t="s">
        <v>70</v>
      </c>
      <c r="K7" s="1"/>
      <c r="L7" s="4">
        <v>10</v>
      </c>
      <c r="M7" s="4">
        <v>7</v>
      </c>
      <c r="N7" s="4">
        <v>10</v>
      </c>
      <c r="O7" s="4">
        <v>4</v>
      </c>
      <c r="P7" s="4">
        <f>'[1]任务（新）'!J7</f>
        <v>40</v>
      </c>
      <c r="Q7" s="5">
        <v>100</v>
      </c>
      <c r="R7" s="5">
        <v>7</v>
      </c>
      <c r="S7" s="5">
        <v>20</v>
      </c>
      <c r="T7" s="5">
        <v>4</v>
      </c>
      <c r="U7" s="5">
        <f>'[1]任务（新）'!K7</f>
        <v>40</v>
      </c>
      <c r="V7" s="6">
        <v>200</v>
      </c>
      <c r="W7" s="6">
        <v>7</v>
      </c>
      <c r="X7" s="6">
        <v>50</v>
      </c>
      <c r="Y7" s="6">
        <v>4</v>
      </c>
      <c r="Z7" s="6">
        <f>'[1]任务（新）'!L7</f>
        <v>80</v>
      </c>
      <c r="AA7" s="7">
        <v>500</v>
      </c>
      <c r="AB7" s="7">
        <v>7</v>
      </c>
      <c r="AC7" s="7">
        <v>100</v>
      </c>
      <c r="AD7" s="7">
        <v>4</v>
      </c>
      <c r="AE7" s="7">
        <f>'[1]任务（新）'!M7</f>
        <v>80</v>
      </c>
      <c r="AF7" s="8">
        <v>1000</v>
      </c>
      <c r="AG7" s="8">
        <v>7</v>
      </c>
      <c r="AH7" s="8">
        <v>200</v>
      </c>
      <c r="AI7" s="8">
        <v>4</v>
      </c>
      <c r="AJ7" s="8">
        <f>'[1]任务（新）'!N7</f>
        <v>160</v>
      </c>
      <c r="AK7" s="9" t="s">
        <v>44</v>
      </c>
    </row>
    <row r="8" spans="1:37">
      <c r="A8" s="1">
        <v>7</v>
      </c>
      <c r="B8" s="2" t="s">
        <v>71</v>
      </c>
      <c r="C8" s="17" t="s">
        <v>72</v>
      </c>
      <c r="D8" s="2" t="s">
        <v>71</v>
      </c>
      <c r="E8" s="1" t="s">
        <v>73</v>
      </c>
      <c r="F8" s="18" t="s">
        <v>74</v>
      </c>
      <c r="G8" s="1" t="s">
        <v>73</v>
      </c>
      <c r="H8" s="1" t="s">
        <v>41</v>
      </c>
      <c r="I8" s="1" t="s">
        <v>59</v>
      </c>
      <c r="J8" s="3" t="s">
        <v>75</v>
      </c>
      <c r="K8" s="1"/>
      <c r="L8" s="4">
        <v>10</v>
      </c>
      <c r="M8" s="4">
        <v>7</v>
      </c>
      <c r="N8" s="4">
        <v>10</v>
      </c>
      <c r="O8" s="4">
        <v>4</v>
      </c>
      <c r="P8" s="4">
        <f>'[1]任务（新）'!J8</f>
        <v>40</v>
      </c>
      <c r="Q8" s="5">
        <v>100</v>
      </c>
      <c r="R8" s="5">
        <v>7</v>
      </c>
      <c r="S8" s="5">
        <v>20</v>
      </c>
      <c r="T8" s="5">
        <v>4</v>
      </c>
      <c r="U8" s="5">
        <f>'[1]任务（新）'!K8</f>
        <v>40</v>
      </c>
      <c r="V8" s="6">
        <v>200</v>
      </c>
      <c r="W8" s="6">
        <v>7</v>
      </c>
      <c r="X8" s="6">
        <v>50</v>
      </c>
      <c r="Y8" s="6">
        <v>4</v>
      </c>
      <c r="Z8" s="6">
        <f>'[1]任务（新）'!L8</f>
        <v>80</v>
      </c>
      <c r="AA8" s="7">
        <v>500</v>
      </c>
      <c r="AB8" s="7">
        <v>7</v>
      </c>
      <c r="AC8" s="7">
        <v>100</v>
      </c>
      <c r="AD8" s="7">
        <v>4</v>
      </c>
      <c r="AE8" s="7">
        <f>'[1]任务（新）'!M8</f>
        <v>80</v>
      </c>
      <c r="AF8" s="8">
        <v>1000</v>
      </c>
      <c r="AG8" s="8">
        <v>7</v>
      </c>
      <c r="AH8" s="8">
        <v>200</v>
      </c>
      <c r="AI8" s="8">
        <v>4</v>
      </c>
      <c r="AJ8" s="8">
        <f>'[1]任务（新）'!N8</f>
        <v>160</v>
      </c>
      <c r="AK8" s="9" t="s">
        <v>44</v>
      </c>
    </row>
    <row r="9" spans="1:37">
      <c r="A9" s="1">
        <v>8</v>
      </c>
      <c r="B9" s="2" t="s">
        <v>76</v>
      </c>
      <c r="C9" s="17" t="s">
        <v>77</v>
      </c>
      <c r="D9" s="2" t="s">
        <v>76</v>
      </c>
      <c r="E9" s="1" t="s">
        <v>78</v>
      </c>
      <c r="F9" s="18" t="s">
        <v>79</v>
      </c>
      <c r="G9" s="1" t="s">
        <v>78</v>
      </c>
      <c r="H9" s="1" t="s">
        <v>41</v>
      </c>
      <c r="I9" s="1" t="s">
        <v>80</v>
      </c>
      <c r="J9" s="3"/>
      <c r="K9" s="1"/>
      <c r="L9" s="4">
        <v>10</v>
      </c>
      <c r="M9" s="4">
        <v>7</v>
      </c>
      <c r="N9" s="4">
        <v>5</v>
      </c>
      <c r="O9" s="4">
        <v>4</v>
      </c>
      <c r="P9" s="4">
        <f>'[1]任务（新）'!J9</f>
        <v>15</v>
      </c>
      <c r="Q9" s="5">
        <v>100</v>
      </c>
      <c r="R9" s="5">
        <v>7</v>
      </c>
      <c r="S9" s="5">
        <v>10</v>
      </c>
      <c r="T9" s="5">
        <v>4</v>
      </c>
      <c r="U9" s="5">
        <f>'[1]任务（新）'!K9</f>
        <v>15</v>
      </c>
      <c r="V9" s="6">
        <v>200</v>
      </c>
      <c r="W9" s="6">
        <v>7</v>
      </c>
      <c r="X9" s="6">
        <v>20</v>
      </c>
      <c r="Y9" s="6">
        <v>4</v>
      </c>
      <c r="Z9" s="6">
        <f>'[1]任务（新）'!L9</f>
        <v>30</v>
      </c>
      <c r="AA9" s="7">
        <v>500</v>
      </c>
      <c r="AB9" s="7">
        <v>7</v>
      </c>
      <c r="AC9" s="7">
        <v>50</v>
      </c>
      <c r="AD9" s="7">
        <v>4</v>
      </c>
      <c r="AE9" s="7">
        <f>'[1]任务（新）'!M9</f>
        <v>30</v>
      </c>
      <c r="AF9" s="8">
        <v>1000</v>
      </c>
      <c r="AG9" s="8">
        <v>7</v>
      </c>
      <c r="AH9" s="8">
        <v>100</v>
      </c>
      <c r="AI9" s="8">
        <v>4</v>
      </c>
      <c r="AJ9" s="8">
        <f>'[1]任务（新）'!N9</f>
        <v>60</v>
      </c>
      <c r="AK9" s="9" t="s">
        <v>44</v>
      </c>
    </row>
    <row r="10" spans="1:37">
      <c r="A10" s="1">
        <v>9</v>
      </c>
      <c r="B10" s="2" t="s">
        <v>81</v>
      </c>
      <c r="C10" s="17" t="s">
        <v>82</v>
      </c>
      <c r="D10" s="2" t="s">
        <v>81</v>
      </c>
      <c r="E10" s="1" t="s">
        <v>83</v>
      </c>
      <c r="F10" s="18" t="s">
        <v>84</v>
      </c>
      <c r="G10" s="1" t="s">
        <v>83</v>
      </c>
      <c r="H10" s="1" t="s">
        <v>41</v>
      </c>
      <c r="I10" s="1" t="s">
        <v>85</v>
      </c>
      <c r="J10" s="3"/>
      <c r="K10" s="1"/>
      <c r="L10" s="4">
        <v>20</v>
      </c>
      <c r="M10" s="4">
        <v>7</v>
      </c>
      <c r="N10" s="4">
        <v>5</v>
      </c>
      <c r="O10" s="4">
        <v>4</v>
      </c>
      <c r="P10" s="4">
        <f>'[1]任务（新）'!J10</f>
        <v>15</v>
      </c>
      <c r="Q10" s="5">
        <v>100</v>
      </c>
      <c r="R10" s="5">
        <v>7</v>
      </c>
      <c r="S10" s="5">
        <v>10</v>
      </c>
      <c r="T10" s="5">
        <v>4</v>
      </c>
      <c r="U10" s="5">
        <f>'[1]任务（新）'!K10</f>
        <v>15</v>
      </c>
      <c r="V10" s="6">
        <v>200</v>
      </c>
      <c r="W10" s="6">
        <v>7</v>
      </c>
      <c r="X10" s="6">
        <v>20</v>
      </c>
      <c r="Y10" s="6">
        <v>4</v>
      </c>
      <c r="Z10" s="6">
        <f>'[1]任务（新）'!L10</f>
        <v>30</v>
      </c>
      <c r="AA10" s="7">
        <v>500</v>
      </c>
      <c r="AB10" s="7">
        <v>7</v>
      </c>
      <c r="AC10" s="7">
        <v>50</v>
      </c>
      <c r="AD10" s="7">
        <v>4</v>
      </c>
      <c r="AE10" s="7">
        <f>'[1]任务（新）'!M10</f>
        <v>30</v>
      </c>
      <c r="AF10" s="8">
        <v>1000</v>
      </c>
      <c r="AG10" s="8">
        <v>7</v>
      </c>
      <c r="AH10" s="8">
        <v>100</v>
      </c>
      <c r="AI10" s="8">
        <v>4</v>
      </c>
      <c r="AJ10" s="8">
        <f>'[1]任务（新）'!N10</f>
        <v>60</v>
      </c>
      <c r="AK10" s="9" t="s">
        <v>44</v>
      </c>
    </row>
    <row r="11" spans="1:37">
      <c r="A11" s="1">
        <v>10</v>
      </c>
      <c r="B11" s="2" t="s">
        <v>86</v>
      </c>
      <c r="C11" s="17" t="s">
        <v>87</v>
      </c>
      <c r="D11" s="2" t="s">
        <v>86</v>
      </c>
      <c r="E11" s="1" t="s">
        <v>88</v>
      </c>
      <c r="F11" s="18" t="s">
        <v>89</v>
      </c>
      <c r="G11" s="1" t="s">
        <v>88</v>
      </c>
      <c r="H11" s="1" t="s">
        <v>41</v>
      </c>
      <c r="I11" s="1" t="s">
        <v>90</v>
      </c>
      <c r="J11" s="3"/>
      <c r="K11" s="1"/>
      <c r="L11" s="4">
        <v>10</v>
      </c>
      <c r="M11" s="4">
        <v>7</v>
      </c>
      <c r="N11" s="4">
        <v>10</v>
      </c>
      <c r="O11" s="4">
        <v>4</v>
      </c>
      <c r="P11" s="4">
        <f>'[1]任务（新）'!J11</f>
        <v>15</v>
      </c>
      <c r="Q11" s="5">
        <v>50</v>
      </c>
      <c r="R11" s="5">
        <v>7</v>
      </c>
      <c r="S11" s="5">
        <v>20</v>
      </c>
      <c r="T11" s="5">
        <v>4</v>
      </c>
      <c r="U11" s="5">
        <f>'[1]任务（新）'!K11</f>
        <v>15</v>
      </c>
      <c r="V11" s="6">
        <v>100</v>
      </c>
      <c r="W11" s="6">
        <v>7</v>
      </c>
      <c r="X11" s="6">
        <v>50</v>
      </c>
      <c r="Y11" s="6">
        <v>4</v>
      </c>
      <c r="Z11" s="6">
        <f>'[1]任务（新）'!L11</f>
        <v>30</v>
      </c>
      <c r="AA11" s="7">
        <v>200</v>
      </c>
      <c r="AB11" s="7">
        <v>7</v>
      </c>
      <c r="AC11" s="7">
        <v>150</v>
      </c>
      <c r="AD11" s="7">
        <v>4</v>
      </c>
      <c r="AE11" s="7">
        <f>'[1]任务（新）'!M11</f>
        <v>30</v>
      </c>
      <c r="AF11" s="8">
        <v>500</v>
      </c>
      <c r="AG11" s="8">
        <v>7</v>
      </c>
      <c r="AH11" s="8">
        <v>200</v>
      </c>
      <c r="AI11" s="8">
        <v>4</v>
      </c>
      <c r="AJ11" s="8">
        <f>'[1]任务（新）'!N11</f>
        <v>60</v>
      </c>
      <c r="AK11" s="9" t="s">
        <v>44</v>
      </c>
    </row>
    <row r="12" spans="1:37">
      <c r="A12" s="1">
        <v>11</v>
      </c>
      <c r="B12" s="2" t="s">
        <v>91</v>
      </c>
      <c r="C12" s="17" t="s">
        <v>92</v>
      </c>
      <c r="D12" s="2" t="s">
        <v>91</v>
      </c>
      <c r="E12" s="1" t="s">
        <v>93</v>
      </c>
      <c r="F12" s="18" t="s">
        <v>94</v>
      </c>
      <c r="G12" s="1" t="s">
        <v>93</v>
      </c>
      <c r="H12" s="1" t="s">
        <v>41</v>
      </c>
      <c r="I12" s="1" t="s">
        <v>95</v>
      </c>
      <c r="J12" s="3"/>
      <c r="K12" s="1"/>
      <c r="L12" s="4">
        <v>10</v>
      </c>
      <c r="M12" s="4">
        <v>7</v>
      </c>
      <c r="N12" s="4">
        <v>10</v>
      </c>
      <c r="O12" s="4">
        <v>4</v>
      </c>
      <c r="P12" s="4">
        <f>'[1]任务（新）'!J12</f>
        <v>15</v>
      </c>
      <c r="Q12" s="5">
        <v>50</v>
      </c>
      <c r="R12" s="5">
        <v>7</v>
      </c>
      <c r="S12" s="5">
        <v>20</v>
      </c>
      <c r="T12" s="5">
        <v>4</v>
      </c>
      <c r="U12" s="5">
        <f>'[1]任务（新）'!K12</f>
        <v>15</v>
      </c>
      <c r="V12" s="6">
        <v>100</v>
      </c>
      <c r="W12" s="6">
        <v>7</v>
      </c>
      <c r="X12" s="6">
        <v>50</v>
      </c>
      <c r="Y12" s="6">
        <v>4</v>
      </c>
      <c r="Z12" s="6">
        <f>'[1]任务（新）'!L12</f>
        <v>30</v>
      </c>
      <c r="AA12" s="7">
        <v>200</v>
      </c>
      <c r="AB12" s="7">
        <v>7</v>
      </c>
      <c r="AC12" s="7">
        <v>100</v>
      </c>
      <c r="AD12" s="7">
        <v>4</v>
      </c>
      <c r="AE12" s="7">
        <f>'[1]任务（新）'!M12</f>
        <v>30</v>
      </c>
      <c r="AF12" s="8">
        <v>500</v>
      </c>
      <c r="AG12" s="8">
        <v>7</v>
      </c>
      <c r="AH12" s="8">
        <v>200</v>
      </c>
      <c r="AI12" s="8">
        <v>4</v>
      </c>
      <c r="AJ12" s="8">
        <f>'[1]任务（新）'!N12</f>
        <v>60</v>
      </c>
      <c r="AK12" s="9" t="s">
        <v>44</v>
      </c>
    </row>
    <row r="13" spans="1:37">
      <c r="A13" s="1">
        <v>12</v>
      </c>
      <c r="B13" s="2" t="s">
        <v>96</v>
      </c>
      <c r="C13" s="17" t="s">
        <v>97</v>
      </c>
      <c r="D13" s="2" t="s">
        <v>96</v>
      </c>
      <c r="E13" s="1" t="s">
        <v>98</v>
      </c>
      <c r="F13" s="18" t="s">
        <v>99</v>
      </c>
      <c r="G13" s="1" t="s">
        <v>98</v>
      </c>
      <c r="H13" s="1" t="s">
        <v>41</v>
      </c>
      <c r="I13" s="1" t="s">
        <v>100</v>
      </c>
      <c r="J13" s="3">
        <v>20000309</v>
      </c>
      <c r="K13" s="1"/>
      <c r="L13" s="4">
        <v>10</v>
      </c>
      <c r="M13" s="4">
        <v>7</v>
      </c>
      <c r="N13" s="4">
        <v>10</v>
      </c>
      <c r="O13" s="4">
        <v>4</v>
      </c>
      <c r="P13" s="4">
        <f>'[1]任务（新）'!J13</f>
        <v>15</v>
      </c>
      <c r="Q13" s="5">
        <v>50</v>
      </c>
      <c r="R13" s="5">
        <v>7</v>
      </c>
      <c r="S13" s="5">
        <v>20</v>
      </c>
      <c r="T13" s="5">
        <v>4</v>
      </c>
      <c r="U13" s="5">
        <f>'[1]任务（新）'!K13</f>
        <v>15</v>
      </c>
      <c r="V13" s="6">
        <v>100</v>
      </c>
      <c r="W13" s="6">
        <v>7</v>
      </c>
      <c r="X13" s="6">
        <v>50</v>
      </c>
      <c r="Y13" s="6">
        <v>4</v>
      </c>
      <c r="Z13" s="6">
        <f>'[1]任务（新）'!L13</f>
        <v>30</v>
      </c>
      <c r="AA13" s="7">
        <v>200</v>
      </c>
      <c r="AB13" s="7">
        <v>7</v>
      </c>
      <c r="AC13" s="7">
        <v>100</v>
      </c>
      <c r="AD13" s="7">
        <v>4</v>
      </c>
      <c r="AE13" s="7">
        <f>'[1]任务（新）'!M13</f>
        <v>30</v>
      </c>
      <c r="AF13" s="8">
        <v>500</v>
      </c>
      <c r="AG13" s="8">
        <v>7</v>
      </c>
      <c r="AH13" s="8">
        <v>200</v>
      </c>
      <c r="AI13" s="8">
        <v>4</v>
      </c>
      <c r="AJ13" s="8">
        <f>'[1]任务（新）'!N13</f>
        <v>60</v>
      </c>
      <c r="AK13" s="9" t="s">
        <v>44</v>
      </c>
    </row>
    <row r="14" spans="1:37">
      <c r="A14" s="1">
        <v>13</v>
      </c>
      <c r="B14" s="2" t="s">
        <v>101</v>
      </c>
      <c r="C14" s="17" t="s">
        <v>102</v>
      </c>
      <c r="D14" s="2" t="s">
        <v>101</v>
      </c>
      <c r="E14" s="1" t="s">
        <v>103</v>
      </c>
      <c r="F14" s="18" t="s">
        <v>104</v>
      </c>
      <c r="G14" s="1" t="s">
        <v>103</v>
      </c>
      <c r="H14" s="1" t="s">
        <v>41</v>
      </c>
      <c r="I14" s="1" t="s">
        <v>100</v>
      </c>
      <c r="J14" s="3">
        <v>20000108</v>
      </c>
      <c r="K14" s="1"/>
      <c r="L14" s="4">
        <v>10</v>
      </c>
      <c r="M14" s="4">
        <v>7</v>
      </c>
      <c r="N14" s="4">
        <v>10</v>
      </c>
      <c r="O14" s="4">
        <v>4</v>
      </c>
      <c r="P14" s="4">
        <f>'[1]任务（新）'!J14</f>
        <v>15</v>
      </c>
      <c r="Q14" s="5">
        <v>50</v>
      </c>
      <c r="R14" s="5">
        <v>7</v>
      </c>
      <c r="S14" s="5">
        <v>20</v>
      </c>
      <c r="T14" s="5">
        <v>4</v>
      </c>
      <c r="U14" s="5">
        <f>'[1]任务（新）'!K14</f>
        <v>15</v>
      </c>
      <c r="V14" s="6">
        <v>100</v>
      </c>
      <c r="W14" s="6">
        <v>7</v>
      </c>
      <c r="X14" s="6">
        <v>50</v>
      </c>
      <c r="Y14" s="6">
        <v>4</v>
      </c>
      <c r="Z14" s="6">
        <f>'[1]任务（新）'!L14</f>
        <v>30</v>
      </c>
      <c r="AA14" s="7">
        <v>200</v>
      </c>
      <c r="AB14" s="7">
        <v>7</v>
      </c>
      <c r="AC14" s="7">
        <v>100</v>
      </c>
      <c r="AD14" s="7">
        <v>4</v>
      </c>
      <c r="AE14" s="7">
        <f>'[1]任务（新）'!M14</f>
        <v>30</v>
      </c>
      <c r="AF14" s="8">
        <v>500</v>
      </c>
      <c r="AG14" s="8">
        <v>7</v>
      </c>
      <c r="AH14" s="8">
        <v>200</v>
      </c>
      <c r="AI14" s="8">
        <v>4</v>
      </c>
      <c r="AJ14" s="8">
        <f>'[1]任务（新）'!N14</f>
        <v>60</v>
      </c>
      <c r="AK14" s="9" t="s">
        <v>44</v>
      </c>
    </row>
    <row r="15" spans="1:37">
      <c r="A15" s="1">
        <v>14</v>
      </c>
      <c r="B15" s="2" t="s">
        <v>105</v>
      </c>
      <c r="C15" s="17" t="s">
        <v>106</v>
      </c>
      <c r="D15" s="2" t="s">
        <v>105</v>
      </c>
      <c r="E15" s="1" t="s">
        <v>107</v>
      </c>
      <c r="F15" s="18" t="s">
        <v>108</v>
      </c>
      <c r="G15" s="1" t="s">
        <v>107</v>
      </c>
      <c r="H15" s="1" t="s">
        <v>41</v>
      </c>
      <c r="I15" s="1" t="s">
        <v>109</v>
      </c>
      <c r="J15" s="3"/>
      <c r="K15" s="1" t="s">
        <v>43</v>
      </c>
      <c r="L15" s="4">
        <v>3</v>
      </c>
      <c r="M15" s="4">
        <v>7</v>
      </c>
      <c r="N15" s="4">
        <v>10</v>
      </c>
      <c r="O15" s="4">
        <v>4</v>
      </c>
      <c r="P15" s="4">
        <f>'[1]任务（新）'!J15</f>
        <v>20</v>
      </c>
      <c r="Q15" s="5">
        <v>5</v>
      </c>
      <c r="R15" s="5">
        <v>7</v>
      </c>
      <c r="S15" s="5">
        <v>20</v>
      </c>
      <c r="T15" s="5">
        <v>4</v>
      </c>
      <c r="U15" s="5">
        <f>'[1]任务（新）'!K15</f>
        <v>20</v>
      </c>
      <c r="V15" s="6">
        <v>10</v>
      </c>
      <c r="W15" s="6">
        <v>7</v>
      </c>
      <c r="X15" s="6">
        <v>50</v>
      </c>
      <c r="Y15" s="6">
        <v>4</v>
      </c>
      <c r="Z15" s="6">
        <f>'[1]任务（新）'!L15</f>
        <v>40</v>
      </c>
      <c r="AA15" s="7">
        <v>15</v>
      </c>
      <c r="AB15" s="7">
        <v>7</v>
      </c>
      <c r="AC15" s="7">
        <v>100</v>
      </c>
      <c r="AD15" s="7">
        <v>4</v>
      </c>
      <c r="AE15" s="7">
        <f>'[1]任务（新）'!M15</f>
        <v>40</v>
      </c>
      <c r="AF15" s="8">
        <v>20</v>
      </c>
      <c r="AG15" s="8">
        <v>7</v>
      </c>
      <c r="AH15" s="8">
        <v>200</v>
      </c>
      <c r="AI15" s="8">
        <v>4</v>
      </c>
      <c r="AJ15" s="8">
        <f>'[1]任务（新）'!N15</f>
        <v>80</v>
      </c>
      <c r="AK15" s="9" t="s">
        <v>44</v>
      </c>
    </row>
    <row r="16" spans="1:37">
      <c r="A16" s="1">
        <v>15</v>
      </c>
      <c r="B16" s="2" t="s">
        <v>110</v>
      </c>
      <c r="C16" s="17" t="s">
        <v>111</v>
      </c>
      <c r="D16" s="2" t="s">
        <v>110</v>
      </c>
      <c r="E16" s="1" t="s">
        <v>112</v>
      </c>
      <c r="F16" s="18" t="s">
        <v>113</v>
      </c>
      <c r="G16" s="1" t="s">
        <v>112</v>
      </c>
      <c r="H16" s="1" t="s">
        <v>41</v>
      </c>
      <c r="I16" s="1" t="s">
        <v>114</v>
      </c>
      <c r="J16" s="3"/>
      <c r="K16" s="1" t="s">
        <v>43</v>
      </c>
      <c r="L16" s="4">
        <v>20</v>
      </c>
      <c r="M16" s="4">
        <v>7</v>
      </c>
      <c r="N16" s="4">
        <v>10</v>
      </c>
      <c r="O16" s="4">
        <v>4</v>
      </c>
      <c r="P16" s="4">
        <f>'[1]任务（新）'!J16</f>
        <v>15</v>
      </c>
      <c r="Q16" s="5">
        <v>40</v>
      </c>
      <c r="R16" s="5">
        <v>7</v>
      </c>
      <c r="S16" s="5">
        <v>20</v>
      </c>
      <c r="T16" s="5">
        <v>4</v>
      </c>
      <c r="U16" s="5">
        <f>'[1]任务（新）'!K16</f>
        <v>15</v>
      </c>
      <c r="V16" s="6">
        <v>60</v>
      </c>
      <c r="W16" s="6">
        <v>7</v>
      </c>
      <c r="X16" s="6">
        <v>50</v>
      </c>
      <c r="Y16" s="6">
        <v>4</v>
      </c>
      <c r="Z16" s="6">
        <f>'[1]任务（新）'!L16</f>
        <v>30</v>
      </c>
      <c r="AA16" s="7">
        <v>80</v>
      </c>
      <c r="AB16" s="7">
        <v>7</v>
      </c>
      <c r="AC16" s="7">
        <v>100</v>
      </c>
      <c r="AD16" s="7">
        <v>4</v>
      </c>
      <c r="AE16" s="7">
        <f>'[1]任务（新）'!M16</f>
        <v>30</v>
      </c>
      <c r="AF16" s="8">
        <v>100</v>
      </c>
      <c r="AG16" s="8">
        <v>7</v>
      </c>
      <c r="AH16" s="8">
        <v>200</v>
      </c>
      <c r="AI16" s="8">
        <v>4</v>
      </c>
      <c r="AJ16" s="8">
        <f>'[1]任务（新）'!N16</f>
        <v>60</v>
      </c>
      <c r="AK16" s="9" t="s">
        <v>44</v>
      </c>
    </row>
    <row r="17" spans="1:37">
      <c r="A17" s="10">
        <v>16</v>
      </c>
      <c r="B17" s="10" t="s">
        <v>115</v>
      </c>
      <c r="C17" s="17" t="s">
        <v>116</v>
      </c>
      <c r="D17" s="10" t="s">
        <v>115</v>
      </c>
      <c r="E17" s="10" t="s">
        <v>117</v>
      </c>
      <c r="F17" s="18" t="s">
        <v>118</v>
      </c>
      <c r="G17" s="10" t="s">
        <v>117</v>
      </c>
      <c r="H17" s="10" t="s">
        <v>41</v>
      </c>
      <c r="I17" s="10" t="s">
        <v>119</v>
      </c>
      <c r="J17" s="14">
        <v>1</v>
      </c>
      <c r="K17" s="10" t="s">
        <v>43</v>
      </c>
      <c r="L17" s="10">
        <v>7</v>
      </c>
      <c r="M17" s="10">
        <v>7</v>
      </c>
      <c r="N17" s="10">
        <v>10</v>
      </c>
      <c r="O17" s="10">
        <v>4</v>
      </c>
      <c r="P17" s="10">
        <v>50</v>
      </c>
      <c r="Q17" s="10">
        <v>11</v>
      </c>
      <c r="R17" s="10">
        <v>7</v>
      </c>
      <c r="S17" s="10">
        <v>20</v>
      </c>
      <c r="T17" s="10">
        <v>4</v>
      </c>
      <c r="U17" s="10">
        <f>2.5*S17</f>
        <v>50</v>
      </c>
      <c r="V17" s="10">
        <v>15</v>
      </c>
      <c r="W17" s="10">
        <v>7</v>
      </c>
      <c r="X17" s="10">
        <v>50</v>
      </c>
      <c r="Y17" s="10">
        <v>4</v>
      </c>
      <c r="Z17" s="10">
        <v>100</v>
      </c>
      <c r="AA17" s="10">
        <v>20</v>
      </c>
      <c r="AB17" s="10">
        <v>7</v>
      </c>
      <c r="AC17" s="10">
        <v>100</v>
      </c>
      <c r="AD17" s="10">
        <v>4</v>
      </c>
      <c r="AE17" s="10">
        <v>100</v>
      </c>
      <c r="AF17" s="10">
        <v>25</v>
      </c>
      <c r="AG17" s="10">
        <v>7</v>
      </c>
      <c r="AH17" s="10">
        <v>200</v>
      </c>
      <c r="AI17" s="10">
        <v>4</v>
      </c>
      <c r="AJ17" s="10">
        <v>200</v>
      </c>
      <c r="AK17" s="9" t="s">
        <v>120</v>
      </c>
    </row>
    <row r="18" spans="1:37">
      <c r="A18" s="1">
        <v>17</v>
      </c>
      <c r="B18" s="2" t="s">
        <v>121</v>
      </c>
      <c r="C18" s="17" t="s">
        <v>122</v>
      </c>
      <c r="D18" s="2" t="s">
        <v>121</v>
      </c>
      <c r="E18" s="1" t="s">
        <v>123</v>
      </c>
      <c r="F18" s="18" t="s">
        <v>124</v>
      </c>
      <c r="G18" s="1" t="s">
        <v>123</v>
      </c>
      <c r="H18" s="1" t="s">
        <v>41</v>
      </c>
      <c r="I18" s="1" t="s">
        <v>119</v>
      </c>
      <c r="J18" s="3">
        <v>2</v>
      </c>
      <c r="K18" s="1" t="s">
        <v>43</v>
      </c>
      <c r="L18" s="4">
        <v>7</v>
      </c>
      <c r="M18" s="4">
        <v>7</v>
      </c>
      <c r="N18" s="4">
        <v>10</v>
      </c>
      <c r="O18" s="4">
        <v>4</v>
      </c>
      <c r="P18" s="4">
        <f>'[1]任务（新）'!J17</f>
        <v>50</v>
      </c>
      <c r="Q18" s="5">
        <v>11</v>
      </c>
      <c r="R18" s="5">
        <v>7</v>
      </c>
      <c r="S18" s="5">
        <v>20</v>
      </c>
      <c r="T18" s="5">
        <v>4</v>
      </c>
      <c r="U18" s="5">
        <f>'[1]任务（新）'!K17</f>
        <v>50</v>
      </c>
      <c r="V18" s="6">
        <v>15</v>
      </c>
      <c r="W18" s="6">
        <v>7</v>
      </c>
      <c r="X18" s="6">
        <v>50</v>
      </c>
      <c r="Y18" s="6">
        <v>4</v>
      </c>
      <c r="Z18" s="6">
        <f>'[1]任务（新）'!L17</f>
        <v>100</v>
      </c>
      <c r="AA18" s="7">
        <v>20</v>
      </c>
      <c r="AB18" s="7">
        <v>7</v>
      </c>
      <c r="AC18" s="7">
        <v>100</v>
      </c>
      <c r="AD18" s="7">
        <v>4</v>
      </c>
      <c r="AE18" s="7">
        <f>'[1]任务（新）'!M17</f>
        <v>100</v>
      </c>
      <c r="AF18" s="8">
        <v>25</v>
      </c>
      <c r="AG18" s="8">
        <v>7</v>
      </c>
      <c r="AH18" s="8">
        <v>200</v>
      </c>
      <c r="AI18" s="8">
        <v>4</v>
      </c>
      <c r="AJ18" s="8">
        <f>'[1]任务（新）'!N17</f>
        <v>200</v>
      </c>
      <c r="AK18" s="9" t="s">
        <v>125</v>
      </c>
    </row>
    <row r="19" spans="1:37">
      <c r="A19" s="1">
        <v>18</v>
      </c>
      <c r="B19" s="2" t="s">
        <v>126</v>
      </c>
      <c r="C19" s="17" t="s">
        <v>127</v>
      </c>
      <c r="D19" s="2" t="s">
        <v>126</v>
      </c>
      <c r="E19" s="1" t="s">
        <v>128</v>
      </c>
      <c r="F19" s="18" t="s">
        <v>129</v>
      </c>
      <c r="G19" s="1" t="s">
        <v>128</v>
      </c>
      <c r="H19" s="1" t="s">
        <v>41</v>
      </c>
      <c r="I19" s="1" t="s">
        <v>130</v>
      </c>
      <c r="J19" s="3"/>
      <c r="K19" s="1" t="s">
        <v>43</v>
      </c>
      <c r="L19" s="4">
        <v>10</v>
      </c>
      <c r="M19" s="4">
        <v>7</v>
      </c>
      <c r="N19" s="4">
        <v>10</v>
      </c>
      <c r="O19" s="4">
        <v>4</v>
      </c>
      <c r="P19" s="4">
        <f>'[1]任务（新）'!J18</f>
        <v>50</v>
      </c>
      <c r="Q19" s="5">
        <v>25</v>
      </c>
      <c r="R19" s="5">
        <v>7</v>
      </c>
      <c r="S19" s="5">
        <v>20</v>
      </c>
      <c r="T19" s="5">
        <v>4</v>
      </c>
      <c r="U19" s="5">
        <f>'[1]任务（新）'!K18</f>
        <v>50</v>
      </c>
      <c r="V19" s="6">
        <v>50</v>
      </c>
      <c r="W19" s="6">
        <v>7</v>
      </c>
      <c r="X19" s="6">
        <v>50</v>
      </c>
      <c r="Y19" s="6">
        <v>4</v>
      </c>
      <c r="Z19" s="6">
        <f>'[1]任务（新）'!L18</f>
        <v>100</v>
      </c>
      <c r="AA19" s="7">
        <v>75</v>
      </c>
      <c r="AB19" s="7">
        <v>7</v>
      </c>
      <c r="AC19" s="7">
        <v>100</v>
      </c>
      <c r="AD19" s="7">
        <v>4</v>
      </c>
      <c r="AE19" s="7">
        <f>'[1]任务（新）'!M18</f>
        <v>100</v>
      </c>
      <c r="AF19" s="8">
        <v>100</v>
      </c>
      <c r="AG19" s="8">
        <v>7</v>
      </c>
      <c r="AH19" s="8">
        <v>200</v>
      </c>
      <c r="AI19" s="8">
        <v>4</v>
      </c>
      <c r="AJ19" s="8">
        <f>'[1]任务（新）'!N18</f>
        <v>200</v>
      </c>
      <c r="AK19" s="9" t="s">
        <v>44</v>
      </c>
    </row>
    <row r="20" spans="1:37">
      <c r="A20" s="1">
        <v>19</v>
      </c>
      <c r="B20" s="2" t="s">
        <v>131</v>
      </c>
      <c r="C20" s="17" t="s">
        <v>132</v>
      </c>
      <c r="D20" s="2" t="s">
        <v>131</v>
      </c>
      <c r="E20" s="1" t="s">
        <v>133</v>
      </c>
      <c r="F20" s="18" t="s">
        <v>134</v>
      </c>
      <c r="G20" s="1" t="s">
        <v>133</v>
      </c>
      <c r="H20" s="1" t="s">
        <v>41</v>
      </c>
      <c r="I20" s="1" t="s">
        <v>135</v>
      </c>
      <c r="J20" s="3"/>
      <c r="K20" s="1"/>
      <c r="L20" s="4">
        <v>1</v>
      </c>
      <c r="M20" s="4">
        <v>7</v>
      </c>
      <c r="N20" s="4">
        <v>10</v>
      </c>
      <c r="O20" s="4">
        <v>4</v>
      </c>
      <c r="P20" s="4">
        <f>'[1]任务（新）'!J19</f>
        <v>20</v>
      </c>
      <c r="Q20" s="5">
        <v>25</v>
      </c>
      <c r="R20" s="5">
        <v>7</v>
      </c>
      <c r="S20" s="5">
        <v>20</v>
      </c>
      <c r="T20" s="5">
        <v>4</v>
      </c>
      <c r="U20" s="5">
        <f>'[1]任务（新）'!K19</f>
        <v>20</v>
      </c>
      <c r="V20" s="6">
        <v>50</v>
      </c>
      <c r="W20" s="6">
        <v>7</v>
      </c>
      <c r="X20" s="6">
        <v>50</v>
      </c>
      <c r="Y20" s="6">
        <v>4</v>
      </c>
      <c r="Z20" s="6">
        <f>'[1]任务（新）'!L19</f>
        <v>40</v>
      </c>
      <c r="AA20" s="7">
        <v>75</v>
      </c>
      <c r="AB20" s="7">
        <v>7</v>
      </c>
      <c r="AC20" s="7">
        <v>100</v>
      </c>
      <c r="AD20" s="7">
        <v>4</v>
      </c>
      <c r="AE20" s="7">
        <f>'[1]任务（新）'!M19</f>
        <v>40</v>
      </c>
      <c r="AF20" s="8">
        <v>100</v>
      </c>
      <c r="AG20" s="8">
        <v>7</v>
      </c>
      <c r="AH20" s="8">
        <v>200</v>
      </c>
      <c r="AI20" s="8">
        <v>4</v>
      </c>
      <c r="AJ20" s="8">
        <f>'[1]任务（新）'!N19</f>
        <v>80</v>
      </c>
      <c r="AK20" s="9" t="s">
        <v>136</v>
      </c>
    </row>
    <row r="21" spans="1:37">
      <c r="A21" s="1">
        <v>20</v>
      </c>
      <c r="B21" s="2" t="s">
        <v>137</v>
      </c>
      <c r="C21" s="17" t="s">
        <v>138</v>
      </c>
      <c r="D21" s="2" t="s">
        <v>137</v>
      </c>
      <c r="E21" s="1" t="s">
        <v>139</v>
      </c>
      <c r="F21" s="18" t="s">
        <v>140</v>
      </c>
      <c r="G21" s="1" t="s">
        <v>139</v>
      </c>
      <c r="H21" s="1" t="s">
        <v>41</v>
      </c>
      <c r="I21" s="1" t="s">
        <v>141</v>
      </c>
      <c r="J21" s="3"/>
      <c r="K21" s="1"/>
      <c r="L21" s="4">
        <v>5</v>
      </c>
      <c r="M21" s="4">
        <v>7</v>
      </c>
      <c r="N21" s="4">
        <v>10</v>
      </c>
      <c r="O21" s="4">
        <v>4</v>
      </c>
      <c r="P21" s="4">
        <f>'[1]任务（新）'!J20</f>
        <v>20</v>
      </c>
      <c r="Q21" s="5">
        <v>10</v>
      </c>
      <c r="R21" s="5">
        <v>7</v>
      </c>
      <c r="S21" s="5">
        <v>20</v>
      </c>
      <c r="T21" s="5">
        <v>4</v>
      </c>
      <c r="U21" s="5">
        <f>'[1]任务（新）'!K20</f>
        <v>20</v>
      </c>
      <c r="V21" s="6">
        <v>25</v>
      </c>
      <c r="W21" s="6">
        <v>7</v>
      </c>
      <c r="X21" s="6">
        <v>50</v>
      </c>
      <c r="Y21" s="6">
        <v>4</v>
      </c>
      <c r="Z21" s="6">
        <f>'[1]任务（新）'!L20</f>
        <v>40</v>
      </c>
      <c r="AA21" s="7">
        <v>50</v>
      </c>
      <c r="AB21" s="7">
        <v>7</v>
      </c>
      <c r="AC21" s="7">
        <v>100</v>
      </c>
      <c r="AD21" s="7">
        <v>4</v>
      </c>
      <c r="AE21" s="7">
        <f>'[1]任务（新）'!M20</f>
        <v>40</v>
      </c>
      <c r="AF21" s="8">
        <v>100</v>
      </c>
      <c r="AG21" s="8">
        <v>7</v>
      </c>
      <c r="AH21" s="8">
        <v>200</v>
      </c>
      <c r="AI21" s="8">
        <v>4</v>
      </c>
      <c r="AJ21" s="8">
        <f>'[1]任务（新）'!N20</f>
        <v>80</v>
      </c>
      <c r="AK21" s="9" t="s">
        <v>142</v>
      </c>
    </row>
    <row r="22" spans="1:37">
      <c r="A22" s="1">
        <v>21</v>
      </c>
      <c r="B22" s="2" t="s">
        <v>143</v>
      </c>
      <c r="C22" s="17" t="s">
        <v>144</v>
      </c>
      <c r="D22" s="2" t="s">
        <v>143</v>
      </c>
      <c r="E22" s="1" t="s">
        <v>145</v>
      </c>
      <c r="F22" s="18" t="s">
        <v>146</v>
      </c>
      <c r="G22" s="1" t="s">
        <v>145</v>
      </c>
      <c r="H22" s="1" t="s">
        <v>41</v>
      </c>
      <c r="I22" s="1" t="s">
        <v>147</v>
      </c>
      <c r="J22" s="3" t="s">
        <v>148</v>
      </c>
      <c r="K22" s="1"/>
      <c r="L22" s="4">
        <v>10000</v>
      </c>
      <c r="M22" s="4">
        <v>7</v>
      </c>
      <c r="N22" s="4">
        <v>10</v>
      </c>
      <c r="O22" s="4">
        <v>4</v>
      </c>
      <c r="P22" s="4">
        <f>'[1]任务（新）'!J21</f>
        <v>20</v>
      </c>
      <c r="Q22" s="5">
        <v>100000</v>
      </c>
      <c r="R22" s="5">
        <v>7</v>
      </c>
      <c r="S22" s="5">
        <v>20</v>
      </c>
      <c r="T22" s="5">
        <v>4</v>
      </c>
      <c r="U22" s="5">
        <f>'[1]任务（新）'!K21</f>
        <v>20</v>
      </c>
      <c r="V22" s="6">
        <v>200000</v>
      </c>
      <c r="W22" s="6">
        <v>7</v>
      </c>
      <c r="X22" s="6">
        <v>50</v>
      </c>
      <c r="Y22" s="6">
        <v>4</v>
      </c>
      <c r="Z22" s="6">
        <f>'[1]任务（新）'!L21</f>
        <v>40</v>
      </c>
      <c r="AA22" s="7">
        <v>300000</v>
      </c>
      <c r="AB22" s="7">
        <v>7</v>
      </c>
      <c r="AC22" s="7">
        <v>100</v>
      </c>
      <c r="AD22" s="7">
        <v>4</v>
      </c>
      <c r="AE22" s="7">
        <f>'[1]任务（新）'!M21</f>
        <v>40</v>
      </c>
      <c r="AF22" s="8">
        <v>500000</v>
      </c>
      <c r="AG22" s="8">
        <v>7</v>
      </c>
      <c r="AH22" s="8">
        <v>200</v>
      </c>
      <c r="AI22" s="8">
        <v>4</v>
      </c>
      <c r="AJ22" s="8">
        <f>'[1]任务（新）'!N21</f>
        <v>80</v>
      </c>
      <c r="AK22" s="9" t="s">
        <v>44</v>
      </c>
    </row>
    <row r="23" spans="1:37">
      <c r="A23" s="1">
        <v>22</v>
      </c>
      <c r="B23" s="2" t="s">
        <v>149</v>
      </c>
      <c r="C23" s="17" t="s">
        <v>150</v>
      </c>
      <c r="D23" s="2" t="s">
        <v>149</v>
      </c>
      <c r="E23" s="1" t="s">
        <v>151</v>
      </c>
      <c r="F23" s="18" t="s">
        <v>152</v>
      </c>
      <c r="G23" s="1" t="s">
        <v>151</v>
      </c>
      <c r="H23" s="1" t="s">
        <v>41</v>
      </c>
      <c r="I23" s="1" t="s">
        <v>147</v>
      </c>
      <c r="J23" s="3" t="s">
        <v>153</v>
      </c>
      <c r="K23" s="1"/>
      <c r="L23" s="4">
        <v>10000</v>
      </c>
      <c r="M23" s="4">
        <v>7</v>
      </c>
      <c r="N23" s="4">
        <v>10</v>
      </c>
      <c r="O23" s="4">
        <v>4</v>
      </c>
      <c r="P23" s="4">
        <f>'[1]任务（新）'!J22</f>
        <v>20</v>
      </c>
      <c r="Q23" s="5">
        <v>20000</v>
      </c>
      <c r="R23" s="5">
        <v>7</v>
      </c>
      <c r="S23" s="5">
        <v>20</v>
      </c>
      <c r="T23" s="5">
        <v>4</v>
      </c>
      <c r="U23" s="5">
        <f>'[1]任务（新）'!K22</f>
        <v>20</v>
      </c>
      <c r="V23" s="6">
        <v>50000</v>
      </c>
      <c r="W23" s="6">
        <v>7</v>
      </c>
      <c r="X23" s="6">
        <v>50</v>
      </c>
      <c r="Y23" s="6">
        <v>4</v>
      </c>
      <c r="Z23" s="6">
        <f>'[1]任务（新）'!L22</f>
        <v>40</v>
      </c>
      <c r="AA23" s="7">
        <v>80000</v>
      </c>
      <c r="AB23" s="7">
        <v>7</v>
      </c>
      <c r="AC23" s="7">
        <v>100</v>
      </c>
      <c r="AD23" s="7">
        <v>4</v>
      </c>
      <c r="AE23" s="7">
        <f>'[1]任务（新）'!M22</f>
        <v>40</v>
      </c>
      <c r="AF23" s="8">
        <v>100000</v>
      </c>
      <c r="AG23" s="8">
        <v>7</v>
      </c>
      <c r="AH23" s="8">
        <v>200</v>
      </c>
      <c r="AI23" s="8">
        <v>4</v>
      </c>
      <c r="AJ23" s="8">
        <f>'[1]任务（新）'!N22</f>
        <v>80</v>
      </c>
      <c r="AK23" s="9" t="s">
        <v>44</v>
      </c>
    </row>
    <row r="24" spans="1:37">
      <c r="A24" s="1">
        <v>23</v>
      </c>
      <c r="B24" s="2" t="s">
        <v>154</v>
      </c>
      <c r="C24" s="17" t="s">
        <v>155</v>
      </c>
      <c r="D24" s="2" t="s">
        <v>154</v>
      </c>
      <c r="E24" s="1" t="s">
        <v>156</v>
      </c>
      <c r="F24" s="18" t="s">
        <v>157</v>
      </c>
      <c r="G24" s="1" t="s">
        <v>156</v>
      </c>
      <c r="H24" s="1" t="s">
        <v>41</v>
      </c>
      <c r="I24" s="1" t="s">
        <v>158</v>
      </c>
      <c r="J24" s="3"/>
      <c r="K24" s="1"/>
      <c r="L24" s="4">
        <v>1</v>
      </c>
      <c r="M24" s="4">
        <v>7</v>
      </c>
      <c r="N24" s="4">
        <v>10</v>
      </c>
      <c r="O24" s="4">
        <v>4</v>
      </c>
      <c r="P24" s="4">
        <f>'[1]任务（新）'!J23</f>
        <v>20</v>
      </c>
      <c r="Q24" s="5">
        <v>5</v>
      </c>
      <c r="R24" s="5">
        <v>7</v>
      </c>
      <c r="S24" s="5">
        <v>20</v>
      </c>
      <c r="T24" s="5">
        <v>4</v>
      </c>
      <c r="U24" s="5">
        <f>'[1]任务（新）'!K23</f>
        <v>20</v>
      </c>
      <c r="V24" s="6">
        <v>10</v>
      </c>
      <c r="W24" s="6">
        <v>7</v>
      </c>
      <c r="X24" s="6">
        <v>50</v>
      </c>
      <c r="Y24" s="6">
        <v>4</v>
      </c>
      <c r="Z24" s="6">
        <f>'[1]任务（新）'!L23</f>
        <v>40</v>
      </c>
      <c r="AA24" s="7">
        <v>15</v>
      </c>
      <c r="AB24" s="7">
        <v>7</v>
      </c>
      <c r="AC24" s="7">
        <v>100</v>
      </c>
      <c r="AD24" s="7">
        <v>4</v>
      </c>
      <c r="AE24" s="7">
        <f>'[1]任务（新）'!M23</f>
        <v>40</v>
      </c>
      <c r="AF24" s="8">
        <v>20</v>
      </c>
      <c r="AG24" s="8">
        <v>7</v>
      </c>
      <c r="AH24" s="8">
        <v>200</v>
      </c>
      <c r="AI24" s="8">
        <v>4</v>
      </c>
      <c r="AJ24" s="8">
        <f>'[1]任务（新）'!N23</f>
        <v>80</v>
      </c>
      <c r="AK24" s="9" t="s">
        <v>44</v>
      </c>
    </row>
    <row r="25" spans="1:37">
      <c r="A25" s="1">
        <v>24</v>
      </c>
      <c r="B25" s="2" t="s">
        <v>159</v>
      </c>
      <c r="C25" s="17" t="s">
        <v>160</v>
      </c>
      <c r="D25" s="2" t="s">
        <v>159</v>
      </c>
      <c r="E25" s="1" t="s">
        <v>161</v>
      </c>
      <c r="F25" s="18" t="s">
        <v>162</v>
      </c>
      <c r="G25" s="1" t="s">
        <v>161</v>
      </c>
      <c r="H25" s="1" t="s">
        <v>41</v>
      </c>
      <c r="I25" s="1" t="s">
        <v>163</v>
      </c>
      <c r="J25" s="3"/>
      <c r="K25" s="1"/>
      <c r="L25" s="4">
        <v>10</v>
      </c>
      <c r="M25" s="4">
        <v>7</v>
      </c>
      <c r="N25" s="4">
        <v>10</v>
      </c>
      <c r="O25" s="4">
        <v>4</v>
      </c>
      <c r="P25" s="4">
        <f>'[1]任务（新）'!J24</f>
        <v>40</v>
      </c>
      <c r="Q25" s="5">
        <v>100</v>
      </c>
      <c r="R25" s="5">
        <v>7</v>
      </c>
      <c r="S25" s="5">
        <v>20</v>
      </c>
      <c r="T25" s="5">
        <v>4</v>
      </c>
      <c r="U25" s="5">
        <f>'[1]任务（新）'!K24</f>
        <v>40</v>
      </c>
      <c r="V25" s="6">
        <v>200</v>
      </c>
      <c r="W25" s="6">
        <v>7</v>
      </c>
      <c r="X25" s="6">
        <v>50</v>
      </c>
      <c r="Y25" s="6">
        <v>4</v>
      </c>
      <c r="Z25" s="6">
        <f>'[1]任务（新）'!L24</f>
        <v>80</v>
      </c>
      <c r="AA25" s="7">
        <v>500</v>
      </c>
      <c r="AB25" s="7">
        <v>7</v>
      </c>
      <c r="AC25" s="7">
        <v>100</v>
      </c>
      <c r="AD25" s="7">
        <v>4</v>
      </c>
      <c r="AE25" s="7">
        <f>'[1]任务（新）'!M24</f>
        <v>80</v>
      </c>
      <c r="AF25" s="8">
        <v>1000</v>
      </c>
      <c r="AG25" s="8">
        <v>7</v>
      </c>
      <c r="AH25" s="8">
        <v>200</v>
      </c>
      <c r="AI25" s="8">
        <v>4</v>
      </c>
      <c r="AJ25" s="8">
        <f>'[1]任务（新）'!N24</f>
        <v>160</v>
      </c>
      <c r="AK25" s="9" t="s">
        <v>44</v>
      </c>
    </row>
    <row r="26" spans="1:37">
      <c r="A26" s="1">
        <v>25</v>
      </c>
      <c r="B26" s="2" t="s">
        <v>164</v>
      </c>
      <c r="C26" s="17" t="s">
        <v>165</v>
      </c>
      <c r="D26" s="2" t="s">
        <v>164</v>
      </c>
      <c r="E26" s="1" t="s">
        <v>166</v>
      </c>
      <c r="F26" s="18" t="s">
        <v>167</v>
      </c>
      <c r="G26" s="1" t="s">
        <v>166</v>
      </c>
      <c r="H26" s="1" t="s">
        <v>41</v>
      </c>
      <c r="I26" s="1" t="s">
        <v>100</v>
      </c>
      <c r="J26" s="3">
        <v>20000410</v>
      </c>
      <c r="K26" s="1"/>
      <c r="L26" s="4">
        <v>10</v>
      </c>
      <c r="M26" s="4">
        <v>7</v>
      </c>
      <c r="N26" s="4">
        <v>10</v>
      </c>
      <c r="O26" s="4">
        <v>4</v>
      </c>
      <c r="P26" s="4">
        <f>'[1]任务（新）'!J25</f>
        <v>20</v>
      </c>
      <c r="Q26" s="5">
        <v>50</v>
      </c>
      <c r="R26" s="5">
        <v>7</v>
      </c>
      <c r="S26" s="5">
        <v>20</v>
      </c>
      <c r="T26" s="5">
        <v>4</v>
      </c>
      <c r="U26" s="5">
        <f>'[1]任务（新）'!K25</f>
        <v>20</v>
      </c>
      <c r="V26" s="6">
        <v>100</v>
      </c>
      <c r="W26" s="6">
        <v>7</v>
      </c>
      <c r="X26" s="6">
        <v>50</v>
      </c>
      <c r="Y26" s="6">
        <v>4</v>
      </c>
      <c r="Z26" s="6">
        <f>'[1]任务（新）'!L25</f>
        <v>40</v>
      </c>
      <c r="AA26" s="7">
        <v>200</v>
      </c>
      <c r="AB26" s="7">
        <v>7</v>
      </c>
      <c r="AC26" s="7">
        <v>100</v>
      </c>
      <c r="AD26" s="7">
        <v>4</v>
      </c>
      <c r="AE26" s="7">
        <f>'[1]任务（新）'!M25</f>
        <v>40</v>
      </c>
      <c r="AF26" s="8">
        <v>500</v>
      </c>
      <c r="AG26" s="8">
        <v>7</v>
      </c>
      <c r="AH26" s="8">
        <v>200</v>
      </c>
      <c r="AI26" s="8">
        <v>4</v>
      </c>
      <c r="AJ26" s="8">
        <f>'[1]任务（新）'!N25</f>
        <v>80</v>
      </c>
      <c r="AK26" s="9" t="s">
        <v>44</v>
      </c>
    </row>
    <row r="27" spans="1:37">
      <c r="A27" s="1">
        <v>26</v>
      </c>
      <c r="B27" s="2" t="s">
        <v>168</v>
      </c>
      <c r="C27" s="17" t="s">
        <v>169</v>
      </c>
      <c r="D27" s="2" t="s">
        <v>168</v>
      </c>
      <c r="E27" s="1" t="s">
        <v>170</v>
      </c>
      <c r="F27" s="18" t="s">
        <v>171</v>
      </c>
      <c r="G27" s="1" t="s">
        <v>170</v>
      </c>
      <c r="H27" s="1" t="s">
        <v>41</v>
      </c>
      <c r="I27" s="1" t="s">
        <v>100</v>
      </c>
      <c r="J27" s="3">
        <v>20000210</v>
      </c>
      <c r="K27" s="1"/>
      <c r="L27" s="4">
        <v>10</v>
      </c>
      <c r="M27" s="4">
        <v>7</v>
      </c>
      <c r="N27" s="4">
        <v>10</v>
      </c>
      <c r="O27" s="4">
        <v>4</v>
      </c>
      <c r="P27" s="4">
        <f>'[1]任务（新）'!J26</f>
        <v>15</v>
      </c>
      <c r="Q27" s="5">
        <v>50</v>
      </c>
      <c r="R27" s="5">
        <v>7</v>
      </c>
      <c r="S27" s="5">
        <v>20</v>
      </c>
      <c r="T27" s="5">
        <v>4</v>
      </c>
      <c r="U27" s="5">
        <f>'[1]任务（新）'!K26</f>
        <v>15</v>
      </c>
      <c r="V27" s="6">
        <v>100</v>
      </c>
      <c r="W27" s="6">
        <v>7</v>
      </c>
      <c r="X27" s="6">
        <v>50</v>
      </c>
      <c r="Y27" s="6">
        <v>4</v>
      </c>
      <c r="Z27" s="6">
        <f>'[1]任务（新）'!L26</f>
        <v>30</v>
      </c>
      <c r="AA27" s="7">
        <v>200</v>
      </c>
      <c r="AB27" s="7">
        <v>7</v>
      </c>
      <c r="AC27" s="7">
        <v>100</v>
      </c>
      <c r="AD27" s="7">
        <v>4</v>
      </c>
      <c r="AE27" s="7">
        <f>'[1]任务（新）'!M26</f>
        <v>30</v>
      </c>
      <c r="AF27" s="8">
        <v>500</v>
      </c>
      <c r="AG27" s="8">
        <v>7</v>
      </c>
      <c r="AH27" s="8">
        <v>200</v>
      </c>
      <c r="AI27" s="8">
        <v>4</v>
      </c>
      <c r="AJ27" s="8">
        <f>'[1]任务（新）'!N26</f>
        <v>60</v>
      </c>
      <c r="AK27" s="9" t="s">
        <v>44</v>
      </c>
    </row>
    <row r="28" spans="1:37">
      <c r="A28" s="1">
        <v>27</v>
      </c>
      <c r="B28" s="2" t="s">
        <v>172</v>
      </c>
      <c r="C28" s="17" t="s">
        <v>173</v>
      </c>
      <c r="D28" s="2" t="s">
        <v>172</v>
      </c>
      <c r="E28" s="1" t="s">
        <v>174</v>
      </c>
      <c r="F28" s="18" t="s">
        <v>175</v>
      </c>
      <c r="G28" s="1" t="s">
        <v>174</v>
      </c>
      <c r="H28" s="1" t="s">
        <v>41</v>
      </c>
      <c r="I28" s="1" t="s">
        <v>176</v>
      </c>
      <c r="J28" s="3"/>
      <c r="K28" s="1"/>
      <c r="L28" s="4">
        <v>10</v>
      </c>
      <c r="M28" s="4">
        <v>7</v>
      </c>
      <c r="N28" s="4">
        <v>10</v>
      </c>
      <c r="O28" s="4">
        <v>4</v>
      </c>
      <c r="P28" s="4">
        <f>'[1]任务（新）'!J27</f>
        <v>15</v>
      </c>
      <c r="Q28" s="5">
        <v>50</v>
      </c>
      <c r="R28" s="5">
        <v>7</v>
      </c>
      <c r="S28" s="5">
        <v>20</v>
      </c>
      <c r="T28" s="5">
        <v>4</v>
      </c>
      <c r="U28" s="5">
        <f>'[1]任务（新）'!K27</f>
        <v>15</v>
      </c>
      <c r="V28" s="6">
        <v>100</v>
      </c>
      <c r="W28" s="6">
        <v>7</v>
      </c>
      <c r="X28" s="6">
        <v>50</v>
      </c>
      <c r="Y28" s="6">
        <v>4</v>
      </c>
      <c r="Z28" s="6">
        <f>'[1]任务（新）'!L27</f>
        <v>30</v>
      </c>
      <c r="AA28" s="7">
        <v>200</v>
      </c>
      <c r="AB28" s="7">
        <v>7</v>
      </c>
      <c r="AC28" s="7">
        <v>100</v>
      </c>
      <c r="AD28" s="7">
        <v>4</v>
      </c>
      <c r="AE28" s="7">
        <f>'[1]任务（新）'!M27</f>
        <v>30</v>
      </c>
      <c r="AF28" s="8">
        <v>500</v>
      </c>
      <c r="AG28" s="8">
        <v>7</v>
      </c>
      <c r="AH28" s="8">
        <v>200</v>
      </c>
      <c r="AI28" s="8">
        <v>4</v>
      </c>
      <c r="AJ28" s="8">
        <f>'[1]任务（新）'!N27</f>
        <v>60</v>
      </c>
      <c r="AK28" s="9" t="s">
        <v>44</v>
      </c>
    </row>
    <row r="29" spans="1:37">
      <c r="A29" s="1">
        <v>28</v>
      </c>
      <c r="B29" s="2" t="s">
        <v>177</v>
      </c>
      <c r="C29" s="17" t="s">
        <v>178</v>
      </c>
      <c r="D29" s="2" t="s">
        <v>177</v>
      </c>
      <c r="E29" s="1" t="s">
        <v>179</v>
      </c>
      <c r="F29" s="18" t="s">
        <v>180</v>
      </c>
      <c r="G29" s="1" t="s">
        <v>179</v>
      </c>
      <c r="H29" s="1" t="s">
        <v>41</v>
      </c>
      <c r="I29" s="1" t="s">
        <v>181</v>
      </c>
      <c r="J29" s="3"/>
      <c r="K29" s="1"/>
      <c r="L29" s="4">
        <v>10</v>
      </c>
      <c r="M29" s="4">
        <v>7</v>
      </c>
      <c r="N29" s="4">
        <v>10</v>
      </c>
      <c r="O29" s="4">
        <v>4</v>
      </c>
      <c r="P29" s="4">
        <f>'[1]任务（新）'!J28</f>
        <v>15</v>
      </c>
      <c r="Q29" s="5">
        <v>50</v>
      </c>
      <c r="R29" s="5">
        <v>7</v>
      </c>
      <c r="S29" s="5">
        <v>20</v>
      </c>
      <c r="T29" s="5">
        <v>4</v>
      </c>
      <c r="U29" s="5">
        <f>'[1]任务（新）'!K28</f>
        <v>15</v>
      </c>
      <c r="V29" s="6">
        <v>100</v>
      </c>
      <c r="W29" s="6">
        <v>7</v>
      </c>
      <c r="X29" s="6">
        <v>50</v>
      </c>
      <c r="Y29" s="6">
        <v>4</v>
      </c>
      <c r="Z29" s="6">
        <f>'[1]任务（新）'!L28</f>
        <v>30</v>
      </c>
      <c r="AA29" s="7">
        <v>200</v>
      </c>
      <c r="AB29" s="7">
        <v>7</v>
      </c>
      <c r="AC29" s="7">
        <v>100</v>
      </c>
      <c r="AD29" s="7">
        <v>4</v>
      </c>
      <c r="AE29" s="7">
        <f>'[1]任务（新）'!M28</f>
        <v>30</v>
      </c>
      <c r="AF29" s="8">
        <v>500</v>
      </c>
      <c r="AG29" s="8">
        <v>7</v>
      </c>
      <c r="AH29" s="8">
        <v>200</v>
      </c>
      <c r="AI29" s="8">
        <v>4</v>
      </c>
      <c r="AJ29" s="8">
        <f>'[1]任务（新）'!N28</f>
        <v>60</v>
      </c>
      <c r="AK29" s="9" t="s">
        <v>44</v>
      </c>
    </row>
  </sheetData>
  <autoFilter ref="A1:AK29">
    <extLst/>
  </autoFilter>
  <conditionalFormatting sqref="AK1">
    <cfRule type="cellIs" dxfId="0" priority="1" stopIfTrue="1" operator="notEqual">
      <formula>INDIRECT("Dummy_for_Comparison4!"&amp;ADDRESS(ROW(),COLUMN()))</formula>
    </cfRule>
  </conditionalFormatting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0"/>
  <sheetViews>
    <sheetView workbookViewId="0">
      <selection activeCell="J25" sqref="J25"/>
    </sheetView>
  </sheetViews>
  <sheetFormatPr defaultColWidth="9" defaultRowHeight="16.5" outlineLevelCol="5"/>
  <cols>
    <col min="1" max="2" width="9.25" style="10" customWidth="1"/>
    <col min="3" max="3" width="12.5" style="10" customWidth="1"/>
    <col min="4" max="4" width="14.5" style="10" customWidth="1"/>
    <col min="5" max="5" width="12.5" style="10" customWidth="1"/>
    <col min="6" max="6" width="14.5" style="10" customWidth="1"/>
    <col min="7" max="16384" width="9" style="10"/>
  </cols>
  <sheetData>
    <row r="1" spans="1:6">
      <c r="A1" s="11" t="s">
        <v>182</v>
      </c>
      <c r="B1" s="10" t="s">
        <v>183</v>
      </c>
      <c r="C1" s="12" t="s">
        <v>184</v>
      </c>
      <c r="D1" s="12" t="s">
        <v>185</v>
      </c>
      <c r="E1" s="13" t="s">
        <v>186</v>
      </c>
      <c r="F1" s="13" t="s">
        <v>187</v>
      </c>
    </row>
    <row r="2" spans="1:2">
      <c r="A2" s="10">
        <v>1</v>
      </c>
      <c r="B2" s="10">
        <v>10</v>
      </c>
    </row>
    <row r="3" spans="1:4">
      <c r="A3" s="10">
        <v>2</v>
      </c>
      <c r="B3" s="10">
        <v>20</v>
      </c>
      <c r="C3" s="10">
        <v>4</v>
      </c>
      <c r="D3" s="10">
        <v>50</v>
      </c>
    </row>
    <row r="4" spans="1:2">
      <c r="A4" s="10">
        <v>3</v>
      </c>
      <c r="B4" s="10">
        <v>30</v>
      </c>
    </row>
    <row r="5" spans="1:2">
      <c r="A5" s="10">
        <v>4</v>
      </c>
      <c r="B5" s="10">
        <v>40</v>
      </c>
    </row>
    <row r="6" spans="1:4">
      <c r="A6" s="10">
        <v>5</v>
      </c>
      <c r="B6" s="10">
        <v>50</v>
      </c>
      <c r="C6" s="10">
        <v>4</v>
      </c>
      <c r="D6" s="10">
        <v>50</v>
      </c>
    </row>
    <row r="7" spans="1:2">
      <c r="A7" s="10">
        <v>6</v>
      </c>
      <c r="B7" s="10">
        <v>60</v>
      </c>
    </row>
    <row r="8" spans="1:2">
      <c r="A8" s="10">
        <v>7</v>
      </c>
      <c r="B8" s="10">
        <v>70</v>
      </c>
    </row>
    <row r="9" spans="1:2">
      <c r="A9" s="10">
        <v>8</v>
      </c>
      <c r="B9" s="10">
        <v>80</v>
      </c>
    </row>
    <row r="10" spans="1:2">
      <c r="A10" s="10">
        <v>9</v>
      </c>
      <c r="B10" s="10">
        <v>90</v>
      </c>
    </row>
    <row r="11" spans="1:4">
      <c r="A11" s="10">
        <v>10</v>
      </c>
      <c r="B11" s="10">
        <v>100</v>
      </c>
      <c r="C11" s="10">
        <v>4</v>
      </c>
      <c r="D11" s="10">
        <v>100</v>
      </c>
    </row>
    <row r="12" spans="1:2">
      <c r="A12" s="10">
        <v>11</v>
      </c>
      <c r="B12" s="10">
        <v>100</v>
      </c>
    </row>
    <row r="13" spans="1:2">
      <c r="A13" s="10">
        <v>12</v>
      </c>
      <c r="B13" s="10">
        <v>100</v>
      </c>
    </row>
    <row r="14" spans="1:2">
      <c r="A14" s="10">
        <v>13</v>
      </c>
      <c r="B14" s="10">
        <v>100</v>
      </c>
    </row>
    <row r="15" spans="1:2">
      <c r="A15" s="10">
        <v>14</v>
      </c>
      <c r="B15" s="10">
        <v>100</v>
      </c>
    </row>
    <row r="16" spans="1:4">
      <c r="A16" s="10">
        <v>15</v>
      </c>
      <c r="B16" s="10">
        <v>100</v>
      </c>
      <c r="C16" s="10">
        <v>4</v>
      </c>
      <c r="D16" s="10">
        <v>100</v>
      </c>
    </row>
    <row r="17" spans="1:2">
      <c r="A17" s="10">
        <v>16</v>
      </c>
      <c r="B17" s="10">
        <v>100</v>
      </c>
    </row>
    <row r="18" spans="1:2">
      <c r="A18" s="10">
        <v>17</v>
      </c>
      <c r="B18" s="10">
        <v>100</v>
      </c>
    </row>
    <row r="19" spans="1:2">
      <c r="A19" s="10">
        <v>18</v>
      </c>
      <c r="B19" s="10">
        <v>100</v>
      </c>
    </row>
    <row r="20" spans="1:2">
      <c r="A20" s="10">
        <v>19</v>
      </c>
      <c r="B20" s="10">
        <v>100</v>
      </c>
    </row>
    <row r="21" spans="1:4">
      <c r="A21" s="10">
        <v>20</v>
      </c>
      <c r="B21" s="10">
        <v>100</v>
      </c>
      <c r="C21" s="10">
        <v>4</v>
      </c>
      <c r="D21" s="10">
        <v>200</v>
      </c>
    </row>
    <row r="22" spans="1:2">
      <c r="A22" s="10">
        <v>21</v>
      </c>
      <c r="B22" s="10">
        <v>100</v>
      </c>
    </row>
    <row r="23" spans="1:2">
      <c r="A23" s="10">
        <v>22</v>
      </c>
      <c r="B23" s="10">
        <v>100</v>
      </c>
    </row>
    <row r="24" spans="1:2">
      <c r="A24" s="10">
        <v>23</v>
      </c>
      <c r="B24" s="10">
        <v>100</v>
      </c>
    </row>
    <row r="25" spans="1:2">
      <c r="A25" s="10">
        <v>24</v>
      </c>
      <c r="B25" s="10">
        <v>100</v>
      </c>
    </row>
    <row r="26" spans="1:4">
      <c r="A26" s="10">
        <v>25</v>
      </c>
      <c r="B26" s="10">
        <v>100</v>
      </c>
      <c r="C26" s="10">
        <v>4</v>
      </c>
      <c r="D26" s="10">
        <v>200</v>
      </c>
    </row>
    <row r="27" spans="1:2">
      <c r="A27" s="10">
        <v>26</v>
      </c>
      <c r="B27" s="10">
        <v>100</v>
      </c>
    </row>
    <row r="28" spans="1:2">
      <c r="A28" s="10">
        <v>27</v>
      </c>
      <c r="B28" s="10">
        <v>100</v>
      </c>
    </row>
    <row r="29" spans="1:2">
      <c r="A29" s="10">
        <v>28</v>
      </c>
      <c r="B29" s="10">
        <v>100</v>
      </c>
    </row>
    <row r="30" spans="1:2">
      <c r="A30" s="10">
        <v>29</v>
      </c>
      <c r="B30" s="10">
        <v>100</v>
      </c>
    </row>
    <row r="31" spans="1:4">
      <c r="A31" s="10">
        <v>30</v>
      </c>
      <c r="B31" s="10">
        <v>100</v>
      </c>
      <c r="C31" s="10">
        <v>4</v>
      </c>
      <c r="D31" s="10">
        <v>300</v>
      </c>
    </row>
    <row r="32" spans="1:2">
      <c r="A32" s="10">
        <v>31</v>
      </c>
      <c r="B32" s="10">
        <v>200</v>
      </c>
    </row>
    <row r="33" spans="1:2">
      <c r="A33" s="10">
        <v>32</v>
      </c>
      <c r="B33" s="10">
        <v>200</v>
      </c>
    </row>
    <row r="34" spans="1:2">
      <c r="A34" s="10">
        <v>33</v>
      </c>
      <c r="B34" s="10">
        <v>200</v>
      </c>
    </row>
    <row r="35" spans="1:2">
      <c r="A35" s="10">
        <v>34</v>
      </c>
      <c r="B35" s="10">
        <v>200</v>
      </c>
    </row>
    <row r="36" spans="1:2">
      <c r="A36" s="10">
        <v>35</v>
      </c>
      <c r="B36" s="10">
        <v>200</v>
      </c>
    </row>
    <row r="37" spans="1:2">
      <c r="A37" s="10">
        <v>36</v>
      </c>
      <c r="B37" s="10">
        <v>250</v>
      </c>
    </row>
    <row r="38" spans="1:2">
      <c r="A38" s="10">
        <v>37</v>
      </c>
      <c r="B38" s="10">
        <v>250</v>
      </c>
    </row>
    <row r="39" spans="1:2">
      <c r="A39" s="10">
        <v>38</v>
      </c>
      <c r="B39" s="10">
        <v>250</v>
      </c>
    </row>
    <row r="40" spans="1:2">
      <c r="A40" s="10">
        <v>39</v>
      </c>
      <c r="B40" s="10">
        <v>250</v>
      </c>
    </row>
    <row r="41" spans="1:2">
      <c r="A41" s="10">
        <v>40</v>
      </c>
      <c r="B41" s="10">
        <v>250</v>
      </c>
    </row>
    <row r="42" spans="1:2">
      <c r="A42" s="10">
        <v>41</v>
      </c>
      <c r="B42" s="10">
        <v>300</v>
      </c>
    </row>
    <row r="43" spans="1:2">
      <c r="A43" s="10">
        <v>42</v>
      </c>
      <c r="B43" s="10">
        <v>300</v>
      </c>
    </row>
    <row r="44" spans="1:2">
      <c r="A44" s="10">
        <v>43</v>
      </c>
      <c r="B44" s="10">
        <v>300</v>
      </c>
    </row>
    <row r="45" spans="1:2">
      <c r="A45" s="10">
        <v>44</v>
      </c>
      <c r="B45" s="10">
        <v>300</v>
      </c>
    </row>
    <row r="46" spans="1:2">
      <c r="A46" s="10">
        <v>45</v>
      </c>
      <c r="B46" s="10">
        <v>300</v>
      </c>
    </row>
    <row r="47" spans="1:2">
      <c r="A47" s="10">
        <v>46</v>
      </c>
      <c r="B47" s="10">
        <v>350</v>
      </c>
    </row>
    <row r="48" spans="1:2">
      <c r="A48" s="10">
        <v>47</v>
      </c>
      <c r="B48" s="10">
        <v>350</v>
      </c>
    </row>
    <row r="49" spans="1:2">
      <c r="A49" s="10">
        <v>48</v>
      </c>
      <c r="B49" s="10">
        <v>350</v>
      </c>
    </row>
    <row r="50" spans="1:2">
      <c r="A50" s="10">
        <v>49</v>
      </c>
      <c r="B50" s="10">
        <v>350</v>
      </c>
    </row>
    <row r="51" spans="1:2">
      <c r="A51" s="10">
        <v>50</v>
      </c>
      <c r="B51" s="10">
        <v>350</v>
      </c>
    </row>
    <row r="52" spans="1:2">
      <c r="A52" s="10">
        <v>51</v>
      </c>
      <c r="B52" s="10">
        <v>300</v>
      </c>
    </row>
    <row r="53" spans="1:2">
      <c r="A53" s="10">
        <v>52</v>
      </c>
      <c r="B53" s="10">
        <v>300</v>
      </c>
    </row>
    <row r="54" spans="1:2">
      <c r="A54" s="10">
        <v>53</v>
      </c>
      <c r="B54" s="10">
        <v>300</v>
      </c>
    </row>
    <row r="55" spans="1:2">
      <c r="A55" s="10">
        <v>54</v>
      </c>
      <c r="B55" s="10">
        <v>300</v>
      </c>
    </row>
    <row r="56" spans="1:2">
      <c r="A56" s="10">
        <v>55</v>
      </c>
      <c r="B56" s="10">
        <v>300</v>
      </c>
    </row>
    <row r="57" spans="1:2">
      <c r="A57" s="10">
        <v>56</v>
      </c>
      <c r="B57" s="10">
        <v>300</v>
      </c>
    </row>
    <row r="58" spans="1:2">
      <c r="A58" s="10">
        <v>57</v>
      </c>
      <c r="B58" s="10">
        <v>300</v>
      </c>
    </row>
    <row r="59" spans="1:2">
      <c r="A59" s="10">
        <v>58</v>
      </c>
      <c r="B59" s="10">
        <v>300</v>
      </c>
    </row>
    <row r="60" spans="1:2">
      <c r="A60" s="10">
        <v>59</v>
      </c>
      <c r="B60" s="10">
        <v>300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"/>
  <sheetViews>
    <sheetView workbookViewId="0">
      <selection activeCell="L27" sqref="L27"/>
    </sheetView>
  </sheetViews>
  <sheetFormatPr defaultColWidth="9" defaultRowHeight="13.5"/>
  <sheetData>
    <row r="1" ht="16.5" spans="1:33">
      <c r="A1" s="1">
        <v>16</v>
      </c>
      <c r="B1" s="2" t="s">
        <v>115</v>
      </c>
      <c r="C1" s="1" t="s">
        <v>117</v>
      </c>
      <c r="D1" s="1" t="s">
        <v>41</v>
      </c>
      <c r="E1" s="1" t="s">
        <v>119</v>
      </c>
      <c r="F1" s="3">
        <v>1</v>
      </c>
      <c r="G1" s="1" t="s">
        <v>43</v>
      </c>
      <c r="H1" s="4">
        <v>7</v>
      </c>
      <c r="I1" s="4">
        <v>7</v>
      </c>
      <c r="J1" s="4">
        <v>10</v>
      </c>
      <c r="K1" s="4">
        <v>3</v>
      </c>
      <c r="L1" s="4">
        <f>2*J1</f>
        <v>20</v>
      </c>
      <c r="M1" s="5">
        <v>11</v>
      </c>
      <c r="N1" s="5">
        <v>7</v>
      </c>
      <c r="O1" s="5">
        <v>20</v>
      </c>
      <c r="P1" s="5">
        <v>3</v>
      </c>
      <c r="Q1" s="5">
        <f>2.5*O1</f>
        <v>50</v>
      </c>
      <c r="R1" s="6">
        <v>15</v>
      </c>
      <c r="S1" s="6">
        <v>7</v>
      </c>
      <c r="T1" s="6">
        <v>50</v>
      </c>
      <c r="U1" s="6">
        <v>3</v>
      </c>
      <c r="V1" s="6">
        <f>2.5*T1</f>
        <v>125</v>
      </c>
      <c r="W1" s="7">
        <v>20</v>
      </c>
      <c r="X1" s="7">
        <v>7</v>
      </c>
      <c r="Y1" s="7">
        <v>100</v>
      </c>
      <c r="Z1" s="7">
        <v>3</v>
      </c>
      <c r="AA1" s="7">
        <f>3*Y1</f>
        <v>300</v>
      </c>
      <c r="AB1" s="8">
        <v>25</v>
      </c>
      <c r="AC1" s="8">
        <v>7</v>
      </c>
      <c r="AD1" s="8">
        <v>200</v>
      </c>
      <c r="AE1" s="8">
        <v>3</v>
      </c>
      <c r="AF1" s="8">
        <f>4*AD1</f>
        <v>800</v>
      </c>
      <c r="AG1" s="9" t="s">
        <v>188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成就列表</vt:lpstr>
      <vt:lpstr>成就等级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11077</cp:lastModifiedBy>
  <dcterms:created xsi:type="dcterms:W3CDTF">2006-09-16T00:00:00Z</dcterms:created>
  <dcterms:modified xsi:type="dcterms:W3CDTF">2018-09-20T11:39:06Z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2052-10.1.0.7520</vt:lpwstr>
  </property>
</Properties>
</file>